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725\Desktop\hltv\hltv year\"/>
    </mc:Choice>
  </mc:AlternateContent>
  <xr:revisionPtr revIDLastSave="0" documentId="13_ncr:1_{69C9192B-6D8A-449E-AF87-83F32294B80F}" xr6:coauthVersionLast="47" xr6:coauthVersionMax="47" xr10:uidLastSave="{00000000-0000-0000-0000-000000000000}"/>
  <bookViews>
    <workbookView xWindow="-120" yWindow="-120" windowWidth="38640" windowHeight="21120" xr2:uid="{D6D022B8-7FEA-4E40-97AB-9C5C4571D3F3}"/>
  </bookViews>
  <sheets>
    <sheet name="Sheet1" sheetId="1" r:id="rId1"/>
    <sheet name="Sheet2" sheetId="2" r:id="rId2"/>
  </sheets>
  <definedNames>
    <definedName name="_xlnm._FilterDatabase" localSheetId="0" hidden="1">Sheet1!$C$3:$J$4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" i="1" l="1"/>
  <c r="Z44" i="1"/>
  <c r="AX44" i="1"/>
  <c r="X45" i="1"/>
  <c r="AV45" i="1"/>
  <c r="V46" i="1"/>
  <c r="AT46" i="1"/>
  <c r="T47" i="1"/>
  <c r="AR47" i="1"/>
  <c r="R48" i="1"/>
  <c r="AP48" i="1"/>
  <c r="P49" i="1"/>
  <c r="AN49" i="1"/>
  <c r="N50" i="1"/>
  <c r="AL50" i="1"/>
  <c r="L51" i="1"/>
  <c r="AJ51" i="1"/>
  <c r="AO49" i="1"/>
  <c r="AM50" i="1"/>
  <c r="AK51" i="1"/>
  <c r="AQ49" i="1"/>
  <c r="AM51" i="1"/>
  <c r="D45" i="1"/>
  <c r="X47" i="1"/>
  <c r="AT48" i="1"/>
  <c r="AR49" i="1"/>
  <c r="P51" i="1"/>
  <c r="AC45" i="1"/>
  <c r="AY46" i="1"/>
  <c r="W48" i="1"/>
  <c r="S50" i="1"/>
  <c r="AO51" i="1"/>
  <c r="AF44" i="1"/>
  <c r="AB46" i="1"/>
  <c r="Z47" i="1"/>
  <c r="AT49" i="1"/>
  <c r="AP51" i="1"/>
  <c r="V50" i="1"/>
  <c r="AG45" i="1"/>
  <c r="AA48" i="1"/>
  <c r="AS51" i="1"/>
  <c r="AD47" i="1"/>
  <c r="AT51" i="1"/>
  <c r="AK44" i="1"/>
  <c r="Y50" i="1"/>
  <c r="J46" i="1"/>
  <c r="AV51" i="1"/>
  <c r="AG47" i="1"/>
  <c r="AL45" i="1"/>
  <c r="D50" i="1"/>
  <c r="M46" i="1"/>
  <c r="AG48" i="1"/>
  <c r="N46" i="1"/>
  <c r="AD50" i="1"/>
  <c r="O46" i="1"/>
  <c r="E51" i="1"/>
  <c r="AJ48" i="1"/>
  <c r="AD51" i="1"/>
  <c r="K49" i="1"/>
  <c r="R46" i="1"/>
  <c r="S46" i="1"/>
  <c r="AI50" i="1"/>
  <c r="R47" i="1"/>
  <c r="AW44" i="1"/>
  <c r="C44" i="1"/>
  <c r="AA44" i="1"/>
  <c r="AY44" i="1"/>
  <c r="Y45" i="1"/>
  <c r="AW45" i="1"/>
  <c r="W46" i="1"/>
  <c r="AU46" i="1"/>
  <c r="U47" i="1"/>
  <c r="AS47" i="1"/>
  <c r="S48" i="1"/>
  <c r="AQ48" i="1"/>
  <c r="Q49" i="1"/>
  <c r="O50" i="1"/>
  <c r="M51" i="1"/>
  <c r="AO50" i="1"/>
  <c r="Z46" i="1"/>
  <c r="T49" i="1"/>
  <c r="AP50" i="1"/>
  <c r="E45" i="1"/>
  <c r="AW47" i="1"/>
  <c r="Q51" i="1"/>
  <c r="D46" i="1"/>
  <c r="AX47" i="1"/>
  <c r="AR50" i="1"/>
  <c r="AV49" i="1"/>
  <c r="AC47" i="1"/>
  <c r="B49" i="1"/>
  <c r="G47" i="1"/>
  <c r="AB49" i="1"/>
  <c r="AE48" i="1"/>
  <c r="L46" i="1"/>
  <c r="AK46" i="1"/>
  <c r="AF49" i="1"/>
  <c r="AK47" i="1"/>
  <c r="AN46" i="1"/>
  <c r="Q46" i="1"/>
  <c r="N48" i="1"/>
  <c r="O48" i="1"/>
  <c r="AP47" i="1"/>
  <c r="M50" i="1"/>
  <c r="D44" i="1"/>
  <c r="AB44" i="1"/>
  <c r="B45" i="1"/>
  <c r="Z45" i="1"/>
  <c r="AX45" i="1"/>
  <c r="X46" i="1"/>
  <c r="AV46" i="1"/>
  <c r="V47" i="1"/>
  <c r="AT47" i="1"/>
  <c r="T48" i="1"/>
  <c r="AR48" i="1"/>
  <c r="R49" i="1"/>
  <c r="AP49" i="1"/>
  <c r="P50" i="1"/>
  <c r="AN50" i="1"/>
  <c r="N51" i="1"/>
  <c r="AL51" i="1"/>
  <c r="AA45" i="1"/>
  <c r="Y46" i="1"/>
  <c r="AW46" i="1"/>
  <c r="W47" i="1"/>
  <c r="AU47" i="1"/>
  <c r="AS48" i="1"/>
  <c r="S49" i="1"/>
  <c r="Q50" i="1"/>
  <c r="O51" i="1"/>
  <c r="AB45" i="1"/>
  <c r="AX46" i="1"/>
  <c r="AV47" i="1"/>
  <c r="V48" i="1"/>
  <c r="AN51" i="1"/>
  <c r="AE44" i="1"/>
  <c r="AA46" i="1"/>
  <c r="Y47" i="1"/>
  <c r="AU48" i="1"/>
  <c r="AS49" i="1"/>
  <c r="AQ50" i="1"/>
  <c r="H44" i="1"/>
  <c r="B47" i="1"/>
  <c r="X48" i="1"/>
  <c r="T50" i="1"/>
  <c r="I45" i="1"/>
  <c r="C48" i="1"/>
  <c r="U51" i="1"/>
  <c r="D48" i="1"/>
  <c r="AV50" i="1"/>
  <c r="E48" i="1"/>
  <c r="W51" i="1"/>
  <c r="AJ45" i="1"/>
  <c r="X51" i="1"/>
  <c r="AI46" i="1"/>
  <c r="AY50" i="1"/>
  <c r="AH47" i="1"/>
  <c r="K47" i="1"/>
  <c r="AE49" i="1"/>
  <c r="AN45" i="1"/>
  <c r="H49" i="1"/>
  <c r="M47" i="1"/>
  <c r="AC51" i="1"/>
  <c r="AL47" i="1"/>
  <c r="AS44" i="1"/>
  <c r="AE51" i="1"/>
  <c r="AL48" i="1"/>
  <c r="U45" i="1"/>
  <c r="AG51" i="1"/>
  <c r="L50" i="1"/>
  <c r="AS46" i="1"/>
  <c r="E44" i="1"/>
  <c r="AC44" i="1"/>
  <c r="C45" i="1"/>
  <c r="AY45" i="1"/>
  <c r="U48" i="1"/>
  <c r="C46" i="1"/>
  <c r="U49" i="1"/>
  <c r="AD45" i="1"/>
  <c r="AV48" i="1"/>
  <c r="R51" i="1"/>
  <c r="AI44" i="1"/>
  <c r="V51" i="1"/>
  <c r="K45" i="1"/>
  <c r="F48" i="1"/>
  <c r="M45" i="1"/>
  <c r="AD49" i="1"/>
  <c r="AP44" i="1"/>
  <c r="AB51" i="1"/>
  <c r="I49" i="1"/>
  <c r="R45" i="1"/>
  <c r="O47" i="1"/>
  <c r="P47" i="1"/>
  <c r="AO47" i="1"/>
  <c r="P48" i="1"/>
  <c r="AM49" i="1"/>
  <c r="F44" i="1"/>
  <c r="AD44" i="1"/>
  <c r="B46" i="1"/>
  <c r="R50" i="1"/>
  <c r="F45" i="1"/>
  <c r="V49" i="1"/>
  <c r="T51" i="1"/>
  <c r="E47" i="1"/>
  <c r="Y49" i="1"/>
  <c r="AU50" i="1"/>
  <c r="H46" i="1"/>
  <c r="Z49" i="1"/>
  <c r="I46" i="1"/>
  <c r="AA49" i="1"/>
  <c r="AD48" i="1"/>
  <c r="AM44" i="1"/>
  <c r="AC49" i="1"/>
  <c r="J47" i="1"/>
  <c r="B51" i="1"/>
  <c r="AO44" i="1"/>
  <c r="AC50" i="1"/>
  <c r="J48" i="1"/>
  <c r="K48" i="1"/>
  <c r="P46" i="1"/>
  <c r="AH49" i="1"/>
  <c r="AK48" i="1"/>
  <c r="AG50" i="1"/>
  <c r="T45" i="1"/>
  <c r="AH50" i="1"/>
  <c r="AV44" i="1"/>
  <c r="AH51" i="1"/>
  <c r="AI51" i="1"/>
  <c r="G44" i="1"/>
  <c r="AY48" i="1"/>
  <c r="AH45" i="1"/>
  <c r="AC48" i="1"/>
  <c r="AU51" i="1"/>
  <c r="L45" i="1"/>
  <c r="E49" i="1"/>
  <c r="H48" i="1"/>
  <c r="AM45" i="1"/>
  <c r="C51" i="1"/>
  <c r="F50" i="1"/>
  <c r="AO45" i="1"/>
  <c r="N47" i="1"/>
  <c r="AM47" i="1"/>
  <c r="AR45" i="1"/>
  <c r="X44" i="1"/>
  <c r="K51" i="1"/>
  <c r="AT45" i="1"/>
  <c r="AK50" i="1"/>
  <c r="I44" i="1"/>
  <c r="AG44" i="1"/>
  <c r="G45" i="1"/>
  <c r="AE45" i="1"/>
  <c r="E46" i="1"/>
  <c r="AC46" i="1"/>
  <c r="C47" i="1"/>
  <c r="AA47" i="1"/>
  <c r="AY47" i="1"/>
  <c r="Y48" i="1"/>
  <c r="AW48" i="1"/>
  <c r="W49" i="1"/>
  <c r="AU49" i="1"/>
  <c r="U50" i="1"/>
  <c r="AS50" i="1"/>
  <c r="S51" i="1"/>
  <c r="AQ51" i="1"/>
  <c r="AR51" i="1"/>
  <c r="AE46" i="1"/>
  <c r="W50" i="1"/>
  <c r="AF46" i="1"/>
  <c r="AX49" i="1"/>
  <c r="AI45" i="1"/>
  <c r="AY49" i="1"/>
  <c r="AL44" i="1"/>
  <c r="D49" i="1"/>
  <c r="K46" i="1"/>
  <c r="C50" i="1"/>
  <c r="AJ46" i="1"/>
  <c r="AB50" i="1"/>
  <c r="O45" i="1"/>
  <c r="E50" i="1"/>
  <c r="AH48" i="1"/>
  <c r="AG49" i="1"/>
  <c r="AR44" i="1"/>
  <c r="AI49" i="1"/>
  <c r="V44" i="1"/>
  <c r="AF51" i="1"/>
  <c r="AR46" i="1"/>
  <c r="AO48" i="1"/>
  <c r="J44" i="1"/>
  <c r="AH44" i="1"/>
  <c r="H45" i="1"/>
  <c r="AF45" i="1"/>
  <c r="F46" i="1"/>
  <c r="AD46" i="1"/>
  <c r="D47" i="1"/>
  <c r="AB47" i="1"/>
  <c r="B48" i="1"/>
  <c r="Z48" i="1"/>
  <c r="AX48" i="1"/>
  <c r="X49" i="1"/>
  <c r="AT50" i="1"/>
  <c r="G46" i="1"/>
  <c r="AW49" i="1"/>
  <c r="J45" i="1"/>
  <c r="AB48" i="1"/>
  <c r="AE47" i="1"/>
  <c r="AW50" i="1"/>
  <c r="H47" i="1"/>
  <c r="AX50" i="1"/>
  <c r="I47" i="1"/>
  <c r="AA50" i="1"/>
  <c r="AN44" i="1"/>
  <c r="F49" i="1"/>
  <c r="I48" i="1"/>
  <c r="AY51" i="1"/>
  <c r="L47" i="1"/>
  <c r="D51" i="1"/>
  <c r="AI48" i="1"/>
  <c r="W44" i="1"/>
  <c r="T46" i="1"/>
  <c r="W45" i="1"/>
  <c r="K44" i="1"/>
  <c r="L44" i="1"/>
  <c r="AJ44" i="1"/>
  <c r="F47" i="1"/>
  <c r="X50" i="1"/>
  <c r="AG46" i="1"/>
  <c r="C49" i="1"/>
  <c r="AH46" i="1"/>
  <c r="B50" i="1"/>
  <c r="AK45" i="1"/>
  <c r="AW51" i="1"/>
  <c r="AF48" i="1"/>
  <c r="Z51" i="1"/>
  <c r="Q44" i="1"/>
  <c r="M44" i="1"/>
  <c r="AF47" i="1"/>
  <c r="Z50" i="1"/>
  <c r="G48" i="1"/>
  <c r="Y51" i="1"/>
  <c r="N45" i="1"/>
  <c r="AX51" i="1"/>
  <c r="AI47" i="1"/>
  <c r="AA51" i="1"/>
  <c r="AL46" i="1"/>
  <c r="AM46" i="1"/>
  <c r="AE50" i="1"/>
  <c r="L48" i="1"/>
  <c r="F51" i="1"/>
  <c r="S45" i="1"/>
  <c r="L49" i="1"/>
  <c r="AS45" i="1"/>
  <c r="K50" i="1"/>
  <c r="J51" i="1"/>
  <c r="AU45" i="1"/>
  <c r="N44" i="1"/>
  <c r="J49" i="1"/>
  <c r="AQ45" i="1"/>
  <c r="G51" i="1"/>
  <c r="AJ49" i="1"/>
  <c r="AU44" i="1"/>
  <c r="I51" i="1"/>
  <c r="AJ50" i="1"/>
  <c r="S47" i="1"/>
  <c r="O44" i="1"/>
  <c r="M49" i="1"/>
  <c r="Y44" i="1"/>
  <c r="P44" i="1"/>
  <c r="G49" i="1"/>
  <c r="AF50" i="1"/>
  <c r="AO46" i="1"/>
  <c r="AN47" i="1"/>
  <c r="Q47" i="1"/>
  <c r="AN48" i="1"/>
  <c r="O49" i="1"/>
  <c r="R44" i="1"/>
  <c r="P45" i="1"/>
  <c r="AJ47" i="1"/>
  <c r="Q45" i="1"/>
  <c r="G50" i="1"/>
  <c r="AP45" i="1"/>
  <c r="H50" i="1"/>
  <c r="M48" i="1"/>
  <c r="I50" i="1"/>
  <c r="AT44" i="1"/>
  <c r="H51" i="1"/>
  <c r="AM48" i="1"/>
  <c r="V45" i="1"/>
  <c r="AL49" i="1"/>
  <c r="Q48" i="1"/>
  <c r="S44" i="1"/>
  <c r="AQ44" i="1"/>
  <c r="U44" i="1"/>
  <c r="J50" i="1"/>
  <c r="AK49" i="1"/>
  <c r="AQ47" i="1"/>
  <c r="T44" i="1"/>
  <c r="AP46" i="1"/>
  <c r="AQ46" i="1"/>
  <c r="N49" i="1"/>
  <c r="U46" i="1"/>
  <c r="B43" i="1"/>
  <c r="F43" i="1"/>
  <c r="W43" i="1"/>
  <c r="T9" i="1"/>
  <c r="AX20" i="1"/>
  <c r="J22" i="1"/>
  <c r="AR8" i="1"/>
  <c r="B10" i="1"/>
  <c r="T11" i="1"/>
  <c r="S11" i="1"/>
  <c r="AK41" i="1"/>
  <c r="AJ23" i="1"/>
  <c r="AH15" i="1"/>
  <c r="I33" i="1"/>
  <c r="AM10" i="1"/>
  <c r="AU31" i="1"/>
  <c r="AL15" i="1"/>
  <c r="Y32" i="1"/>
  <c r="F6" i="1"/>
  <c r="AD41" i="1"/>
  <c r="M7" i="1"/>
  <c r="X28" i="1"/>
  <c r="AB42" i="1"/>
  <c r="R29" i="1"/>
  <c r="Q17" i="1"/>
  <c r="AY39" i="1"/>
  <c r="AI42" i="1"/>
  <c r="S14" i="1"/>
  <c r="AE21" i="1"/>
  <c r="AL37" i="1"/>
  <c r="AH40" i="1"/>
  <c r="AL26" i="1"/>
  <c r="AU30" i="1"/>
  <c r="L15" i="1"/>
  <c r="AB40" i="1"/>
  <c r="W16" i="1"/>
  <c r="AR7" i="1"/>
  <c r="AW8" i="1"/>
  <c r="AA24" i="1"/>
  <c r="AT6" i="1"/>
  <c r="AH10" i="1"/>
  <c r="E39" i="1"/>
  <c r="P40" i="1"/>
  <c r="N20" i="1"/>
  <c r="Q29" i="1"/>
  <c r="H19" i="1"/>
  <c r="AF25" i="1"/>
  <c r="P11" i="1"/>
  <c r="D21" i="1"/>
  <c r="AE5" i="1"/>
  <c r="Q7" i="1"/>
  <c r="AG22" i="1"/>
  <c r="AH31" i="1"/>
  <c r="K30" i="1"/>
  <c r="T30" i="1"/>
  <c r="AJ41" i="1"/>
  <c r="Q35" i="1"/>
  <c r="AU8" i="1"/>
  <c r="AY13" i="1"/>
  <c r="O5" i="1"/>
  <c r="E37" i="1"/>
  <c r="AC15" i="1"/>
  <c r="W6" i="1"/>
  <c r="AC42" i="1"/>
  <c r="U9" i="1"/>
  <c r="C34" i="1"/>
  <c r="M10" i="1"/>
  <c r="AL34" i="1"/>
  <c r="AL16" i="1"/>
  <c r="Q19" i="1"/>
  <c r="AD35" i="1"/>
  <c r="AQ6" i="1"/>
  <c r="T35" i="1"/>
  <c r="L12" i="1"/>
  <c r="P17" i="1"/>
  <c r="D23" i="1"/>
  <c r="W19" i="1"/>
  <c r="AC25" i="1"/>
  <c r="AU25" i="1"/>
  <c r="O23" i="1"/>
  <c r="AP24" i="1"/>
  <c r="L38" i="1"/>
  <c r="M34" i="1"/>
  <c r="AG33" i="1"/>
  <c r="AY30" i="1"/>
  <c r="E29" i="1"/>
  <c r="AP9" i="1"/>
  <c r="W11" i="1"/>
  <c r="AF41" i="1"/>
  <c r="Z43" i="1"/>
  <c r="G43" i="1"/>
  <c r="Y43" i="1"/>
  <c r="AX18" i="1"/>
  <c r="N16" i="1"/>
  <c r="Y40" i="1"/>
  <c r="AE12" i="1"/>
  <c r="O32" i="1"/>
  <c r="AI18" i="1"/>
  <c r="O13" i="1"/>
  <c r="AC17" i="1"/>
  <c r="AS39" i="1"/>
  <c r="X20" i="1"/>
  <c r="M30" i="1"/>
  <c r="AP8" i="1"/>
  <c r="D17" i="1"/>
  <c r="AY31" i="1"/>
  <c r="AF31" i="1"/>
  <c r="AR22" i="1"/>
  <c r="E21" i="1"/>
  <c r="V38" i="1"/>
  <c r="AC19" i="1"/>
  <c r="M18" i="1"/>
  <c r="AW19" i="1"/>
  <c r="AQ29" i="1"/>
  <c r="O28" i="1"/>
  <c r="V14" i="1"/>
  <c r="D35" i="1"/>
  <c r="E11" i="1"/>
  <c r="AE23" i="1"/>
  <c r="AT9" i="1"/>
  <c r="AJ5" i="1"/>
  <c r="D18" i="1"/>
  <c r="X42" i="1"/>
  <c r="AD25" i="1"/>
  <c r="AC35" i="1"/>
  <c r="O29" i="1"/>
  <c r="O22" i="1"/>
  <c r="AQ38" i="1"/>
  <c r="S36" i="1"/>
  <c r="M14" i="1"/>
  <c r="W12" i="1"/>
  <c r="C6" i="1"/>
  <c r="I14" i="1"/>
  <c r="J32" i="1"/>
  <c r="L27" i="1"/>
  <c r="AE26" i="1"/>
  <c r="V7" i="1"/>
  <c r="AH34" i="1"/>
  <c r="V27" i="1"/>
  <c r="Q30" i="1"/>
  <c r="V22" i="1"/>
  <c r="AQ13" i="1"/>
  <c r="AL33" i="1"/>
  <c r="U12" i="1"/>
  <c r="AK37" i="1"/>
  <c r="V33" i="1"/>
  <c r="U42" i="1"/>
  <c r="AK12" i="1"/>
  <c r="Y26" i="1"/>
  <c r="Q16" i="1"/>
  <c r="L6" i="1"/>
  <c r="AJ31" i="1"/>
  <c r="S19" i="1"/>
  <c r="B31" i="1"/>
  <c r="AV8" i="1"/>
  <c r="AM8" i="1"/>
  <c r="S7" i="1"/>
  <c r="AB14" i="1"/>
  <c r="P13" i="1"/>
  <c r="AQ31" i="1"/>
  <c r="AU13" i="1"/>
  <c r="U10" i="1"/>
  <c r="AD12" i="1"/>
  <c r="U24" i="1"/>
  <c r="Y30" i="1"/>
  <c r="AF24" i="1"/>
  <c r="AJ16" i="1"/>
  <c r="AI9" i="1"/>
  <c r="AF9" i="1"/>
  <c r="Q34" i="1"/>
  <c r="I37" i="1"/>
  <c r="AH26" i="1"/>
  <c r="AC34" i="1"/>
  <c r="AX43" i="1"/>
  <c r="H43" i="1"/>
  <c r="AS23" i="1"/>
  <c r="AJ21" i="1"/>
  <c r="AR21" i="1"/>
  <c r="X14" i="1"/>
  <c r="AF14" i="1"/>
  <c r="B7" i="1"/>
  <c r="AB18" i="1"/>
  <c r="J6" i="1"/>
  <c r="AE8" i="1"/>
  <c r="AY19" i="1"/>
  <c r="AO31" i="1"/>
  <c r="I42" i="1"/>
  <c r="AJ17" i="1"/>
  <c r="Q32" i="1"/>
  <c r="S23" i="1"/>
  <c r="F25" i="1"/>
  <c r="O25" i="1"/>
  <c r="AM26" i="1"/>
  <c r="L33" i="1"/>
  <c r="AD7" i="1"/>
  <c r="AF8" i="1"/>
  <c r="O39" i="1"/>
  <c r="N29" i="1"/>
  <c r="K34" i="1"/>
  <c r="AE42" i="1"/>
  <c r="L18" i="1"/>
  <c r="M22" i="1"/>
  <c r="AT25" i="1"/>
  <c r="AN23" i="1"/>
  <c r="B22" i="1"/>
  <c r="B20" i="1"/>
  <c r="AI38" i="1"/>
  <c r="AS10" i="1"/>
  <c r="AR33" i="1"/>
  <c r="AN11" i="1"/>
  <c r="P27" i="1"/>
  <c r="Y22" i="1"/>
  <c r="Z19" i="1"/>
  <c r="M33" i="1"/>
  <c r="AU11" i="1"/>
  <c r="Y21" i="1"/>
  <c r="Z36" i="1"/>
  <c r="Z16" i="1"/>
  <c r="AX25" i="1"/>
  <c r="Z26" i="1"/>
  <c r="O17" i="1"/>
  <c r="E14" i="1"/>
  <c r="D25" i="1"/>
  <c r="AX12" i="1"/>
  <c r="AC16" i="1"/>
  <c r="W32" i="1"/>
  <c r="J17" i="1"/>
  <c r="AW11" i="1"/>
  <c r="AM17" i="1"/>
  <c r="AO40" i="1"/>
  <c r="M20" i="1"/>
  <c r="AG25" i="1"/>
  <c r="U35" i="1"/>
  <c r="X10" i="1"/>
  <c r="AR11" i="1"/>
  <c r="F10" i="1"/>
  <c r="O9" i="1"/>
  <c r="Q25" i="1"/>
  <c r="AX36" i="1"/>
  <c r="H9" i="1"/>
  <c r="F40" i="1"/>
  <c r="AG11" i="1"/>
  <c r="Q21" i="1"/>
  <c r="AG37" i="1"/>
  <c r="V6" i="1"/>
  <c r="AO29" i="1"/>
  <c r="AC24" i="1"/>
  <c r="AF30" i="1"/>
  <c r="N24" i="1"/>
  <c r="G23" i="1"/>
  <c r="R12" i="1"/>
  <c r="AJ9" i="1"/>
  <c r="AU19" i="1"/>
  <c r="X13" i="1"/>
  <c r="C18" i="1"/>
  <c r="AS37" i="1"/>
  <c r="AI40" i="1"/>
  <c r="X11" i="1"/>
  <c r="AI5" i="1"/>
  <c r="AE22" i="1"/>
  <c r="AG23" i="1"/>
  <c r="Q41" i="1"/>
  <c r="Z37" i="1"/>
  <c r="AT21" i="1"/>
  <c r="AC43" i="1"/>
  <c r="AG43" i="1"/>
  <c r="U25" i="1"/>
  <c r="AH42" i="1"/>
  <c r="AL25" i="1"/>
  <c r="Z35" i="1"/>
  <c r="AH30" i="1"/>
  <c r="AM35" i="1"/>
  <c r="AU17" i="1"/>
  <c r="P10" i="1"/>
  <c r="G34" i="1"/>
  <c r="D33" i="1"/>
  <c r="AY40" i="1"/>
  <c r="B21" i="1"/>
  <c r="E28" i="1"/>
  <c r="AT39" i="1"/>
  <c r="AO19" i="1"/>
  <c r="AN38" i="1"/>
  <c r="AW12" i="1"/>
  <c r="AL36" i="1"/>
  <c r="AP32" i="1"/>
  <c r="AP29" i="1"/>
  <c r="AV31" i="1"/>
  <c r="L8" i="1"/>
  <c r="AW38" i="1"/>
  <c r="Q10" i="1"/>
  <c r="AE29" i="1"/>
  <c r="D37" i="1"/>
  <c r="AC28" i="1"/>
  <c r="AF26" i="1"/>
  <c r="S15" i="1"/>
  <c r="AQ40" i="1"/>
  <c r="AD24" i="1"/>
  <c r="AE33" i="1"/>
  <c r="AQ9" i="1"/>
  <c r="Y7" i="1"/>
  <c r="AF15" i="1"/>
  <c r="R6" i="1"/>
  <c r="T5" i="1"/>
  <c r="J14" i="1"/>
  <c r="AT34" i="1"/>
  <c r="AP19" i="1"/>
  <c r="AE38" i="1"/>
  <c r="C11" i="1"/>
  <c r="W28" i="1"/>
  <c r="I22" i="1"/>
  <c r="I15" i="1"/>
  <c r="K38" i="1"/>
  <c r="AU32" i="1"/>
  <c r="R9" i="1"/>
  <c r="AM32" i="1"/>
  <c r="AV34" i="1"/>
  <c r="AH8" i="1"/>
  <c r="L34" i="1"/>
  <c r="G27" i="1"/>
  <c r="AH17" i="1"/>
  <c r="X32" i="1"/>
  <c r="AA8" i="1"/>
  <c r="AJ40" i="1"/>
  <c r="AA27" i="1"/>
  <c r="AQ16" i="1"/>
  <c r="AM37" i="1"/>
  <c r="AG41" i="1"/>
  <c r="AH20" i="1"/>
  <c r="N23" i="1"/>
  <c r="Z6" i="1"/>
  <c r="L25" i="1"/>
  <c r="F36" i="1"/>
  <c r="AA18" i="1"/>
  <c r="AP18" i="1"/>
  <c r="AW25" i="1"/>
  <c r="AU22" i="1"/>
  <c r="AM42" i="1"/>
  <c r="K31" i="1"/>
  <c r="AW28" i="1"/>
  <c r="AY25" i="1"/>
  <c r="E9" i="1"/>
  <c r="C41" i="1"/>
  <c r="I13" i="1"/>
  <c r="F20" i="1"/>
  <c r="AH41" i="1"/>
  <c r="J21" i="1"/>
  <c r="AJ12" i="1"/>
  <c r="AK34" i="1"/>
  <c r="N22" i="1"/>
  <c r="AR9" i="1"/>
  <c r="Z10" i="1"/>
  <c r="AJ37" i="1"/>
  <c r="AV33" i="1"/>
  <c r="O20" i="1"/>
  <c r="AD43" i="1"/>
  <c r="AH43" i="1"/>
  <c r="U16" i="1"/>
  <c r="T29" i="1"/>
  <c r="AQ20" i="1"/>
  <c r="AT28" i="1"/>
  <c r="AH32" i="1"/>
  <c r="AT42" i="1"/>
  <c r="AD30" i="1"/>
  <c r="Y35" i="1"/>
  <c r="AA42" i="1"/>
  <c r="E34" i="1"/>
  <c r="AM41" i="1"/>
  <c r="AE13" i="1"/>
  <c r="AF42" i="1"/>
  <c r="AE17" i="1"/>
  <c r="AR16" i="1"/>
  <c r="P39" i="1"/>
  <c r="AQ14" i="1"/>
  <c r="Q22" i="1"/>
  <c r="AN19" i="1"/>
  <c r="E15" i="1"/>
  <c r="AG9" i="1"/>
  <c r="AH13" i="1"/>
  <c r="AF36" i="1"/>
  <c r="AQ30" i="1"/>
  <c r="S21" i="1"/>
  <c r="T14" i="1"/>
  <c r="AK20" i="1"/>
  <c r="R38" i="1"/>
  <c r="AH25" i="1"/>
  <c r="I19" i="1"/>
  <c r="AF27" i="1"/>
  <c r="AP21" i="1"/>
  <c r="K6" i="1"/>
  <c r="AS9" i="1"/>
  <c r="P38" i="1"/>
  <c r="AA13" i="1"/>
  <c r="C12" i="1"/>
  <c r="AB30" i="1"/>
  <c r="N12" i="1"/>
  <c r="Y11" i="1"/>
  <c r="J41" i="1"/>
  <c r="AX6" i="1"/>
  <c r="AE10" i="1"/>
  <c r="AA29" i="1"/>
  <c r="J36" i="1"/>
  <c r="AV35" i="1"/>
  <c r="AR37" i="1"/>
  <c r="AX42" i="1"/>
  <c r="AT7" i="1"/>
  <c r="AX28" i="1"/>
  <c r="R8" i="1"/>
  <c r="AS22" i="1"/>
  <c r="AK9" i="1"/>
  <c r="AI15" i="1"/>
  <c r="T26" i="1"/>
  <c r="F17" i="1"/>
  <c r="AX19" i="1"/>
  <c r="AL29" i="1"/>
  <c r="Q42" i="1"/>
  <c r="AN13" i="1"/>
  <c r="AA7" i="1"/>
  <c r="Q28" i="1"/>
  <c r="AK19" i="1"/>
  <c r="S9" i="1"/>
  <c r="Y8" i="1"/>
  <c r="AW6" i="1"/>
  <c r="AN26" i="1"/>
  <c r="AQ18" i="1"/>
  <c r="F32" i="1"/>
  <c r="M35" i="1"/>
  <c r="AV12" i="1"/>
  <c r="AM9" i="1"/>
  <c r="AU24" i="1"/>
  <c r="N32" i="1"/>
  <c r="G10" i="1"/>
  <c r="AX34" i="1"/>
  <c r="O42" i="1"/>
  <c r="AM12" i="1"/>
  <c r="B33" i="1"/>
  <c r="J5" i="1"/>
  <c r="I27" i="1"/>
  <c r="AU14" i="1"/>
  <c r="AN15" i="1"/>
  <c r="G25" i="1"/>
  <c r="Q27" i="1"/>
  <c r="AH19" i="1"/>
  <c r="AR25" i="1"/>
  <c r="AD18" i="1"/>
  <c r="AF33" i="1"/>
  <c r="V35" i="1"/>
  <c r="J35" i="1"/>
  <c r="AG15" i="1"/>
  <c r="X24" i="1"/>
  <c r="AC14" i="1"/>
  <c r="AO25" i="1"/>
  <c r="Z41" i="1"/>
  <c r="AE43" i="1"/>
  <c r="M43" i="1"/>
  <c r="V15" i="1"/>
  <c r="P22" i="1"/>
  <c r="L24" i="1"/>
  <c r="V41" i="1"/>
  <c r="L32" i="1"/>
  <c r="T40" i="1"/>
  <c r="Q13" i="1"/>
  <c r="S5" i="1"/>
  <c r="AG39" i="1"/>
  <c r="X21" i="1"/>
  <c r="AC9" i="1"/>
  <c r="X18" i="1"/>
  <c r="K19" i="1"/>
  <c r="AI10" i="1"/>
  <c r="H32" i="1"/>
  <c r="AF11" i="1"/>
  <c r="AN22" i="1"/>
  <c r="AJ32" i="1"/>
  <c r="S22" i="1"/>
  <c r="AR42" i="1"/>
  <c r="AK30" i="1"/>
  <c r="M6" i="1"/>
  <c r="U8" i="1"/>
  <c r="K21" i="1"/>
  <c r="AW40" i="1"/>
  <c r="AB29" i="1"/>
  <c r="J25" i="1"/>
  <c r="V26" i="1"/>
  <c r="AV16" i="1"/>
  <c r="K26" i="1"/>
  <c r="O14" i="1"/>
  <c r="AS40" i="1"/>
  <c r="E22" i="1"/>
  <c r="AG20" i="1"/>
  <c r="AQ17" i="1"/>
  <c r="AR28" i="1"/>
  <c r="AG31" i="1"/>
  <c r="Z9" i="1"/>
  <c r="R17" i="1"/>
  <c r="L19" i="1"/>
  <c r="C29" i="1"/>
  <c r="X23" i="1"/>
  <c r="AD29" i="1"/>
  <c r="N42" i="1"/>
  <c r="AV18" i="1"/>
  <c r="AW42" i="1"/>
  <c r="I40" i="1"/>
  <c r="AM6" i="1"/>
  <c r="AV37" i="1"/>
  <c r="Y29" i="1"/>
  <c r="V34" i="1"/>
  <c r="AM21" i="1"/>
  <c r="AA15" i="1"/>
  <c r="J23" i="1"/>
  <c r="AI26" i="1"/>
  <c r="K40" i="1"/>
  <c r="U11" i="1"/>
  <c r="D16" i="1"/>
  <c r="AJ6" i="1"/>
  <c r="AV23" i="1"/>
  <c r="D6" i="1"/>
  <c r="AR18" i="1"/>
  <c r="AH21" i="1"/>
  <c r="AD9" i="1"/>
  <c r="AB22" i="1"/>
  <c r="AX17" i="1"/>
  <c r="V12" i="1"/>
  <c r="O15" i="1"/>
  <c r="J39" i="1"/>
  <c r="C38" i="1"/>
  <c r="P41" i="1"/>
  <c r="L14" i="1"/>
  <c r="AS16" i="1"/>
  <c r="X37" i="1"/>
  <c r="AX33" i="1"/>
  <c r="AJ34" i="1"/>
  <c r="U26" i="1"/>
  <c r="AR14" i="1"/>
  <c r="AB17" i="1"/>
  <c r="O26" i="1"/>
  <c r="AO37" i="1"/>
  <c r="B6" i="1"/>
  <c r="R35" i="1"/>
  <c r="S24" i="1"/>
  <c r="AF12" i="1"/>
  <c r="W36" i="1"/>
  <c r="AA14" i="1"/>
  <c r="AM40" i="1"/>
  <c r="AF43" i="1"/>
  <c r="AM43" i="1"/>
  <c r="Z21" i="1"/>
  <c r="K8" i="1"/>
  <c r="S18" i="1"/>
  <c r="AQ33" i="1"/>
  <c r="T15" i="1"/>
  <c r="AW33" i="1"/>
  <c r="AP23" i="1"/>
  <c r="AK25" i="1"/>
  <c r="F19" i="1"/>
  <c r="K42" i="1"/>
  <c r="F16" i="1"/>
  <c r="AV6" i="1"/>
  <c r="AE27" i="1"/>
  <c r="U7" i="1"/>
  <c r="W27" i="1"/>
  <c r="M5" i="1"/>
  <c r="AC21" i="1"/>
  <c r="L7" i="1"/>
  <c r="D27" i="1"/>
  <c r="L35" i="1"/>
  <c r="E18" i="1"/>
  <c r="AS17" i="1"/>
  <c r="C7" i="1"/>
  <c r="N25" i="1"/>
  <c r="G17" i="1"/>
  <c r="P32" i="1"/>
  <c r="V42" i="1"/>
  <c r="AU6" i="1"/>
  <c r="AH24" i="1"/>
  <c r="AC22" i="1"/>
  <c r="W40" i="1"/>
  <c r="AL38" i="1"/>
  <c r="AB37" i="1"/>
  <c r="M13" i="1"/>
  <c r="U28" i="1"/>
  <c r="AQ26" i="1"/>
  <c r="AG18" i="1"/>
  <c r="D7" i="1"/>
  <c r="AX32" i="1"/>
  <c r="AW15" i="1"/>
  <c r="K5" i="1"/>
  <c r="T6" i="1"/>
  <c r="S10" i="1"/>
  <c r="AC29" i="1"/>
  <c r="H34" i="1"/>
  <c r="AA37" i="1"/>
  <c r="AT29" i="1"/>
  <c r="AF7" i="1"/>
  <c r="AG8" i="1"/>
  <c r="AS18" i="1"/>
  <c r="V5" i="1"/>
  <c r="I17" i="1"/>
  <c r="F24" i="1"/>
  <c r="AU42" i="1"/>
  <c r="AF18" i="1"/>
  <c r="D32" i="1"/>
  <c r="M9" i="1"/>
  <c r="X29" i="1"/>
  <c r="Z34" i="1"/>
  <c r="AB26" i="1"/>
  <c r="P26" i="1"/>
  <c r="AY33" i="1"/>
  <c r="X16" i="1"/>
  <c r="AX8" i="1"/>
  <c r="AO30" i="1"/>
  <c r="E25" i="1"/>
  <c r="AE16" i="1"/>
  <c r="K13" i="1"/>
  <c r="AS19" i="1"/>
  <c r="F30" i="1"/>
  <c r="AC33" i="1"/>
  <c r="P5" i="1"/>
  <c r="C13" i="1"/>
  <c r="AN20" i="1"/>
  <c r="AP41" i="1"/>
  <c r="AG10" i="1"/>
  <c r="J28" i="1"/>
  <c r="AA21" i="1"/>
  <c r="AT18" i="1"/>
  <c r="H20" i="1"/>
  <c r="AX14" i="1"/>
  <c r="AR41" i="1"/>
  <c r="AH14" i="1"/>
  <c r="AC11" i="1"/>
  <c r="AS41" i="1"/>
  <c r="J43" i="1"/>
  <c r="Q43" i="1"/>
  <c r="AE9" i="1"/>
  <c r="U31" i="1"/>
  <c r="B12" i="1"/>
  <c r="AU7" i="1"/>
  <c r="B26" i="1"/>
  <c r="R18" i="1"/>
  <c r="AK36" i="1"/>
  <c r="AM14" i="1"/>
  <c r="AQ35" i="1"/>
  <c r="N41" i="1"/>
  <c r="AR32" i="1"/>
  <c r="AQ25" i="1"/>
  <c r="AU38" i="1"/>
  <c r="L28" i="1"/>
  <c r="AM15" i="1"/>
  <c r="AF16" i="1"/>
  <c r="M42" i="1"/>
  <c r="AL32" i="1"/>
  <c r="V30" i="1"/>
  <c r="AF32" i="1"/>
  <c r="AU36" i="1"/>
  <c r="T20" i="1"/>
  <c r="X5" i="1"/>
  <c r="V39" i="1"/>
  <c r="AS24" i="1"/>
  <c r="AC31" i="1"/>
  <c r="AM27" i="1"/>
  <c r="AJ10" i="1"/>
  <c r="AW32" i="1"/>
  <c r="AB32" i="1"/>
  <c r="D15" i="1"/>
  <c r="AA6" i="1"/>
  <c r="AA36" i="1"/>
  <c r="M37" i="1"/>
  <c r="H12" i="1"/>
  <c r="P29" i="1"/>
  <c r="Y5" i="1"/>
  <c r="Y10" i="1"/>
  <c r="B24" i="1"/>
  <c r="Y25" i="1"/>
  <c r="AA5" i="1"/>
  <c r="AY9" i="1"/>
  <c r="J24" i="1"/>
  <c r="G29" i="1"/>
  <c r="K37" i="1"/>
  <c r="AN17" i="1"/>
  <c r="AU16" i="1"/>
  <c r="Z39" i="1"/>
  <c r="AX16" i="1"/>
  <c r="I6" i="1"/>
  <c r="C8" i="1"/>
  <c r="E16" i="1"/>
  <c r="U30" i="1"/>
  <c r="AR30" i="1"/>
  <c r="AK31" i="1"/>
  <c r="AQ8" i="1"/>
  <c r="AK16" i="1"/>
  <c r="AS8" i="1"/>
  <c r="H16" i="1"/>
  <c r="AE32" i="1"/>
  <c r="AN5" i="1"/>
  <c r="AW31" i="1"/>
  <c r="AI31" i="1"/>
  <c r="AN10" i="1"/>
  <c r="U40" i="1"/>
  <c r="W25" i="1"/>
  <c r="S27" i="1"/>
  <c r="AY41" i="1"/>
  <c r="AL9" i="1"/>
  <c r="E31" i="1"/>
  <c r="AO17" i="1"/>
  <c r="AJ7" i="1"/>
  <c r="AD36" i="1"/>
  <c r="K43" i="1"/>
  <c r="AA32" i="1"/>
  <c r="AP10" i="1"/>
  <c r="AA41" i="1"/>
  <c r="P31" i="1"/>
  <c r="N17" i="1"/>
  <c r="B37" i="1"/>
  <c r="G14" i="1"/>
  <c r="AP34" i="1"/>
  <c r="AK27" i="1"/>
  <c r="AY35" i="1"/>
  <c r="W38" i="1"/>
  <c r="P30" i="1"/>
  <c r="L43" i="1"/>
  <c r="U43" i="1"/>
  <c r="AR12" i="1"/>
  <c r="AC26" i="1"/>
  <c r="AC18" i="1"/>
  <c r="AE28" i="1"/>
  <c r="O41" i="1"/>
  <c r="AI29" i="1"/>
  <c r="AB28" i="1"/>
  <c r="AV22" i="1"/>
  <c r="O12" i="1"/>
  <c r="AU9" i="1"/>
  <c r="AX13" i="1"/>
  <c r="M15" i="1"/>
  <c r="AV13" i="1"/>
  <c r="F28" i="1"/>
  <c r="H25" i="1"/>
  <c r="AB11" i="1"/>
  <c r="X34" i="1"/>
  <c r="AT14" i="1"/>
  <c r="AG21" i="1"/>
  <c r="AB10" i="1"/>
  <c r="AX9" i="1"/>
  <c r="O24" i="1"/>
  <c r="AC5" i="1"/>
  <c r="AQ41" i="1"/>
  <c r="L9" i="1"/>
  <c r="W21" i="1"/>
  <c r="O6" i="1"/>
  <c r="S26" i="1"/>
  <c r="H26" i="1"/>
  <c r="R11" i="1"/>
  <c r="AN42" i="1"/>
  <c r="AB7" i="1"/>
  <c r="AU21" i="1"/>
  <c r="Q26" i="1"/>
  <c r="AW5" i="1"/>
  <c r="Z31" i="1"/>
  <c r="AA40" i="1"/>
  <c r="I7" i="1"/>
  <c r="B5" i="1"/>
  <c r="B30" i="1"/>
  <c r="V17" i="1"/>
  <c r="AV28" i="1"/>
  <c r="AG36" i="1"/>
  <c r="AR24" i="1"/>
  <c r="AF19" i="1"/>
  <c r="L10" i="1"/>
  <c r="AP11" i="1"/>
  <c r="AN16" i="1"/>
  <c r="Q38" i="1"/>
  <c r="Q18" i="1"/>
  <c r="V19" i="1"/>
  <c r="E6" i="1"/>
  <c r="E33" i="1"/>
  <c r="X12" i="1"/>
  <c r="AY10" i="1"/>
  <c r="U41" i="1"/>
  <c r="T24" i="1"/>
  <c r="AB25" i="1"/>
  <c r="AT22" i="1"/>
  <c r="T23" i="1"/>
  <c r="AQ34" i="1"/>
  <c r="AS7" i="1"/>
  <c r="AF20" i="1"/>
  <c r="W26" i="1"/>
  <c r="AL27" i="1"/>
  <c r="AA25" i="1"/>
  <c r="S34" i="1"/>
  <c r="AO28" i="1"/>
  <c r="AA11" i="1"/>
  <c r="I16" i="1"/>
  <c r="AS38" i="1"/>
  <c r="S28" i="1"/>
  <c r="K22" i="1"/>
  <c r="E20" i="1"/>
  <c r="J12" i="1"/>
  <c r="F8" i="1"/>
  <c r="U22" i="1"/>
  <c r="Z30" i="1"/>
  <c r="P7" i="1"/>
  <c r="X43" i="1"/>
  <c r="AK24" i="1"/>
  <c r="AI16" i="1"/>
  <c r="B16" i="1"/>
  <c r="AG30" i="1"/>
  <c r="AA10" i="1"/>
  <c r="AY21" i="1"/>
  <c r="N37" i="1"/>
  <c r="AD8" i="1"/>
  <c r="AO21" i="1"/>
  <c r="AM19" i="1"/>
  <c r="J18" i="1"/>
  <c r="R7" i="1"/>
  <c r="N11" i="1"/>
  <c r="X41" i="1"/>
  <c r="D24" i="1"/>
  <c r="AE36" i="1"/>
  <c r="AD19" i="1"/>
  <c r="W31" i="1"/>
  <c r="G36" i="1"/>
  <c r="H40" i="1"/>
  <c r="Z32" i="1"/>
  <c r="AP36" i="1"/>
  <c r="AI32" i="1"/>
  <c r="AH28" i="1"/>
  <c r="G16" i="1"/>
  <c r="AG5" i="1"/>
  <c r="AK43" i="1"/>
  <c r="AL43" i="1"/>
  <c r="D43" i="1"/>
  <c r="I20" i="1"/>
  <c r="AS28" i="1"/>
  <c r="AR13" i="1"/>
  <c r="Q36" i="1"/>
  <c r="R36" i="1"/>
  <c r="AN37" i="1"/>
  <c r="AX35" i="1"/>
  <c r="AE19" i="1"/>
  <c r="H13" i="1"/>
  <c r="H33" i="1"/>
  <c r="Q9" i="1"/>
  <c r="AV27" i="1"/>
  <c r="AN21" i="1"/>
  <c r="V10" i="1"/>
  <c r="J38" i="1"/>
  <c r="H15" i="1"/>
  <c r="S30" i="1"/>
  <c r="AO13" i="1"/>
  <c r="AK26" i="1"/>
  <c r="AO12" i="1"/>
  <c r="F21" i="1"/>
  <c r="AR29" i="1"/>
  <c r="M40" i="1"/>
  <c r="AS36" i="1"/>
  <c r="AE15" i="1"/>
  <c r="I41" i="1"/>
  <c r="T36" i="1"/>
  <c r="P14" i="1"/>
  <c r="F27" i="1"/>
  <c r="F22" i="1"/>
  <c r="O8" i="1"/>
  <c r="G37" i="1"/>
  <c r="L22" i="1"/>
  <c r="AI21" i="1"/>
  <c r="S8" i="1"/>
  <c r="Z13" i="1"/>
  <c r="C24" i="1"/>
  <c r="AS14" i="1"/>
  <c r="AD40" i="1"/>
  <c r="Q20" i="1"/>
  <c r="D31" i="1"/>
  <c r="AW23" i="1"/>
  <c r="Q37" i="1"/>
  <c r="AU5" i="1"/>
  <c r="D22" i="1"/>
  <c r="G38" i="1"/>
  <c r="D41" i="1"/>
  <c r="Z28" i="1"/>
  <c r="Q14" i="1"/>
  <c r="E36" i="1"/>
  <c r="AI13" i="1"/>
  <c r="L29" i="1"/>
  <c r="X38" i="1"/>
  <c r="AA33" i="1"/>
  <c r="S12" i="1"/>
  <c r="AB36" i="1"/>
  <c r="V23" i="1"/>
  <c r="AC27" i="1"/>
  <c r="AB34" i="1"/>
  <c r="AJ33" i="1"/>
  <c r="AQ22" i="1"/>
  <c r="AV11" i="1"/>
  <c r="AY11" i="1"/>
  <c r="AV36" i="1"/>
  <c r="P34" i="1"/>
  <c r="AB8" i="1"/>
  <c r="G35" i="1"/>
  <c r="H36" i="1"/>
  <c r="AW13" i="1"/>
  <c r="J10" i="1"/>
  <c r="R15" i="1"/>
  <c r="D26" i="1"/>
  <c r="AN40" i="1"/>
  <c r="R31" i="1"/>
  <c r="D14" i="1"/>
  <c r="U36" i="1"/>
  <c r="I18" i="1"/>
  <c r="G5" i="1"/>
  <c r="AW29" i="1"/>
  <c r="Q15" i="1"/>
  <c r="K17" i="1"/>
  <c r="AC13" i="1"/>
  <c r="AI33" i="1"/>
  <c r="AN34" i="1"/>
  <c r="R19" i="1"/>
  <c r="B11" i="1"/>
  <c r="AE39" i="1"/>
  <c r="C37" i="1"/>
  <c r="C39" i="1"/>
  <c r="AI19" i="1"/>
  <c r="AD16" i="1"/>
  <c r="AP25" i="1"/>
  <c r="C31" i="1"/>
  <c r="R21" i="1"/>
  <c r="AM24" i="1"/>
  <c r="AP12" i="1"/>
  <c r="M31" i="1"/>
  <c r="AI17" i="1"/>
  <c r="AY7" i="1"/>
  <c r="AK35" i="1"/>
  <c r="I10" i="1"/>
  <c r="AM5" i="1"/>
  <c r="AK38" i="1"/>
  <c r="AK15" i="1"/>
  <c r="P43" i="1"/>
  <c r="R43" i="1"/>
  <c r="J8" i="1"/>
  <c r="S16" i="1"/>
  <c r="T22" i="1"/>
  <c r="E10" i="1"/>
  <c r="AM22" i="1"/>
  <c r="P6" i="1"/>
  <c r="AR23" i="1"/>
  <c r="Y20" i="1"/>
  <c r="P28" i="1"/>
  <c r="AW34" i="1"/>
  <c r="K41" i="1"/>
  <c r="W5" i="1"/>
  <c r="AI34" i="1"/>
  <c r="AG12" i="1"/>
  <c r="AR38" i="1"/>
  <c r="AH22" i="1"/>
  <c r="AY28" i="1"/>
  <c r="AK33" i="1"/>
  <c r="V29" i="1"/>
  <c r="N26" i="1"/>
  <c r="Y9" i="1"/>
  <c r="Q5" i="1"/>
  <c r="AV24" i="1"/>
  <c r="AK18" i="1"/>
  <c r="AQ28" i="1"/>
  <c r="V40" i="1"/>
  <c r="AB35" i="1"/>
  <c r="H35" i="1"/>
  <c r="C25" i="1"/>
  <c r="AP38" i="1"/>
  <c r="Z33" i="1"/>
  <c r="AK8" i="1"/>
  <c r="R40" i="1"/>
  <c r="AW26" i="1"/>
  <c r="AG19" i="1"/>
  <c r="L36" i="1"/>
  <c r="AB33" i="1"/>
  <c r="P24" i="1"/>
  <c r="I36" i="1"/>
  <c r="Y23" i="1"/>
  <c r="I35" i="1"/>
  <c r="AI37" i="1"/>
  <c r="J7" i="1"/>
  <c r="D10" i="1"/>
  <c r="V28" i="1"/>
  <c r="L11" i="1"/>
  <c r="H41" i="1"/>
  <c r="AS25" i="1"/>
  <c r="AO7" i="1"/>
  <c r="AL8" i="1"/>
  <c r="M11" i="1"/>
  <c r="T39" i="1"/>
  <c r="M23" i="1"/>
  <c r="P33" i="1"/>
  <c r="O18" i="1"/>
  <c r="H14" i="1"/>
  <c r="AL39" i="1"/>
  <c r="AV39" i="1"/>
  <c r="T10" i="1"/>
  <c r="AI23" i="1"/>
  <c r="T31" i="1"/>
  <c r="M38" i="1"/>
  <c r="AD32" i="1"/>
  <c r="W20" i="1"/>
  <c r="AJ19" i="1"/>
  <c r="M17" i="1"/>
  <c r="AE34" i="1"/>
  <c r="I21" i="1"/>
  <c r="R25" i="1"/>
  <c r="Y6" i="1"/>
  <c r="M36" i="1"/>
  <c r="Y41" i="1"/>
  <c r="AP27" i="1"/>
  <c r="Q12" i="1"/>
  <c r="AV10" i="1"/>
  <c r="P36" i="1"/>
  <c r="AV21" i="1"/>
  <c r="D34" i="1"/>
  <c r="Y42" i="1"/>
  <c r="J31" i="1"/>
  <c r="AL7" i="1"/>
  <c r="AK6" i="1"/>
  <c r="C23" i="1"/>
  <c r="AY22" i="1"/>
  <c r="AF21" i="1"/>
  <c r="H39" i="1"/>
  <c r="AV17" i="1"/>
  <c r="C20" i="1"/>
  <c r="E17" i="1"/>
  <c r="AW21" i="1"/>
  <c r="AK21" i="1"/>
  <c r="R16" i="1"/>
  <c r="AG13" i="1"/>
  <c r="N34" i="1"/>
  <c r="AA39" i="1"/>
  <c r="I29" i="1"/>
  <c r="N7" i="1"/>
  <c r="M8" i="1"/>
  <c r="J11" i="1"/>
  <c r="Z7" i="1"/>
  <c r="K39" i="1"/>
  <c r="W22" i="1"/>
  <c r="AO43" i="1"/>
  <c r="AU43" i="1"/>
  <c r="AT23" i="1"/>
  <c r="AE20" i="1"/>
  <c r="AV14" i="1"/>
  <c r="AP7" i="1"/>
  <c r="Y19" i="1"/>
  <c r="AN18" i="1"/>
  <c r="AP28" i="1"/>
  <c r="AP42" i="1"/>
  <c r="R32" i="1"/>
  <c r="AN41" i="1"/>
  <c r="AB21" i="1"/>
  <c r="G13" i="1"/>
  <c r="AO20" i="1"/>
  <c r="F14" i="1"/>
  <c r="G26" i="1"/>
  <c r="AF13" i="1"/>
  <c r="I34" i="1"/>
  <c r="AB24" i="1"/>
  <c r="E27" i="1"/>
  <c r="AT27" i="1"/>
  <c r="N30" i="1"/>
  <c r="M41" i="1"/>
  <c r="AH29" i="1"/>
  <c r="AW41" i="1"/>
  <c r="AF10" i="1"/>
  <c r="H11" i="1"/>
  <c r="E35" i="1"/>
  <c r="L17" i="1"/>
  <c r="AF22" i="1"/>
  <c r="W13" i="1"/>
  <c r="AY20" i="1"/>
  <c r="AT38" i="1"/>
  <c r="AE18" i="1"/>
  <c r="I11" i="1"/>
  <c r="M26" i="1"/>
  <c r="D38" i="1"/>
  <c r="AD26" i="1"/>
  <c r="X22" i="1"/>
  <c r="B25" i="1"/>
  <c r="AC38" i="1"/>
  <c r="AD15" i="1"/>
  <c r="AM13" i="1"/>
  <c r="E26" i="1"/>
  <c r="I28" i="1"/>
  <c r="AV5" i="1"/>
  <c r="AC32" i="1"/>
  <c r="V36" i="1"/>
  <c r="T21" i="1"/>
  <c r="AC41" i="1"/>
  <c r="K10" i="1"/>
  <c r="P37" i="1"/>
  <c r="B18" i="1"/>
  <c r="B38" i="1"/>
  <c r="AI28" i="1"/>
  <c r="AQ19" i="1"/>
  <c r="T42" i="1"/>
  <c r="H24" i="1"/>
  <c r="K11" i="1"/>
  <c r="AQ43" i="1"/>
  <c r="E43" i="1"/>
  <c r="AG38" i="1"/>
  <c r="AD42" i="1"/>
  <c r="X6" i="1"/>
  <c r="I39" i="1"/>
  <c r="AT10" i="1"/>
  <c r="B19" i="1"/>
  <c r="D28" i="1"/>
  <c r="AG28" i="1"/>
  <c r="O40" i="1"/>
  <c r="AU34" i="1"/>
  <c r="R37" i="1"/>
  <c r="AX24" i="1"/>
  <c r="AJ22" i="1"/>
  <c r="AU10" i="1"/>
  <c r="P21" i="1"/>
  <c r="AI20" i="1"/>
  <c r="AT24" i="1"/>
  <c r="S33" i="1"/>
  <c r="AT41" i="1"/>
  <c r="Q23" i="1"/>
  <c r="U18" i="1"/>
  <c r="AE6" i="1"/>
  <c r="J40" i="1"/>
  <c r="H22" i="1"/>
  <c r="AR40" i="1"/>
  <c r="S25" i="1"/>
  <c r="C22" i="1"/>
  <c r="AW36" i="1"/>
  <c r="AA19" i="1"/>
  <c r="X30" i="1"/>
  <c r="AS6" i="1"/>
  <c r="J13" i="1"/>
  <c r="S41" i="1"/>
  <c r="AF35" i="1"/>
  <c r="AQ12" i="1"/>
  <c r="AT20" i="1"/>
  <c r="AS33" i="1"/>
  <c r="AH35" i="1"/>
  <c r="U6" i="1"/>
  <c r="U33" i="1"/>
  <c r="AU27" i="1"/>
  <c r="AY36" i="1"/>
  <c r="AA28" i="1"/>
  <c r="W17" i="1"/>
  <c r="X19" i="1"/>
  <c r="C26" i="1"/>
  <c r="AU26" i="1"/>
  <c r="M21" i="1"/>
  <c r="F11" i="1"/>
  <c r="U13" i="1"/>
  <c r="F42" i="1"/>
  <c r="Z29" i="1"/>
  <c r="R22" i="1"/>
  <c r="AL41" i="1"/>
  <c r="W33" i="1"/>
  <c r="F35" i="1"/>
  <c r="S29" i="1"/>
  <c r="AX7" i="1"/>
  <c r="AL18" i="1"/>
  <c r="G9" i="1"/>
  <c r="R33" i="1"/>
  <c r="R13" i="1"/>
  <c r="K33" i="1"/>
  <c r="J30" i="1"/>
  <c r="AP14" i="1"/>
  <c r="AD6" i="1"/>
  <c r="AY29" i="1"/>
  <c r="AN12" i="1"/>
  <c r="Z25" i="1"/>
  <c r="AA9" i="1"/>
  <c r="AH23" i="1"/>
  <c r="Z5" i="1"/>
  <c r="E41" i="1"/>
  <c r="K32" i="1"/>
  <c r="AU23" i="1"/>
  <c r="AI39" i="1"/>
  <c r="AL6" i="1"/>
  <c r="AA31" i="1"/>
  <c r="AN7" i="1"/>
  <c r="AD17" i="1"/>
  <c r="AN27" i="1"/>
  <c r="M19" i="1"/>
  <c r="Z17" i="1"/>
  <c r="P15" i="1"/>
  <c r="X15" i="1"/>
  <c r="AA17" i="1"/>
  <c r="AS12" i="1"/>
  <c r="O27" i="1"/>
  <c r="AO42" i="1"/>
  <c r="AX22" i="1"/>
  <c r="K24" i="1"/>
  <c r="AG29" i="1"/>
  <c r="D12" i="1"/>
  <c r="AO22" i="1"/>
  <c r="G24" i="1"/>
  <c r="S35" i="1"/>
  <c r="AN6" i="1"/>
  <c r="Q11" i="1"/>
  <c r="S42" i="1"/>
  <c r="AO35" i="1"/>
  <c r="AL14" i="1"/>
  <c r="O30" i="1"/>
  <c r="AQ21" i="1"/>
  <c r="W37" i="1"/>
  <c r="AR17" i="1"/>
  <c r="AB13" i="1"/>
  <c r="AK42" i="1"/>
  <c r="AG6" i="1"/>
  <c r="I30" i="1"/>
  <c r="AR43" i="1"/>
  <c r="I43" i="1"/>
  <c r="E8" i="1"/>
  <c r="Y28" i="1"/>
  <c r="AK13" i="1"/>
  <c r="AQ32" i="1"/>
  <c r="AA23" i="1"/>
  <c r="Z22" i="1"/>
  <c r="N8" i="1"/>
  <c r="AP6" i="1"/>
  <c r="U19" i="1"/>
  <c r="K16" i="1"/>
  <c r="AB19" i="1"/>
  <c r="AQ24" i="1"/>
  <c r="O36" i="1"/>
  <c r="R41" i="1"/>
  <c r="V13" i="1"/>
  <c r="R26" i="1"/>
  <c r="AI41" i="1"/>
  <c r="AW9" i="1"/>
  <c r="W29" i="1"/>
  <c r="D9" i="1"/>
  <c r="AU37" i="1"/>
  <c r="E7" i="1"/>
  <c r="Z42" i="1"/>
  <c r="AD14" i="1"/>
  <c r="S13" i="1"/>
  <c r="AU15" i="1"/>
  <c r="AV15" i="1"/>
  <c r="G40" i="1"/>
  <c r="AM18" i="1"/>
  <c r="X27" i="1"/>
  <c r="AV41" i="1"/>
  <c r="AS30" i="1"/>
  <c r="AL31" i="1"/>
  <c r="U20" i="1"/>
  <c r="AM23" i="1"/>
  <c r="S38" i="1"/>
  <c r="AX29" i="1"/>
  <c r="C17" i="1"/>
  <c r="AO38" i="1"/>
  <c r="AT31" i="1"/>
  <c r="G22" i="1"/>
  <c r="O16" i="1"/>
  <c r="AX11" i="1"/>
  <c r="L20" i="1"/>
  <c r="AR15" i="1"/>
  <c r="H42" i="1"/>
  <c r="C40" i="1"/>
  <c r="R39" i="1"/>
  <c r="AL10" i="1"/>
  <c r="AY17" i="1"/>
  <c r="AB23" i="1"/>
  <c r="N39" i="1"/>
  <c r="AW30" i="1"/>
  <c r="T38" i="1"/>
  <c r="V31" i="1"/>
  <c r="E24" i="1"/>
  <c r="AT32" i="1"/>
  <c r="D40" i="1"/>
  <c r="AX23" i="1"/>
  <c r="Q39" i="1"/>
  <c r="Q31" i="1"/>
  <c r="K28" i="1"/>
  <c r="Y39" i="1"/>
  <c r="Z15" i="1"/>
  <c r="H29" i="1"/>
  <c r="R23" i="1"/>
  <c r="U15" i="1"/>
  <c r="AL23" i="1"/>
  <c r="AE7" i="1"/>
  <c r="AR36" i="1"/>
  <c r="AV26" i="1"/>
  <c r="AO9" i="1"/>
  <c r="AN14" i="1"/>
  <c r="AG40" i="1"/>
  <c r="AV29" i="1"/>
  <c r="AS15" i="1"/>
  <c r="P35" i="1"/>
  <c r="AD20" i="1"/>
  <c r="AT11" i="1"/>
  <c r="AY12" i="1"/>
  <c r="B27" i="1"/>
  <c r="AB27" i="1"/>
  <c r="C10" i="1"/>
  <c r="K15" i="1"/>
  <c r="X33" i="1"/>
  <c r="N5" i="1"/>
  <c r="AW10" i="1"/>
  <c r="AT30" i="1"/>
  <c r="AS43" i="1"/>
  <c r="AI43" i="1"/>
  <c r="G39" i="1"/>
  <c r="Q33" i="1"/>
  <c r="AV42" i="1"/>
  <c r="H5" i="1"/>
  <c r="AF28" i="1"/>
  <c r="N28" i="1"/>
  <c r="AL5" i="1"/>
  <c r="C16" i="1"/>
  <c r="AQ5" i="1"/>
  <c r="AX31" i="1"/>
  <c r="L23" i="1"/>
  <c r="O21" i="1"/>
  <c r="AO11" i="1"/>
  <c r="AQ36" i="1"/>
  <c r="E30" i="1"/>
  <c r="AW24" i="1"/>
  <c r="AB5" i="1"/>
  <c r="AD28" i="1"/>
  <c r="AN33" i="1"/>
  <c r="AG26" i="1"/>
  <c r="R27" i="1"/>
  <c r="AA16" i="1"/>
  <c r="L31" i="1"/>
  <c r="L21" i="1"/>
  <c r="Q40" i="1"/>
  <c r="AJ38" i="1"/>
  <c r="AJ26" i="1"/>
  <c r="R42" i="1"/>
  <c r="T8" i="1"/>
  <c r="W39" i="1"/>
  <c r="AG24" i="1"/>
  <c r="AT8" i="1"/>
  <c r="Z20" i="1"/>
  <c r="I26" i="1"/>
  <c r="P18" i="1"/>
  <c r="AK40" i="1"/>
  <c r="AP17" i="1"/>
  <c r="AM33" i="1"/>
  <c r="L5" i="1"/>
  <c r="AV20" i="1"/>
  <c r="N14" i="1"/>
  <c r="AB39" i="1"/>
  <c r="T33" i="1"/>
  <c r="H8" i="1"/>
  <c r="AV19" i="1"/>
  <c r="B28" i="1"/>
  <c r="AN28" i="1"/>
  <c r="AT26" i="1"/>
  <c r="Y15" i="1"/>
  <c r="AN29" i="1"/>
  <c r="W23" i="1"/>
  <c r="AA26" i="1"/>
  <c r="AL30" i="1"/>
  <c r="AO8" i="1"/>
  <c r="X25" i="1"/>
  <c r="AY38" i="1"/>
  <c r="J19" i="1"/>
  <c r="AE37" i="1"/>
  <c r="AW37" i="1"/>
  <c r="D42" i="1"/>
  <c r="AM28" i="1"/>
  <c r="AB38" i="1"/>
  <c r="AR39" i="1"/>
  <c r="AK29" i="1"/>
  <c r="M12" i="1"/>
  <c r="AH27" i="1"/>
  <c r="Y16" i="1"/>
  <c r="X17" i="1"/>
  <c r="V20" i="1"/>
  <c r="P42" i="1"/>
  <c r="AJ43" i="1"/>
  <c r="G41" i="1"/>
  <c r="N33" i="1"/>
  <c r="O31" i="1"/>
  <c r="C32" i="1"/>
  <c r="W34" i="1"/>
  <c r="S6" i="1"/>
  <c r="AL12" i="1"/>
  <c r="AH9" i="1"/>
  <c r="G20" i="1"/>
  <c r="L42" i="1"/>
  <c r="AR20" i="1"/>
  <c r="AC12" i="1"/>
  <c r="AJ42" i="1"/>
  <c r="AC37" i="1"/>
  <c r="AO15" i="1"/>
  <c r="AG27" i="1"/>
  <c r="N38" i="1"/>
  <c r="J33" i="1"/>
  <c r="N31" i="1"/>
  <c r="AP15" i="1"/>
  <c r="N21" i="1"/>
  <c r="J26" i="1"/>
  <c r="AT43" i="1"/>
  <c r="AV43" i="1"/>
  <c r="N43" i="1"/>
  <c r="Z12" i="1"/>
  <c r="AY32" i="1"/>
  <c r="B34" i="1"/>
  <c r="AF29" i="1"/>
  <c r="AW7" i="1"/>
  <c r="F7" i="1"/>
  <c r="N27" i="1"/>
  <c r="AO14" i="1"/>
  <c r="AH33" i="1"/>
  <c r="AT36" i="1"/>
  <c r="K36" i="1"/>
  <c r="AO6" i="1"/>
  <c r="AH18" i="1"/>
  <c r="AP22" i="1"/>
  <c r="S40" i="1"/>
  <c r="AS27" i="1"/>
  <c r="AW18" i="1"/>
  <c r="F29" i="1"/>
  <c r="AI12" i="1"/>
  <c r="AE25" i="1"/>
  <c r="X35" i="1"/>
  <c r="AL35" i="1"/>
  <c r="W18" i="1"/>
  <c r="T34" i="1"/>
  <c r="L16" i="1"/>
  <c r="AD39" i="1"/>
  <c r="AX5" i="1"/>
  <c r="AQ15" i="1"/>
  <c r="AW35" i="1"/>
  <c r="M28" i="1"/>
  <c r="AP39" i="1"/>
  <c r="I31" i="1"/>
  <c r="B40" i="1"/>
  <c r="L39" i="1"/>
  <c r="P19" i="1"/>
  <c r="AP13" i="1"/>
  <c r="AX27" i="1"/>
  <c r="AC6" i="1"/>
  <c r="J16" i="1"/>
  <c r="AV7" i="1"/>
  <c r="M39" i="1"/>
  <c r="Q8" i="1"/>
  <c r="C27" i="1"/>
  <c r="J37" i="1"/>
  <c r="AA20" i="1"/>
  <c r="AB9" i="1"/>
  <c r="P20" i="1"/>
  <c r="AN9" i="1"/>
  <c r="AO41" i="1"/>
  <c r="M25" i="1"/>
  <c r="F18" i="1"/>
  <c r="AU33" i="1"/>
  <c r="AJ15" i="1"/>
  <c r="E19" i="1"/>
  <c r="AN24" i="1"/>
  <c r="AQ42" i="1"/>
  <c r="AJ20" i="1"/>
  <c r="H17" i="1"/>
  <c r="AV32" i="1"/>
  <c r="AU40" i="1"/>
  <c r="X36" i="1"/>
  <c r="AY16" i="1"/>
  <c r="B42" i="1"/>
  <c r="AM11" i="1"/>
  <c r="AA35" i="1"/>
  <c r="AF34" i="1"/>
  <c r="AL11" i="1"/>
  <c r="AV38" i="1"/>
  <c r="R10" i="1"/>
  <c r="AN25" i="1"/>
  <c r="AL20" i="1"/>
  <c r="J29" i="1"/>
  <c r="F9" i="1"/>
  <c r="AJ39" i="1"/>
  <c r="E38" i="1"/>
  <c r="AC20" i="1"/>
  <c r="U27" i="1"/>
  <c r="AI36" i="1"/>
  <c r="AJ35" i="1"/>
  <c r="AX30" i="1"/>
  <c r="N40" i="1"/>
  <c r="AI14" i="1"/>
  <c r="AW14" i="1"/>
  <c r="T25" i="1"/>
  <c r="S43" i="1"/>
  <c r="AE41" i="1"/>
  <c r="AO33" i="1"/>
  <c r="U38" i="1"/>
  <c r="AW43" i="1"/>
  <c r="O43" i="1"/>
  <c r="W10" i="1"/>
  <c r="AP16" i="1"/>
  <c r="X8" i="1"/>
  <c r="AK11" i="1"/>
  <c r="C42" i="1"/>
  <c r="AY18" i="1"/>
  <c r="W9" i="1"/>
  <c r="AU12" i="1"/>
  <c r="D19" i="1"/>
  <c r="M16" i="1"/>
  <c r="AC36" i="1"/>
  <c r="AU41" i="1"/>
  <c r="N13" i="1"/>
  <c r="D5" i="1"/>
  <c r="V21" i="1"/>
  <c r="C30" i="1"/>
  <c r="D29" i="1"/>
  <c r="G42" i="1"/>
  <c r="AN8" i="1"/>
  <c r="B32" i="1"/>
  <c r="AF6" i="1"/>
  <c r="F5" i="1"/>
  <c r="S31" i="1"/>
  <c r="T19" i="1"/>
  <c r="T16" i="1"/>
  <c r="AX26" i="1"/>
  <c r="R24" i="1"/>
  <c r="I24" i="1"/>
  <c r="Y34" i="1"/>
  <c r="AK10" i="1"/>
  <c r="B13" i="1"/>
  <c r="W14" i="1"/>
  <c r="AL22" i="1"/>
  <c r="C15" i="1"/>
  <c r="AG14" i="1"/>
  <c r="O19" i="1"/>
  <c r="AI27" i="1"/>
  <c r="V25" i="1"/>
  <c r="H28" i="1"/>
  <c r="M29" i="1"/>
  <c r="AP20" i="1"/>
  <c r="AO34" i="1"/>
  <c r="L13" i="1"/>
  <c r="U32" i="1"/>
  <c r="AL17" i="1"/>
  <c r="AG42" i="1"/>
  <c r="O11" i="1"/>
  <c r="V32" i="1"/>
  <c r="AH36" i="1"/>
  <c r="AH5" i="1"/>
  <c r="AO10" i="1"/>
  <c r="F41" i="1"/>
  <c r="AJ18" i="1"/>
  <c r="AK7" i="1"/>
  <c r="F31" i="1"/>
  <c r="AM16" i="1"/>
  <c r="W24" i="1"/>
  <c r="AY37" i="1"/>
  <c r="B17" i="1"/>
  <c r="AD11" i="1"/>
  <c r="F12" i="1"/>
  <c r="AD13" i="1"/>
  <c r="H6" i="1"/>
  <c r="G32" i="1"/>
  <c r="B14" i="1"/>
  <c r="G15" i="1"/>
  <c r="C35" i="1"/>
  <c r="I23" i="1"/>
  <c r="V37" i="1"/>
  <c r="AR26" i="1"/>
  <c r="C21" i="1"/>
  <c r="L30" i="1"/>
  <c r="AF17" i="1"/>
  <c r="AL24" i="1"/>
  <c r="AW39" i="1"/>
  <c r="AH39" i="1"/>
  <c r="AG7" i="1"/>
  <c r="U21" i="1"/>
  <c r="L26" i="1"/>
  <c r="W7" i="1"/>
  <c r="AP5" i="1"/>
  <c r="AJ25" i="1"/>
  <c r="H30" i="1"/>
  <c r="I5" i="1"/>
  <c r="AH7" i="1"/>
  <c r="T32" i="1"/>
  <c r="AL21" i="1"/>
  <c r="AT35" i="1"/>
  <c r="Y24" i="1"/>
  <c r="AM31" i="1"/>
  <c r="AS32" i="1"/>
  <c r="AM36" i="1"/>
  <c r="AN31" i="1"/>
  <c r="AC23" i="1"/>
  <c r="AW17" i="1"/>
  <c r="C43" i="1"/>
  <c r="AN43" i="1"/>
  <c r="D13" i="1"/>
  <c r="J34" i="1"/>
  <c r="J42" i="1"/>
  <c r="S39" i="1"/>
  <c r="B39" i="1"/>
  <c r="AL19" i="1"/>
  <c r="AP33" i="1"/>
  <c r="AF40" i="1"/>
  <c r="F15" i="1"/>
  <c r="H23" i="1"/>
  <c r="AQ27" i="1"/>
  <c r="AX15" i="1"/>
  <c r="F34" i="1"/>
  <c r="V9" i="1"/>
  <c r="Y13" i="1"/>
  <c r="AY26" i="1"/>
  <c r="AY23" i="1"/>
  <c r="AU29" i="1"/>
  <c r="AB20" i="1"/>
  <c r="AA34" i="1"/>
  <c r="J15" i="1"/>
  <c r="N15" i="1"/>
  <c r="D30" i="1"/>
  <c r="AD27" i="1"/>
  <c r="F39" i="1"/>
  <c r="AY15" i="1"/>
  <c r="AP40" i="1"/>
  <c r="Y37" i="1"/>
  <c r="AO36" i="1"/>
  <c r="AK14" i="1"/>
  <c r="C9" i="1"/>
  <c r="I25" i="1"/>
  <c r="AI7" i="1"/>
  <c r="E40" i="1"/>
  <c r="T41" i="1"/>
  <c r="F23" i="1"/>
  <c r="AM20" i="1"/>
  <c r="AY8" i="1"/>
  <c r="C5" i="1"/>
  <c r="N18" i="1"/>
  <c r="S20" i="1"/>
  <c r="B23" i="1"/>
  <c r="AA30" i="1"/>
  <c r="AR27" i="1"/>
  <c r="G21" i="1"/>
  <c r="O34" i="1"/>
  <c r="AJ8" i="1"/>
  <c r="AP26" i="1"/>
  <c r="AG35" i="1"/>
  <c r="K14" i="1"/>
  <c r="G11" i="1"/>
  <c r="B36" i="1"/>
  <c r="J20" i="1"/>
  <c r="C14" i="1"/>
  <c r="AT19" i="1"/>
  <c r="G8" i="1"/>
  <c r="AW20" i="1"/>
  <c r="AJ27" i="1"/>
  <c r="N6" i="1"/>
  <c r="I32" i="1"/>
  <c r="Z38" i="1"/>
  <c r="P12" i="1"/>
  <c r="Z24" i="1"/>
  <c r="AL13" i="1"/>
  <c r="AB16" i="1"/>
  <c r="K20" i="1"/>
  <c r="AY27" i="1"/>
  <c r="AD23" i="1"/>
  <c r="T12" i="1"/>
  <c r="AJ29" i="1"/>
  <c r="AH16" i="1"/>
  <c r="Z18" i="1"/>
  <c r="AH11" i="1"/>
  <c r="U23" i="1"/>
  <c r="X26" i="1"/>
  <c r="AM7" i="1"/>
  <c r="S37" i="1"/>
  <c r="D11" i="1"/>
  <c r="G6" i="1"/>
  <c r="AJ11" i="1"/>
  <c r="AE30" i="1"/>
  <c r="B41" i="1"/>
  <c r="AD5" i="1"/>
  <c r="AV9" i="1"/>
  <c r="X7" i="1"/>
  <c r="Z8" i="1"/>
  <c r="AT12" i="1"/>
  <c r="U14" i="1"/>
  <c r="G31" i="1"/>
  <c r="O10" i="1"/>
  <c r="AJ13" i="1"/>
  <c r="AP31" i="1"/>
  <c r="AH37" i="1"/>
  <c r="AA43" i="1"/>
  <c r="AP43" i="1"/>
  <c r="K9" i="1"/>
  <c r="AD38" i="1"/>
  <c r="AD31" i="1"/>
  <c r="O7" i="1"/>
  <c r="W15" i="1"/>
  <c r="AF39" i="1"/>
  <c r="R20" i="1"/>
  <c r="AE14" i="1"/>
  <c r="AE31" i="1"/>
  <c r="X9" i="1"/>
  <c r="AP30" i="1"/>
  <c r="AX10" i="1"/>
  <c r="AX40" i="1"/>
  <c r="V18" i="1"/>
  <c r="AS34" i="1"/>
  <c r="AS20" i="1"/>
  <c r="AV25" i="1"/>
  <c r="AG17" i="1"/>
  <c r="AQ11" i="1"/>
  <c r="AR10" i="1"/>
  <c r="V8" i="1"/>
  <c r="E12" i="1"/>
  <c r="AO23" i="1"/>
  <c r="I8" i="1"/>
  <c r="AF38" i="1"/>
  <c r="AO16" i="1"/>
  <c r="U39" i="1"/>
  <c r="Z40" i="1"/>
  <c r="AS5" i="1"/>
  <c r="G18" i="1"/>
  <c r="AI11" i="1"/>
  <c r="D20" i="1"/>
  <c r="X31" i="1"/>
  <c r="AD37" i="1"/>
  <c r="C28" i="1"/>
  <c r="AP37" i="1"/>
  <c r="T28" i="1"/>
  <c r="Q24" i="1"/>
  <c r="AS13" i="1"/>
  <c r="F38" i="1"/>
  <c r="G19" i="1"/>
  <c r="AJ36" i="1"/>
  <c r="AK5" i="1"/>
  <c r="AY34" i="1"/>
  <c r="AM38" i="1"/>
  <c r="AO26" i="1"/>
  <c r="AO24" i="1"/>
  <c r="R5" i="1"/>
  <c r="K27" i="1"/>
  <c r="T13" i="1"/>
  <c r="L41" i="1"/>
  <c r="AO5" i="1"/>
  <c r="G12" i="1"/>
  <c r="AC40" i="1"/>
  <c r="AV30" i="1"/>
  <c r="AD21" i="1"/>
  <c r="D36" i="1"/>
  <c r="AJ30" i="1"/>
  <c r="G7" i="1"/>
  <c r="X39" i="1"/>
  <c r="AC7" i="1"/>
  <c r="N10" i="1"/>
  <c r="G33" i="1"/>
  <c r="AT15" i="1"/>
  <c r="E13" i="1"/>
  <c r="D39" i="1"/>
  <c r="I38" i="1"/>
  <c r="R34" i="1"/>
  <c r="AI6" i="1"/>
  <c r="E32" i="1"/>
  <c r="AL40" i="1"/>
  <c r="AH12" i="1"/>
  <c r="AS31" i="1"/>
  <c r="AS21" i="1"/>
  <c r="AC30" i="1"/>
  <c r="AR19" i="1"/>
  <c r="AW16" i="1"/>
  <c r="AI30" i="1"/>
  <c r="T37" i="1"/>
  <c r="Y31" i="1"/>
  <c r="C36" i="1"/>
  <c r="O35" i="1"/>
  <c r="AO39" i="1"/>
  <c r="G30" i="1"/>
  <c r="AY43" i="1"/>
  <c r="T43" i="1"/>
  <c r="AY5" i="1"/>
  <c r="AJ28" i="1"/>
  <c r="AR31" i="1"/>
  <c r="AB15" i="1"/>
  <c r="AS11" i="1"/>
  <c r="AU18" i="1"/>
  <c r="AW22" i="1"/>
  <c r="W30" i="1"/>
  <c r="H21" i="1"/>
  <c r="AM30" i="1"/>
  <c r="Z14" i="1"/>
  <c r="AK23" i="1"/>
  <c r="AC39" i="1"/>
  <c r="E23" i="1"/>
  <c r="AT40" i="1"/>
  <c r="Y36" i="1"/>
  <c r="J27" i="1"/>
  <c r="I12" i="1"/>
  <c r="AN35" i="1"/>
  <c r="AK28" i="1"/>
  <c r="AF37" i="1"/>
  <c r="W8" i="1"/>
  <c r="T27" i="1"/>
  <c r="O33" i="1"/>
  <c r="AK22" i="1"/>
  <c r="AN39" i="1"/>
  <c r="P9" i="1"/>
  <c r="AB41" i="1"/>
  <c r="AD10" i="1"/>
  <c r="AS29" i="1"/>
  <c r="K25" i="1"/>
  <c r="V24" i="1"/>
  <c r="U17" i="1"/>
  <c r="N35" i="1"/>
  <c r="AO27" i="1"/>
  <c r="AJ14" i="1"/>
  <c r="W35" i="1"/>
  <c r="X40" i="1"/>
  <c r="Y14" i="1"/>
  <c r="AU35" i="1"/>
  <c r="AW27" i="1"/>
  <c r="M24" i="1"/>
  <c r="AF23" i="1"/>
  <c r="AT33" i="1"/>
  <c r="K12" i="1"/>
  <c r="AR6" i="1"/>
  <c r="R14" i="1"/>
  <c r="AI35" i="1"/>
  <c r="AR35" i="1"/>
  <c r="H7" i="1"/>
  <c r="AB6" i="1"/>
  <c r="O37" i="1"/>
  <c r="M32" i="1"/>
  <c r="AN30" i="1"/>
  <c r="AA22" i="1"/>
  <c r="AI24" i="1"/>
  <c r="Y12" i="1"/>
  <c r="N9" i="1"/>
  <c r="AI8" i="1"/>
  <c r="F13" i="1"/>
  <c r="AA38" i="1"/>
  <c r="AY14" i="1"/>
  <c r="G28" i="1"/>
  <c r="H10" i="1"/>
  <c r="AA12" i="1"/>
  <c r="AO32" i="1"/>
  <c r="AP35" i="1"/>
  <c r="Y27" i="1"/>
  <c r="AG34" i="1"/>
  <c r="AS35" i="1"/>
  <c r="AQ23" i="1"/>
  <c r="H18" i="1"/>
  <c r="AR5" i="1"/>
  <c r="K7" i="1"/>
  <c r="P16" i="1"/>
  <c r="J9" i="1"/>
  <c r="AM39" i="1"/>
  <c r="AX37" i="1"/>
  <c r="AQ37" i="1"/>
  <c r="U37" i="1"/>
  <c r="N36" i="1"/>
  <c r="P23" i="1"/>
  <c r="B35" i="1"/>
  <c r="AB12" i="1"/>
  <c r="AI25" i="1"/>
  <c r="L40" i="1"/>
  <c r="AY24" i="1"/>
  <c r="AR34" i="1"/>
  <c r="D8" i="1"/>
  <c r="AQ39" i="1"/>
  <c r="AD34" i="1"/>
  <c r="AQ7" i="1"/>
  <c r="U34" i="1"/>
  <c r="AT16" i="1"/>
  <c r="L37" i="1"/>
  <c r="F26" i="1"/>
  <c r="AB43" i="1"/>
  <c r="V43" i="1"/>
  <c r="O38" i="1"/>
  <c r="AU20" i="1"/>
  <c r="AV40" i="1"/>
  <c r="AE35" i="1"/>
  <c r="AE40" i="1"/>
  <c r="R30" i="1"/>
  <c r="AF5" i="1"/>
  <c r="AK39" i="1"/>
  <c r="W41" i="1"/>
  <c r="C19" i="1"/>
  <c r="B15" i="1"/>
  <c r="AG32" i="1"/>
  <c r="Z23" i="1"/>
  <c r="AB31" i="1"/>
  <c r="AM34" i="1"/>
  <c r="B29" i="1"/>
  <c r="P8" i="1"/>
  <c r="AG16" i="1"/>
  <c r="V16" i="1"/>
  <c r="AK17" i="1"/>
  <c r="AX21" i="1"/>
  <c r="Y38" i="1"/>
  <c r="AO18" i="1"/>
  <c r="AT37" i="1"/>
  <c r="AT5" i="1"/>
  <c r="V11" i="1"/>
  <c r="Y17" i="1"/>
  <c r="B8" i="1"/>
  <c r="AQ10" i="1"/>
  <c r="H38" i="1"/>
  <c r="H31" i="1"/>
  <c r="AN36" i="1"/>
  <c r="M27" i="1"/>
  <c r="AM29" i="1"/>
  <c r="AX41" i="1"/>
  <c r="AK32" i="1"/>
  <c r="F33" i="1"/>
  <c r="AD22" i="1"/>
  <c r="AT17" i="1"/>
  <c r="AU28" i="1"/>
  <c r="C33" i="1"/>
  <c r="AX39" i="1"/>
  <c r="H27" i="1"/>
  <c r="T17" i="1"/>
  <c r="B9" i="1"/>
  <c r="S32" i="1"/>
  <c r="AH38" i="1"/>
  <c r="K23" i="1"/>
  <c r="I9" i="1"/>
  <c r="K29" i="1"/>
  <c r="K35" i="1"/>
  <c r="AX38" i="1"/>
  <c r="U5" i="1"/>
  <c r="E5" i="1"/>
  <c r="K18" i="1"/>
  <c r="T7" i="1"/>
  <c r="U29" i="1"/>
  <c r="AC10" i="1"/>
  <c r="AD33" i="1"/>
  <c r="E42" i="1"/>
  <c r="AJ24" i="1"/>
  <c r="AH6" i="1"/>
  <c r="Z11" i="1"/>
  <c r="T18" i="1"/>
  <c r="AC8" i="1"/>
  <c r="W42" i="1"/>
  <c r="AE11" i="1"/>
  <c r="AL28" i="1"/>
  <c r="R28" i="1"/>
  <c r="H37" i="1"/>
  <c r="AE24" i="1"/>
  <c r="Z27" i="1"/>
  <c r="AS26" i="1"/>
  <c r="AN32" i="1"/>
  <c r="AS42" i="1"/>
  <c r="P25" i="1"/>
  <c r="AU39" i="1"/>
  <c r="Y33" i="1"/>
  <c r="N19" i="1"/>
  <c r="F37" i="1"/>
  <c r="AT13" i="1"/>
  <c r="Q6" i="1"/>
  <c r="AL42" i="1"/>
  <c r="Y18" i="1"/>
  <c r="S17" i="1"/>
  <c r="AY6" i="1"/>
  <c r="AM25" i="1"/>
  <c r="AI22" i="1"/>
  <c r="AY4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E53874-6319-4CB0-97D2-89F4A35A5C11}" keepAlive="1" name="查询 - 表1" description="与工作簿中“表1”查询的连接。" type="5" refreshedVersion="0" background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<sst xmlns="http://schemas.openxmlformats.org/spreadsheetml/2006/main" count="253" uniqueCount="193">
  <si>
    <t>选手</t>
    <phoneticPr fontId="2" type="noConversion"/>
  </si>
  <si>
    <t>图池数</t>
    <phoneticPr fontId="2" type="noConversion"/>
  </si>
  <si>
    <t>rating</t>
    <phoneticPr fontId="2" type="noConversion"/>
  </si>
  <si>
    <t>KPR</t>
    <phoneticPr fontId="2" type="noConversion"/>
  </si>
  <si>
    <t>DPR</t>
    <phoneticPr fontId="2" type="noConversion"/>
  </si>
  <si>
    <t>ADR</t>
    <phoneticPr fontId="2" type="noConversion"/>
  </si>
  <si>
    <t>VS Top5</t>
    <phoneticPr fontId="2" type="noConversion"/>
  </si>
  <si>
    <t>图池</t>
    <phoneticPr fontId="2" type="noConversion"/>
  </si>
  <si>
    <t>VS Top10</t>
    <phoneticPr fontId="2" type="noConversion"/>
  </si>
  <si>
    <t>手枪局rating</t>
    <phoneticPr fontId="2" type="noConversion"/>
  </si>
  <si>
    <t>图池</t>
    <phoneticPr fontId="2" type="noConversion"/>
  </si>
  <si>
    <t>rating</t>
    <phoneticPr fontId="2" type="noConversion"/>
  </si>
  <si>
    <t>选手ID</t>
  </si>
  <si>
    <t>图池数</t>
  </si>
  <si>
    <t>rating</t>
  </si>
  <si>
    <t>rounds</t>
  </si>
  <si>
    <t>CTrating</t>
  </si>
  <si>
    <t>Trating</t>
  </si>
  <si>
    <t>DPR</t>
  </si>
  <si>
    <t>KAST</t>
  </si>
  <si>
    <t>KPR</t>
  </si>
  <si>
    <t>map vs top5</t>
  </si>
  <si>
    <t>rating vs top5</t>
  </si>
  <si>
    <t>map vs top10</t>
  </si>
  <si>
    <t>rating vs top10</t>
  </si>
  <si>
    <t>0.85+</t>
  </si>
  <si>
    <t>1.00+</t>
  </si>
  <si>
    <t>1.15+</t>
  </si>
  <si>
    <t>1.30+</t>
  </si>
  <si>
    <t>ZywOo</t>
  </si>
  <si>
    <t>m0NESY</t>
  </si>
  <si>
    <t>big event map</t>
  </si>
  <si>
    <t>big event rating</t>
  </si>
  <si>
    <t>elite event map</t>
  </si>
  <si>
    <t>elite event rating</t>
  </si>
  <si>
    <t>superelite event map</t>
  </si>
  <si>
    <t>supereliteevent rating</t>
  </si>
  <si>
    <t>big event playoff map</t>
  </si>
  <si>
    <t>big event playoff rating</t>
  </si>
  <si>
    <t>superelite event playoff map</t>
  </si>
  <si>
    <t>superelite event playoff rating</t>
  </si>
  <si>
    <t>排名</t>
    <phoneticPr fontId="2" type="noConversion"/>
  </si>
  <si>
    <t>基础数据</t>
    <phoneticPr fontId="2" type="noConversion"/>
  </si>
  <si>
    <t>对阵高水平队伍</t>
    <phoneticPr fontId="2" type="noConversion"/>
  </si>
  <si>
    <t>影响力数据</t>
    <phoneticPr fontId="2" type="noConversion"/>
  </si>
  <si>
    <t>高压状态下表现</t>
    <phoneticPr fontId="2" type="noConversion"/>
  </si>
  <si>
    <t>稳定性与上下限</t>
    <phoneticPr fontId="2" type="noConversion"/>
  </si>
  <si>
    <t>获胜    回合  KPR</t>
    <phoneticPr fontId="2" type="noConversion"/>
  </si>
  <si>
    <t>获胜    回合ADR</t>
    <phoneticPr fontId="2" type="noConversion"/>
  </si>
  <si>
    <t>kill per round win</t>
  </si>
  <si>
    <t>adr win</t>
  </si>
  <si>
    <t>win after first kill</t>
  </si>
  <si>
    <t>save per round lose</t>
  </si>
  <si>
    <t>damage per kill</t>
  </si>
  <si>
    <t>last alive percentage</t>
  </si>
  <si>
    <t>kpr lose</t>
  </si>
  <si>
    <t>adr lose</t>
  </si>
  <si>
    <t>assist kill percentage</t>
  </si>
  <si>
    <t>VS TOP20</t>
    <phoneticPr fontId="2" type="noConversion"/>
  </si>
  <si>
    <t>KD diff</t>
  </si>
  <si>
    <t>map vs top20</t>
  </si>
  <si>
    <t>rating vs top20</t>
  </si>
  <si>
    <t>回合首杀数</t>
  </si>
  <si>
    <t>Rounds with a kill</t>
  </si>
  <si>
    <t>ROunds with a multikill</t>
  </si>
  <si>
    <t>3+kill</t>
  </si>
  <si>
    <t>clutch win</t>
  </si>
  <si>
    <t>clutch point per round</t>
  </si>
  <si>
    <t>traded_kill</t>
  </si>
  <si>
    <t>traded_death</t>
  </si>
  <si>
    <t>flash_assist</t>
  </si>
  <si>
    <t>utility_damage</t>
  </si>
  <si>
    <t>firepower</t>
  </si>
  <si>
    <t>entrying</t>
  </si>
  <si>
    <t>trading</t>
  </si>
  <si>
    <t>opening</t>
  </si>
  <si>
    <t>clutching</t>
  </si>
  <si>
    <t>sniping</t>
  </si>
  <si>
    <t>utility</t>
  </si>
  <si>
    <t>KD差</t>
    <phoneticPr fontId="2" type="noConversion"/>
  </si>
  <si>
    <t>残局 胜利</t>
    <phoneticPr fontId="2" type="noConversion"/>
  </si>
  <si>
    <t>不同阵营数据</t>
    <phoneticPr fontId="2" type="noConversion"/>
  </si>
  <si>
    <t>CT rating</t>
    <phoneticPr fontId="2" type="noConversion"/>
  </si>
  <si>
    <t>T rating</t>
    <phoneticPr fontId="2" type="noConversion"/>
  </si>
  <si>
    <t>traded_death_percentage</t>
  </si>
  <si>
    <t>HS%</t>
  </si>
  <si>
    <t>singlemapwinrating</t>
  </si>
  <si>
    <t>save_teammate</t>
  </si>
  <si>
    <t>saved_by_teammate</t>
  </si>
  <si>
    <t>support_round_percent</t>
  </si>
  <si>
    <t>attack_in_round</t>
  </si>
  <si>
    <t>winrate_1v1</t>
  </si>
  <si>
    <t>livetime_perround</t>
  </si>
  <si>
    <t>snipkill_perround</t>
  </si>
  <si>
    <t>snipkill_percent</t>
  </si>
  <si>
    <t>snipkillround_percent</t>
  </si>
  <si>
    <t>utlility_kill_round</t>
  </si>
  <si>
    <t>throw_flash_perround</t>
  </si>
  <si>
    <t>time_opponent_flashed</t>
  </si>
  <si>
    <t>精英赛事 Elite Event</t>
    <phoneticPr fontId="2" type="noConversion"/>
  </si>
  <si>
    <t>assist_per_round</t>
  </si>
  <si>
    <t>超级精英赛事 Super Elite event</t>
    <phoneticPr fontId="2" type="noConversion"/>
  </si>
  <si>
    <t>场馆赛事     Arena rating</t>
    <phoneticPr fontId="2" type="noConversion"/>
  </si>
  <si>
    <t>击杀   回合    占比</t>
    <phoneticPr fontId="2" type="noConversion"/>
  </si>
  <si>
    <t>首杀    尝试率</t>
    <phoneticPr fontId="2" type="noConversion"/>
  </si>
  <si>
    <t>首杀    成功率</t>
    <phoneticPr fontId="2" type="noConversion"/>
  </si>
  <si>
    <t>回合    首杀</t>
    <phoneticPr fontId="2" type="noConversion"/>
  </si>
  <si>
    <t>多杀   回合   占比</t>
    <phoneticPr fontId="2" type="noConversion"/>
  </si>
  <si>
    <t>大型赛事淘汰赛 Big matches</t>
    <phoneticPr fontId="2" type="noConversion"/>
  </si>
  <si>
    <t>elite event playoff map</t>
  </si>
  <si>
    <t>elite event playoff rating</t>
  </si>
  <si>
    <t>大型赛事    Big Event</t>
    <phoneticPr fontId="2" type="noConversion"/>
  </si>
  <si>
    <t>RS</t>
  </si>
  <si>
    <t>DPR_eco</t>
  </si>
  <si>
    <t>KAST_eco</t>
  </si>
  <si>
    <t>MULTIKILL_eco</t>
  </si>
  <si>
    <t>ADR_eco</t>
  </si>
  <si>
    <t>KPR_eco</t>
  </si>
  <si>
    <t>ea           DPR</t>
    <phoneticPr fontId="2" type="noConversion"/>
  </si>
  <si>
    <t>ea                KAST%</t>
    <phoneticPr fontId="2" type="noConversion"/>
  </si>
  <si>
    <t>ea        多杀Rating</t>
    <phoneticPr fontId="2" type="noConversion"/>
  </si>
  <si>
    <t>ea     ADR</t>
    <phoneticPr fontId="2" type="noConversion"/>
  </si>
  <si>
    <t>ea           KPR</t>
    <phoneticPr fontId="2" type="noConversion"/>
  </si>
  <si>
    <t>KAST%</t>
    <phoneticPr fontId="2" type="noConversion"/>
  </si>
  <si>
    <t>RS%</t>
    <phoneticPr fontId="2" type="noConversion"/>
  </si>
  <si>
    <t>arena rating</t>
  </si>
  <si>
    <t>枪械调整版本的基础数据</t>
    <phoneticPr fontId="2" type="noConversion"/>
  </si>
  <si>
    <t>rating 3.0</t>
    <phoneticPr fontId="2" type="noConversion"/>
  </si>
  <si>
    <t>ADR</t>
  </si>
  <si>
    <t>avg_weaponvalve_perkill</t>
  </si>
  <si>
    <t>首杀尝试</t>
  </si>
  <si>
    <t>首杀成功</t>
  </si>
  <si>
    <t>首杀rating</t>
  </si>
  <si>
    <t>手枪局rating</t>
  </si>
  <si>
    <t>精英赛事淘汰赛 Elite matches</t>
    <phoneticPr fontId="2" type="noConversion"/>
  </si>
  <si>
    <t>大型赛事决赛 Big event Finals</t>
    <phoneticPr fontId="2" type="noConversion"/>
  </si>
  <si>
    <t>左侧的排名非实际排名，仅供参考                                                                                           排名按照rating从高到低排序</t>
    <phoneticPr fontId="2" type="noConversion"/>
  </si>
  <si>
    <t>1.45+</t>
  </si>
  <si>
    <t>arena map</t>
  </si>
  <si>
    <t>big event final map</t>
  </si>
  <si>
    <t>big event final rating</t>
  </si>
  <si>
    <t>-</t>
  </si>
  <si>
    <t>dziugss</t>
  </si>
  <si>
    <t>molodoy</t>
  </si>
  <si>
    <t>kyousuke</t>
  </si>
  <si>
    <t>zweih</t>
  </si>
  <si>
    <t>Wicadia</t>
  </si>
  <si>
    <t>b1t</t>
  </si>
  <si>
    <t>flameZ</t>
  </si>
  <si>
    <t>Krabeni</t>
  </si>
  <si>
    <t>XANTARES</t>
  </si>
  <si>
    <t>lauNX</t>
  </si>
  <si>
    <t>NiKo</t>
  </si>
  <si>
    <t>Jame</t>
  </si>
  <si>
    <t>jabbi</t>
  </si>
  <si>
    <t>ropz</t>
  </si>
  <si>
    <t>MATYS</t>
  </si>
  <si>
    <t>Staehr</t>
  </si>
  <si>
    <t>phzy</t>
  </si>
  <si>
    <t>HeavyGod</t>
  </si>
  <si>
    <t>Spinx</t>
  </si>
  <si>
    <t>KSCERATO</t>
  </si>
  <si>
    <t>0.85+ 地图rating占比</t>
    <phoneticPr fontId="2" type="noConversion"/>
  </si>
  <si>
    <t>1.00+ 地图rating占比</t>
    <phoneticPr fontId="2" type="noConversion"/>
  </si>
  <si>
    <t>1.15+ 地图rating占比</t>
    <phoneticPr fontId="2" type="noConversion"/>
  </si>
  <si>
    <t>1.30+ 地图rating占比</t>
    <phoneticPr fontId="2" type="noConversion"/>
  </si>
  <si>
    <t>1.45+ 地图rating占比</t>
    <phoneticPr fontId="2" type="noConversion"/>
  </si>
  <si>
    <t>910</t>
  </si>
  <si>
    <t>xertioN</t>
  </si>
  <si>
    <t>donk</t>
  </si>
  <si>
    <t>sh1ro</t>
  </si>
  <si>
    <t>makazze</t>
  </si>
  <si>
    <t>YEKINDAR</t>
  </si>
  <si>
    <t>iM</t>
  </si>
  <si>
    <t>2026 HLTV notable events 数据 made by @Viston</t>
    <phoneticPr fontId="2" type="noConversion"/>
  </si>
  <si>
    <t>w0nderful</t>
  </si>
  <si>
    <t>SunPayus</t>
  </si>
  <si>
    <t>Lucky</t>
  </si>
  <si>
    <t>npl</t>
  </si>
  <si>
    <t>dem0n</t>
  </si>
  <si>
    <t>dumau</t>
  </si>
  <si>
    <t>latto</t>
  </si>
  <si>
    <t>tN1R</t>
  </si>
  <si>
    <t>frozen</t>
  </si>
  <si>
    <t>Twistzz</t>
  </si>
  <si>
    <t>luchov</t>
  </si>
  <si>
    <t>xfl0ud</t>
  </si>
  <si>
    <t>HUASOPEEK</t>
  </si>
  <si>
    <t>dgt</t>
  </si>
  <si>
    <t>torzsi</t>
  </si>
  <si>
    <t>xelex</t>
  </si>
  <si>
    <t>NertZ</t>
  </si>
  <si>
    <t>Jimpphat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</si>
</sst>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%"/>
    <numFmt numFmtId="177" formatCode="0.0"/>
    <numFmt numFmtId="178" formatCode="0.000"/>
    <numFmt numFmtId="179" formatCode="0.0_);[Red]\(0.0\)"/>
    <numFmt numFmtId="180" formatCode="0.00_);[Red]\(0.00\)"/>
  </numFmts>
  <fonts count="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176" fontId="0" fillId="0" borderId="1" xfId="1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79" fontId="6" fillId="0" borderId="1" xfId="1" applyNumberFormat="1" applyFont="1" applyBorder="1" applyAlignment="1">
      <alignment horizontal="center" vertical="center" wrapText="1"/>
    </xf>
    <xf numFmtId="179" fontId="0" fillId="0" borderId="1" xfId="0" applyNumberFormat="1" applyBorder="1" applyAlignment="1">
      <alignment horizontal="center" vertical="center"/>
    </xf>
    <xf numFmtId="180" fontId="6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179" fontId="6" fillId="0" borderId="6" xfId="1" applyNumberFormat="1" applyFont="1" applyBorder="1" applyAlignment="1">
      <alignment horizontal="center" vertical="center" wrapText="1"/>
    </xf>
    <xf numFmtId="179" fontId="0" fillId="0" borderId="6" xfId="1" applyNumberFormat="1" applyFont="1" applyBorder="1" applyAlignment="1">
      <alignment horizontal="center" vertical="center"/>
    </xf>
    <xf numFmtId="180" fontId="0" fillId="0" borderId="1" xfId="1" applyNumberFormat="1" applyFont="1" applyBorder="1" applyAlignment="1">
      <alignment horizontal="center" vertical="center"/>
    </xf>
    <xf numFmtId="179" fontId="0" fillId="0" borderId="1" xfId="1" applyNumberFormat="1" applyFont="1" applyBorder="1" applyAlignment="1">
      <alignment horizontal="center" vertical="center"/>
    </xf>
    <xf numFmtId="179" fontId="0" fillId="0" borderId="0" xfId="1" applyNumberFormat="1" applyFont="1" applyAlignment="1">
      <alignment horizontal="center" vertical="center"/>
    </xf>
    <xf numFmtId="180" fontId="0" fillId="0" borderId="0" xfId="1" applyNumberFormat="1" applyFon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6" fontId="0" fillId="0" borderId="0" xfId="1" applyNumberFormat="1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/>
    <xf numFmtId="0" fontId="5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9" fontId="3" fillId="0" borderId="1" xfId="0" applyNumberFormat="1" applyFont="1" applyBorder="1" applyAlignment="1">
      <alignment horizontal="center" vertical="center" wrapText="1"/>
    </xf>
    <xf numFmtId="179" fontId="3" fillId="0" borderId="1" xfId="1" applyNumberFormat="1" applyFont="1" applyBorder="1" applyAlignment="1">
      <alignment horizontal="center" vertical="center" wrapText="1"/>
    </xf>
    <xf numFmtId="180" fontId="3" fillId="0" borderId="1" xfId="1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76" fontId="3" fillId="0" borderId="1" xfId="1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76" fontId="3" fillId="0" borderId="7" xfId="1" applyNumberFormat="1" applyFont="1" applyBorder="1" applyAlignment="1">
      <alignment horizontal="center" vertical="center" wrapText="1"/>
    </xf>
    <xf numFmtId="176" fontId="3" fillId="0" borderId="2" xfId="1" applyNumberFormat="1" applyFont="1" applyBorder="1" applyAlignment="1">
      <alignment horizontal="center" vertical="center" wrapText="1"/>
    </xf>
    <xf numFmtId="179" fontId="3" fillId="0" borderId="6" xfId="1" applyNumberFormat="1" applyFont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D2CDC-A35B-46F5-9264-B306814308BE}">
  <dimension ref="A1:CO186"/>
  <sheetViews>
    <sheetView tabSelected="1" zoomScaleNormal="100" workbookViewId="0">
      <selection activeCell="AB82" sqref="AB82"/>
    </sheetView>
  </sheetViews>
  <sheetFormatPr defaultColWidth="5.625" defaultRowHeight="19.899999999999999" customHeight="1" x14ac:dyDescent="0.2"/>
  <cols>
    <col min="1" max="1" width="4.125" style="18" customWidth="1"/>
    <col min="2" max="2" width="10.625" style="18" customWidth="1"/>
    <col min="3" max="3" width="4.375" style="18" customWidth="1"/>
    <col min="4" max="4" width="5.625" style="18" customWidth="1"/>
    <col min="5" max="5" width="5.75" style="18" customWidth="1"/>
    <col min="6" max="9" width="5.625" style="18" customWidth="1"/>
    <col min="10" max="10" width="5.875" style="25" customWidth="1"/>
    <col min="11" max="11" width="5.875" style="26" customWidth="1"/>
    <col min="12" max="12" width="5.875" style="25" customWidth="1"/>
    <col min="13" max="13" width="5.875" style="26" customWidth="1"/>
    <col min="14" max="14" width="5.875" style="25" customWidth="1"/>
    <col min="15" max="15" width="5.875" style="26" customWidth="1"/>
    <col min="16" max="16" width="4.125" style="18" customWidth="1"/>
    <col min="17" max="17" width="5.625" style="18" customWidth="1"/>
    <col min="18" max="18" width="4.125" style="18" customWidth="1"/>
    <col min="19" max="19" width="5.625" style="18" customWidth="1"/>
    <col min="20" max="20" width="4.125" style="18" customWidth="1"/>
    <col min="21" max="25" width="5.625" style="18" customWidth="1"/>
    <col min="26" max="26" width="5.875" style="27" customWidth="1"/>
    <col min="27" max="28" width="5.875" style="18" customWidth="1"/>
    <col min="29" max="29" width="5.625" style="18" customWidth="1"/>
    <col min="30" max="30" width="5.875" style="18" customWidth="1"/>
    <col min="31" max="31" width="5.625" style="28" customWidth="1"/>
    <col min="32" max="32" width="5.625" style="18" customWidth="1"/>
    <col min="33" max="37" width="6.25" style="28" customWidth="1"/>
    <col min="38" max="38" width="4.375" style="28" customWidth="1"/>
    <col min="39" max="39" width="5.875" style="18" customWidth="1"/>
    <col min="40" max="40" width="4.375" style="18" customWidth="1"/>
    <col min="41" max="41" width="5.875" style="18" customWidth="1"/>
    <col min="42" max="42" width="4.375" style="18" customWidth="1"/>
    <col min="43" max="43" width="5.875" style="18" customWidth="1"/>
    <col min="44" max="44" width="4.375" style="18" customWidth="1"/>
    <col min="45" max="45" width="5.625" style="18" customWidth="1"/>
    <col min="46" max="46" width="4.375" style="18" hidden="1" customWidth="1"/>
    <col min="47" max="47" width="5.5" style="18" hidden="1" customWidth="1"/>
    <col min="48" max="48" width="4.375" style="18" customWidth="1"/>
    <col min="49" max="49" width="5.625" style="18" customWidth="1"/>
    <col min="50" max="50" width="4.375" style="18" customWidth="1"/>
    <col min="51" max="51" width="5.5" style="18" customWidth="1"/>
    <col min="52" max="52" width="4.375" style="18" customWidth="1"/>
    <col min="53" max="53" width="5.625" style="18"/>
    <col min="54" max="54" width="4.375" style="18" customWidth="1"/>
    <col min="55" max="55" width="5.625" style="18"/>
    <col min="56" max="56" width="4.375" style="18" customWidth="1"/>
    <col min="57" max="16384" width="5.625" style="18"/>
  </cols>
  <sheetData>
    <row r="1" spans="1:57" ht="50.45" customHeight="1" x14ac:dyDescent="0.2">
      <c r="A1" s="39" t="s">
        <v>136</v>
      </c>
      <c r="B1" s="40"/>
      <c r="C1" s="40"/>
      <c r="D1" s="40"/>
      <c r="E1" s="40"/>
      <c r="F1" s="40"/>
      <c r="G1" s="40"/>
      <c r="H1" s="40"/>
      <c r="I1" s="40"/>
      <c r="J1" s="40"/>
      <c r="K1" s="38" t="s">
        <v>174</v>
      </c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19"/>
      <c r="BA1" s="19"/>
      <c r="BB1" s="19"/>
      <c r="BC1" s="19"/>
      <c r="BD1" s="19"/>
      <c r="BE1" s="19"/>
    </row>
    <row r="2" spans="1:57" ht="28.5" customHeight="1" x14ac:dyDescent="0.2">
      <c r="A2" s="3"/>
      <c r="B2" s="16"/>
      <c r="C2" s="31" t="s">
        <v>42</v>
      </c>
      <c r="D2" s="31"/>
      <c r="E2" s="31"/>
      <c r="F2" s="31"/>
      <c r="G2" s="31"/>
      <c r="H2" s="31"/>
      <c r="I2" s="31"/>
      <c r="J2" s="42"/>
      <c r="K2" s="31" t="s">
        <v>126</v>
      </c>
      <c r="L2" s="31"/>
      <c r="M2" s="31"/>
      <c r="N2" s="31"/>
      <c r="O2" s="31"/>
      <c r="P2" s="31" t="s">
        <v>43</v>
      </c>
      <c r="Q2" s="31"/>
      <c r="R2" s="31"/>
      <c r="S2" s="31"/>
      <c r="T2" s="31"/>
      <c r="U2" s="31"/>
      <c r="V2" s="31" t="s">
        <v>81</v>
      </c>
      <c r="W2" s="31"/>
      <c r="X2" s="31" t="s">
        <v>44</v>
      </c>
      <c r="Y2" s="31"/>
      <c r="Z2" s="31"/>
      <c r="AA2" s="31"/>
      <c r="AB2" s="31"/>
      <c r="AC2" s="31"/>
      <c r="AD2" s="31"/>
      <c r="AE2" s="31"/>
      <c r="AF2" s="31"/>
      <c r="AG2" s="31" t="s">
        <v>46</v>
      </c>
      <c r="AH2" s="31"/>
      <c r="AI2" s="31"/>
      <c r="AJ2" s="31"/>
      <c r="AK2" s="31"/>
      <c r="AL2" s="31" t="s">
        <v>45</v>
      </c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20"/>
      <c r="BA2" s="20"/>
      <c r="BB2" s="20"/>
      <c r="BC2" s="20"/>
      <c r="BD2" s="20"/>
      <c r="BE2" s="20"/>
    </row>
    <row r="3" spans="1:57" ht="39.6" customHeight="1" x14ac:dyDescent="0.2">
      <c r="A3" s="33" t="s">
        <v>41</v>
      </c>
      <c r="B3" s="33" t="s">
        <v>0</v>
      </c>
      <c r="C3" s="33" t="s">
        <v>1</v>
      </c>
      <c r="D3" s="33" t="s">
        <v>127</v>
      </c>
      <c r="E3" s="33" t="s">
        <v>79</v>
      </c>
      <c r="F3" s="33" t="s">
        <v>3</v>
      </c>
      <c r="G3" s="33" t="s">
        <v>4</v>
      </c>
      <c r="H3" s="33" t="s">
        <v>5</v>
      </c>
      <c r="I3" s="33" t="s">
        <v>124</v>
      </c>
      <c r="J3" s="46" t="s">
        <v>123</v>
      </c>
      <c r="K3" s="37" t="s">
        <v>118</v>
      </c>
      <c r="L3" s="36" t="s">
        <v>119</v>
      </c>
      <c r="M3" s="37" t="s">
        <v>120</v>
      </c>
      <c r="N3" s="36" t="s">
        <v>121</v>
      </c>
      <c r="O3" s="37" t="s">
        <v>122</v>
      </c>
      <c r="P3" s="33" t="s">
        <v>6</v>
      </c>
      <c r="Q3" s="33"/>
      <c r="R3" s="33" t="s">
        <v>8</v>
      </c>
      <c r="S3" s="33"/>
      <c r="T3" s="32" t="s">
        <v>58</v>
      </c>
      <c r="U3" s="32"/>
      <c r="V3" s="32" t="s">
        <v>82</v>
      </c>
      <c r="W3" s="32" t="s">
        <v>83</v>
      </c>
      <c r="X3" s="32" t="s">
        <v>9</v>
      </c>
      <c r="Y3" s="32" t="s">
        <v>47</v>
      </c>
      <c r="Z3" s="35" t="s">
        <v>48</v>
      </c>
      <c r="AA3" s="32" t="s">
        <v>104</v>
      </c>
      <c r="AB3" s="32" t="s">
        <v>105</v>
      </c>
      <c r="AC3" s="33" t="s">
        <v>106</v>
      </c>
      <c r="AD3" s="33" t="s">
        <v>103</v>
      </c>
      <c r="AE3" s="41" t="s">
        <v>107</v>
      </c>
      <c r="AF3" s="33" t="s">
        <v>80</v>
      </c>
      <c r="AG3" s="41" t="s">
        <v>162</v>
      </c>
      <c r="AH3" s="41" t="s">
        <v>163</v>
      </c>
      <c r="AI3" s="41" t="s">
        <v>164</v>
      </c>
      <c r="AJ3" s="41" t="s">
        <v>165</v>
      </c>
      <c r="AK3" s="44" t="s">
        <v>166</v>
      </c>
      <c r="AL3" s="33" t="s">
        <v>111</v>
      </c>
      <c r="AM3" s="33"/>
      <c r="AN3" s="33" t="s">
        <v>99</v>
      </c>
      <c r="AO3" s="33"/>
      <c r="AP3" s="33" t="s">
        <v>101</v>
      </c>
      <c r="AQ3" s="33"/>
      <c r="AR3" s="33" t="s">
        <v>108</v>
      </c>
      <c r="AS3" s="33"/>
      <c r="AT3" s="43" t="s">
        <v>102</v>
      </c>
      <c r="AU3" s="33"/>
      <c r="AV3" s="43" t="s">
        <v>134</v>
      </c>
      <c r="AW3" s="33"/>
      <c r="AX3" s="33" t="s">
        <v>135</v>
      </c>
      <c r="AY3" s="33"/>
      <c r="AZ3" s="29"/>
    </row>
    <row r="4" spans="1:57" ht="20.100000000000001" customHeight="1" x14ac:dyDescent="0.2">
      <c r="A4" s="33"/>
      <c r="B4" s="33"/>
      <c r="C4" s="33"/>
      <c r="D4" s="33"/>
      <c r="E4" s="33"/>
      <c r="F4" s="33"/>
      <c r="G4" s="33"/>
      <c r="H4" s="33"/>
      <c r="I4" s="33"/>
      <c r="J4" s="46"/>
      <c r="K4" s="37"/>
      <c r="L4" s="36"/>
      <c r="M4" s="37"/>
      <c r="N4" s="36"/>
      <c r="O4" s="37"/>
      <c r="P4" s="1" t="s">
        <v>7</v>
      </c>
      <c r="Q4" s="1" t="s">
        <v>2</v>
      </c>
      <c r="R4" s="1" t="s">
        <v>7</v>
      </c>
      <c r="S4" s="1" t="s">
        <v>2</v>
      </c>
      <c r="T4" s="9" t="s">
        <v>7</v>
      </c>
      <c r="U4" s="9" t="s">
        <v>2</v>
      </c>
      <c r="V4" s="32"/>
      <c r="W4" s="32"/>
      <c r="X4" s="32"/>
      <c r="Y4" s="32"/>
      <c r="Z4" s="35"/>
      <c r="AA4" s="32"/>
      <c r="AB4" s="32"/>
      <c r="AC4" s="33"/>
      <c r="AD4" s="34"/>
      <c r="AE4" s="41"/>
      <c r="AF4" s="33"/>
      <c r="AG4" s="41"/>
      <c r="AH4" s="41"/>
      <c r="AI4" s="41"/>
      <c r="AJ4" s="41"/>
      <c r="AK4" s="45"/>
      <c r="AL4" s="1" t="s">
        <v>7</v>
      </c>
      <c r="AM4" s="1" t="s">
        <v>2</v>
      </c>
      <c r="AN4" s="1" t="s">
        <v>7</v>
      </c>
      <c r="AO4" s="1" t="s">
        <v>2</v>
      </c>
      <c r="AP4" s="1" t="s">
        <v>7</v>
      </c>
      <c r="AQ4" s="1" t="s">
        <v>2</v>
      </c>
      <c r="AR4" s="1" t="s">
        <v>10</v>
      </c>
      <c r="AS4" s="1" t="s">
        <v>11</v>
      </c>
      <c r="AT4" s="12" t="s">
        <v>7</v>
      </c>
      <c r="AU4" s="12" t="s">
        <v>2</v>
      </c>
      <c r="AV4" s="1" t="s">
        <v>7</v>
      </c>
      <c r="AW4" s="1" t="s">
        <v>2</v>
      </c>
      <c r="AX4" s="1" t="s">
        <v>7</v>
      </c>
      <c r="AY4" s="1" t="s">
        <v>2</v>
      </c>
    </row>
    <row r="5" spans="1:57" ht="19.899999999999999" customHeight="1" x14ac:dyDescent="0.2">
      <c r="A5" s="2">
        <v>1</v>
      </c>
      <c r="B5" s="9" t="str">
        <f t="shared" ref="B5:B52" ca="1" si="0">INDIRECT(ADDRESS(ROW($B104),COLUMN($B104)))</f>
        <v>donk</v>
      </c>
      <c r="C5" s="4">
        <f t="shared" ref="C5:C52" ca="1" si="1">INDIRECT(ADDRESS(ROW($C104),COLUMN($C104)))</f>
        <v>118</v>
      </c>
      <c r="D5" s="5">
        <f t="shared" ref="D5:D52" ca="1" si="2">INDIRECT(ADDRESS(ROW($D104),COLUMN($D104)))</f>
        <v>1.42</v>
      </c>
      <c r="E5" s="10">
        <f t="shared" ref="E5:E52" ca="1" si="3">INDIRECT(ADDRESS(ROW($V104),COLUMN($V104)))</f>
        <v>612</v>
      </c>
      <c r="F5" s="5">
        <f t="shared" ref="F5:F52" ca="1" si="4">INDIRECT(ADDRESS(ROW($P104),COLUMN($P104)))</f>
        <v>0.91</v>
      </c>
      <c r="G5" s="5">
        <f t="shared" ref="G5:G52" ca="1" si="5">INDIRECT(ADDRESS(ROW($L104),COLUMN($L104)))</f>
        <v>0.67</v>
      </c>
      <c r="H5" s="6">
        <f t="shared" ref="H5:H52" ca="1" si="6">INDIRECT(ADDRESS(ROW($O104),COLUMN($O104)))</f>
        <v>94.9</v>
      </c>
      <c r="I5" s="5">
        <f t="shared" ref="I5:I52" ca="1" si="7">INDIRECT(ADDRESS(ROW($N104),COLUMN($N104)))</f>
        <v>3.81</v>
      </c>
      <c r="J5" s="21">
        <f t="shared" ref="J5:J52" ca="1" si="8">INDIRECT(ADDRESS(ROW($M104),COLUMN($M104)))</f>
        <v>77.599999999999994</v>
      </c>
      <c r="K5" s="15">
        <f t="shared" ref="K5:K52" ca="1" si="9">INDIRECT(ADDRESS(ROW($Q104),COLUMN($Q104)))</f>
        <v>0.72</v>
      </c>
      <c r="L5" s="13">
        <f t="shared" ref="L5:L52" ca="1" si="10">INDIRECT(ADDRESS(ROW($R104),COLUMN($R104)))</f>
        <v>74.599999999999994</v>
      </c>
      <c r="M5" s="15">
        <f t="shared" ref="M5:M52" ca="1" si="11">INDIRECT(ADDRESS(ROW($S104),COLUMN($S104)))</f>
        <v>1.41</v>
      </c>
      <c r="N5" s="13">
        <f t="shared" ref="N5:N52" ca="1" si="12">INDIRECT(ADDRESS(ROW($T104),COLUMN($T104)))</f>
        <v>93.3</v>
      </c>
      <c r="O5" s="15">
        <f t="shared" ref="O5:O52" ca="1" si="13">INDIRECT(ADDRESS(ROW($U104),COLUMN($U104)))</f>
        <v>0.91</v>
      </c>
      <c r="P5" s="3">
        <f t="shared" ref="P5:P52" ca="1" si="14">INDIRECT(ADDRESS(ROW($W104),COLUMN($W104)))</f>
        <v>32</v>
      </c>
      <c r="Q5" s="7">
        <f t="shared" ref="Q5:Q52" ca="1" si="15">INDIRECT(ADDRESS(ROW($X104),COLUMN($X104)))</f>
        <v>1.27</v>
      </c>
      <c r="R5" s="3">
        <f t="shared" ref="R5:R52" ca="1" si="16">INDIRECT(ADDRESS(ROW($Y104),COLUMN($Y104)))</f>
        <v>54</v>
      </c>
      <c r="S5" s="7">
        <f t="shared" ref="S5:S52" ca="1" si="17">INDIRECT(ADDRESS(ROW($Z104),COLUMN($Z104)))</f>
        <v>1.31</v>
      </c>
      <c r="T5" s="3">
        <f t="shared" ref="T5:T52" ca="1" si="18">INDIRECT(ADDRESS(ROW($AA104),COLUMN($AA104)))</f>
        <v>96</v>
      </c>
      <c r="U5" s="7">
        <f t="shared" ref="U5:U52" ca="1" si="19">INDIRECT(ADDRESS(ROW($AB104),COLUMN($AB104)))</f>
        <v>1.36</v>
      </c>
      <c r="V5" s="7">
        <f t="shared" ref="V5:V52" ca="1" si="20">INDIRECT(ADDRESS(ROW($F104),COLUMN($F104)))</f>
        <v>1.42</v>
      </c>
      <c r="W5" s="7">
        <f t="shared" ref="W5:W52" ca="1" si="21">INDIRECT(ADDRESS(ROW($G104),COLUMN($G104)))</f>
        <v>1.42</v>
      </c>
      <c r="X5" s="7">
        <f t="shared" ref="X5:X52" ca="1" si="22">INDIRECT(ADDRESS(ROW($K104),COLUMN($K104)))</f>
        <v>1.47</v>
      </c>
      <c r="Y5" s="7">
        <f t="shared" ref="Y5:Y52" ca="1" si="23">INDIRECT(ADDRESS(ROW($AZ104),COLUMN($AZ104)))</f>
        <v>1.23</v>
      </c>
      <c r="Z5" s="14">
        <f t="shared" ref="Z5:Z52" ca="1" si="24">INDIRECT(ADDRESS(ROW($BA104),COLUMN($BA104)))</f>
        <v>123.7</v>
      </c>
      <c r="AA5" s="8">
        <f t="shared" ref="AA5:AA52" ca="1" si="25">INDIRECT(ADDRESS(ROW($H104),COLUMN($H104)))</f>
        <v>0.312</v>
      </c>
      <c r="AB5" s="8">
        <f t="shared" ref="AB5:AB52" ca="1" si="26">INDIRECT(ADDRESS(ROW($I104),COLUMN($I104)))</f>
        <v>0.61099999999999999</v>
      </c>
      <c r="AC5" s="11">
        <f t="shared" ref="AC5:AC52" ca="1" si="27">INDIRECT(ADDRESS(ROW($AC104),COLUMN($AC104)))</f>
        <v>0.19080996884735199</v>
      </c>
      <c r="AD5" s="8">
        <f t="shared" ref="AD5:AD52" ca="1" si="28">INDIRECT(ADDRESS(ROW($AD104),COLUMN($AD104)))</f>
        <v>0.56152647975077885</v>
      </c>
      <c r="AE5" s="8">
        <f t="shared" ref="AE5:AE52" ca="1" si="29">INDIRECT(ADDRESS(ROW($AE104),COLUMN($AE104)))</f>
        <v>0.24610591900311529</v>
      </c>
      <c r="AF5" s="3">
        <f t="shared" ref="AF5:AF52" ca="1" si="30">INDIRECT(ADDRESS(ROW($AL104),COLUMN($AL104)))</f>
        <v>21</v>
      </c>
      <c r="AG5" s="8">
        <f t="shared" ref="AG5:AG52" ca="1" si="31">INDIRECT(ADDRESS(ROW($AG104),COLUMN($AG104)))/INDIRECT(ADDRESS(ROW($C104),COLUMN($C104)))</f>
        <v>0.94067796610169496</v>
      </c>
      <c r="AH5" s="8">
        <f t="shared" ref="AH5:AH52" ca="1" si="32">INDIRECT(ADDRESS(ROW($AH104),COLUMN($AH104)))/INDIRECT(ADDRESS(ROW($C104),COLUMN($C104)))</f>
        <v>0.88135593220338981</v>
      </c>
      <c r="AI5" s="8">
        <f t="shared" ref="AI5:AI52" ca="1" si="33">INDIRECT(ADDRESS(ROW($AI104),COLUMN($AI104)))/INDIRECT(ADDRESS(ROW($C104),COLUMN($C104)))</f>
        <v>0.77966101694915257</v>
      </c>
      <c r="AJ5" s="8">
        <f ca="1">INDIRECT(ADDRESS(ROW($AJ104),COLUMN($AJ104)))/INDIRECT(ADDRESS(ROW($C104),COLUMN($C104)))</f>
        <v>0.61016949152542377</v>
      </c>
      <c r="AK5" s="8">
        <f ca="1">INDIRECT(ADDRESS(ROW($AK104),COLUMN($AK104)))/INDIRECT(ADDRESS(ROW($C104),COLUMN($C104)))</f>
        <v>0.48305084745762711</v>
      </c>
      <c r="AL5" s="3">
        <f t="shared" ref="AL5:AL52" ca="1" si="34">INDIRECT(ADDRESS(ROW($AN104),COLUMN($AN104)))</f>
        <v>103</v>
      </c>
      <c r="AM5" s="7">
        <f t="shared" ref="AM5:AM52" ca="1" si="35">INDIRECT(ADDRESS(ROW($AO104),COLUMN($AO104)))</f>
        <v>1.39</v>
      </c>
      <c r="AN5" s="3">
        <f t="shared" ref="AN5:AN52" ca="1" si="36">INDIRECT(ADDRESS(ROW($AP104),COLUMN($AP104)))</f>
        <v>59</v>
      </c>
      <c r="AO5" s="7">
        <f t="shared" ref="AO5:AO52" ca="1" si="37">INDIRECT(ADDRESS(ROW($AQ104),COLUMN($AQ104)))</f>
        <v>1.44</v>
      </c>
      <c r="AP5" s="3">
        <f t="shared" ref="AP5:AP52" ca="1" si="38">INDIRECT(ADDRESS(ROW($AR104),COLUMN($AR104)))</f>
        <v>26</v>
      </c>
      <c r="AQ5" s="7">
        <f t="shared" ref="AQ5:AQ52" ca="1" si="39">INDIRECT(ADDRESS(ROW($AS104),COLUMN($AS104)))</f>
        <v>1.36</v>
      </c>
      <c r="AR5" s="3">
        <f t="shared" ref="AR5:AR52" ca="1" si="40">INDIRECT(ADDRESS(ROW($AT104),COLUMN($AT104)))</f>
        <v>50</v>
      </c>
      <c r="AS5" s="7">
        <f t="shared" ref="AS5:AS52" ca="1" si="41">INDIRECT(ADDRESS(ROW($AU104),COLUMN($AU104)))</f>
        <v>1.28</v>
      </c>
      <c r="AT5" s="2">
        <f ca="1">INDIRECT(ADDRESS(ROW($CK104),COLUMN($CK104)))</f>
        <v>47</v>
      </c>
      <c r="AU5" s="17">
        <f t="shared" ref="AU5:AU52" ca="1" si="42">INDIRECT(ADDRESS(ROW($CL104),COLUMN($CL104)))</f>
        <v>1.29</v>
      </c>
      <c r="AV5" s="3">
        <f t="shared" ref="AV5:AV52" ca="1" si="43">INDIRECT(ADDRESS(ROW($AV104),COLUMN($AV104)))</f>
        <v>22</v>
      </c>
      <c r="AW5" s="7">
        <f t="shared" ref="AW5:AW52" ca="1" si="44">INDIRECT(ADDRESS(ROW($AW104),COLUMN($AW104)))</f>
        <v>1.34</v>
      </c>
      <c r="AX5" s="3">
        <f ca="1">INDIRECT(ADDRESS(ROW($CM104),COLUMN($CM104)))</f>
        <v>14</v>
      </c>
      <c r="AY5" s="7">
        <f ca="1">INDIRECT(ADDRESS(ROW($CN104),COLUMN($CN104)))</f>
        <v>1.24</v>
      </c>
    </row>
    <row r="6" spans="1:57" ht="19.899999999999999" customHeight="1" x14ac:dyDescent="0.2">
      <c r="A6" s="2">
        <v>2</v>
      </c>
      <c r="B6" s="9" t="str">
        <f t="shared" ca="1" si="0"/>
        <v>ZywOo</v>
      </c>
      <c r="C6" s="4">
        <f t="shared" ca="1" si="1"/>
        <v>124</v>
      </c>
      <c r="D6" s="5">
        <f t="shared" ca="1" si="2"/>
        <v>1.37</v>
      </c>
      <c r="E6" s="10">
        <f t="shared" ca="1" si="3"/>
        <v>823</v>
      </c>
      <c r="F6" s="5">
        <f t="shared" ca="1" si="4"/>
        <v>0.86</v>
      </c>
      <c r="G6" s="5">
        <f t="shared" ca="1" si="5"/>
        <v>0.56000000000000005</v>
      </c>
      <c r="H6" s="6">
        <f t="shared" ca="1" si="6"/>
        <v>86.8</v>
      </c>
      <c r="I6" s="5">
        <f t="shared" ca="1" si="7"/>
        <v>4</v>
      </c>
      <c r="J6" s="21">
        <f t="shared" ca="1" si="8"/>
        <v>77.5</v>
      </c>
      <c r="K6" s="15">
        <f t="shared" ca="1" si="9"/>
        <v>0.6</v>
      </c>
      <c r="L6" s="13">
        <f t="shared" ca="1" si="10"/>
        <v>74.7</v>
      </c>
      <c r="M6" s="15">
        <f t="shared" ca="1" si="11"/>
        <v>1.32</v>
      </c>
      <c r="N6" s="13">
        <f t="shared" ca="1" si="12"/>
        <v>83.7</v>
      </c>
      <c r="O6" s="15">
        <f t="shared" ca="1" si="13"/>
        <v>0.81</v>
      </c>
      <c r="P6" s="3">
        <f t="shared" ca="1" si="14"/>
        <v>40</v>
      </c>
      <c r="Q6" s="7">
        <f t="shared" ca="1" si="15"/>
        <v>1.27</v>
      </c>
      <c r="R6" s="3">
        <f t="shared" ca="1" si="16"/>
        <v>71</v>
      </c>
      <c r="S6" s="7">
        <f t="shared" ca="1" si="17"/>
        <v>1.32</v>
      </c>
      <c r="T6" s="3">
        <f t="shared" ca="1" si="18"/>
        <v>99</v>
      </c>
      <c r="U6" s="7">
        <f t="shared" ca="1" si="19"/>
        <v>1.36</v>
      </c>
      <c r="V6" s="7">
        <f t="shared" ca="1" si="20"/>
        <v>1.41</v>
      </c>
      <c r="W6" s="7">
        <f t="shared" ca="1" si="21"/>
        <v>1.33</v>
      </c>
      <c r="X6" s="7">
        <f t="shared" ca="1" si="22"/>
        <v>1.52</v>
      </c>
      <c r="Y6" s="7">
        <f t="shared" ca="1" si="23"/>
        <v>1.1499999999999999</v>
      </c>
      <c r="Z6" s="14">
        <f t="shared" ca="1" si="24"/>
        <v>111.5</v>
      </c>
      <c r="AA6" s="8">
        <f t="shared" ca="1" si="25"/>
        <v>0.21099999999999999</v>
      </c>
      <c r="AB6" s="8">
        <f t="shared" ca="1" si="26"/>
        <v>0.64700000000000002</v>
      </c>
      <c r="AC6" s="11">
        <f t="shared" ca="1" si="27"/>
        <v>0.1367362146050671</v>
      </c>
      <c r="AD6" s="8">
        <f t="shared" ca="1" si="28"/>
        <v>0.54657228017883752</v>
      </c>
      <c r="AE6" s="8">
        <f t="shared" ca="1" si="29"/>
        <v>0.2235469448584203</v>
      </c>
      <c r="AF6" s="3">
        <f t="shared" ca="1" si="30"/>
        <v>61</v>
      </c>
      <c r="AG6" s="8">
        <f t="shared" ca="1" si="31"/>
        <v>0.93548387096774188</v>
      </c>
      <c r="AH6" s="8">
        <f t="shared" ca="1" si="32"/>
        <v>0.85483870967741937</v>
      </c>
      <c r="AI6" s="8">
        <f t="shared" ca="1" si="33"/>
        <v>0.72580645161290325</v>
      </c>
      <c r="AJ6" s="8">
        <f t="shared" ref="AJ6:AJ52" ca="1" si="45">INDIRECT(ADDRESS(ROW($AJ105),COLUMN($AJ105)))/INDIRECT(ADDRESS(ROW($C105),COLUMN($C105)))</f>
        <v>0.55645161290322576</v>
      </c>
      <c r="AK6" s="8">
        <f t="shared" ref="AK6:AK52" ca="1" si="46">INDIRECT(ADDRESS(ROW($AK105),COLUMN($AK105)))/INDIRECT(ADDRESS(ROW($C105),COLUMN($C105)))</f>
        <v>0.45161290322580644</v>
      </c>
      <c r="AL6" s="3">
        <f t="shared" ca="1" si="34"/>
        <v>120</v>
      </c>
      <c r="AM6" s="7">
        <f t="shared" ca="1" si="35"/>
        <v>1.36</v>
      </c>
      <c r="AN6" s="3">
        <f t="shared" ca="1" si="36"/>
        <v>77</v>
      </c>
      <c r="AO6" s="7">
        <f t="shared" ca="1" si="37"/>
        <v>1.4</v>
      </c>
      <c r="AP6" s="3">
        <f t="shared" ca="1" si="38"/>
        <v>26</v>
      </c>
      <c r="AQ6" s="7">
        <f t="shared" ca="1" si="39"/>
        <v>1.5</v>
      </c>
      <c r="AR6" s="3">
        <f t="shared" ca="1" si="40"/>
        <v>51</v>
      </c>
      <c r="AS6" s="7">
        <f t="shared" ca="1" si="41"/>
        <v>1.31</v>
      </c>
      <c r="AT6" s="2">
        <f t="shared" ref="AT6:AT52" ca="1" si="47">INDIRECT(ADDRESS(ROW($CK105),COLUMN($CK105)))</f>
        <v>46</v>
      </c>
      <c r="AU6" s="17">
        <f t="shared" ca="1" si="42"/>
        <v>1.34</v>
      </c>
      <c r="AV6" s="3">
        <f t="shared" ca="1" si="43"/>
        <v>31</v>
      </c>
      <c r="AW6" s="7">
        <f t="shared" ca="1" si="44"/>
        <v>1.34</v>
      </c>
      <c r="AX6" s="3">
        <f t="shared" ref="AX6:AX52" ca="1" si="48">INDIRECT(ADDRESS(ROW($CM105),COLUMN($CM105)))</f>
        <v>16</v>
      </c>
      <c r="AY6" s="7">
        <f t="shared" ref="AY6:AY52" ca="1" si="49">INDIRECT(ADDRESS(ROW($CN105),COLUMN($CN105)))</f>
        <v>1.36</v>
      </c>
    </row>
    <row r="7" spans="1:57" ht="19.5" customHeight="1" x14ac:dyDescent="0.2">
      <c r="A7" s="2">
        <v>3</v>
      </c>
      <c r="B7" s="9" t="str">
        <f t="shared" ca="1" si="0"/>
        <v>m0NESY</v>
      </c>
      <c r="C7" s="4">
        <f t="shared" ca="1" si="1"/>
        <v>127</v>
      </c>
      <c r="D7" s="5">
        <f t="shared" ca="1" si="2"/>
        <v>1.28</v>
      </c>
      <c r="E7" s="10">
        <f t="shared" ca="1" si="3"/>
        <v>676</v>
      </c>
      <c r="F7" s="5">
        <f t="shared" ca="1" si="4"/>
        <v>0.82</v>
      </c>
      <c r="G7" s="5">
        <f t="shared" ca="1" si="5"/>
        <v>0.57999999999999996</v>
      </c>
      <c r="H7" s="6">
        <f t="shared" ca="1" si="6"/>
        <v>81.599999999999994</v>
      </c>
      <c r="I7" s="5">
        <f t="shared" ca="1" si="7"/>
        <v>3.41</v>
      </c>
      <c r="J7" s="21">
        <f t="shared" ca="1" si="8"/>
        <v>76</v>
      </c>
      <c r="K7" s="15">
        <f t="shared" ca="1" si="9"/>
        <v>0.63</v>
      </c>
      <c r="L7" s="13">
        <f t="shared" ca="1" si="10"/>
        <v>75.5</v>
      </c>
      <c r="M7" s="15">
        <f t="shared" ca="1" si="11"/>
        <v>1.1599999999999999</v>
      </c>
      <c r="N7" s="13">
        <f t="shared" ca="1" si="12"/>
        <v>78.900000000000006</v>
      </c>
      <c r="O7" s="15">
        <f t="shared" ca="1" si="13"/>
        <v>0.77</v>
      </c>
      <c r="P7" s="3">
        <f t="shared" ca="1" si="14"/>
        <v>39</v>
      </c>
      <c r="Q7" s="7">
        <f t="shared" ca="1" si="15"/>
        <v>1.22</v>
      </c>
      <c r="R7" s="3">
        <f t="shared" ca="1" si="16"/>
        <v>65</v>
      </c>
      <c r="S7" s="7">
        <f t="shared" ca="1" si="17"/>
        <v>1.24</v>
      </c>
      <c r="T7" s="3">
        <f t="shared" ca="1" si="18"/>
        <v>101</v>
      </c>
      <c r="U7" s="7">
        <f t="shared" ca="1" si="19"/>
        <v>1.25</v>
      </c>
      <c r="V7" s="7">
        <f t="shared" ca="1" si="20"/>
        <v>1.36</v>
      </c>
      <c r="W7" s="7">
        <f t="shared" ca="1" si="21"/>
        <v>1.2</v>
      </c>
      <c r="X7" s="7">
        <f t="shared" ca="1" si="22"/>
        <v>1.37</v>
      </c>
      <c r="Y7" s="7">
        <f t="shared" ca="1" si="23"/>
        <v>1.07</v>
      </c>
      <c r="Z7" s="14">
        <f t="shared" ca="1" si="24"/>
        <v>105.6</v>
      </c>
      <c r="AA7" s="8">
        <f t="shared" ca="1" si="25"/>
        <v>0.218</v>
      </c>
      <c r="AB7" s="8">
        <f t="shared" ca="1" si="26"/>
        <v>0.68500000000000005</v>
      </c>
      <c r="AC7" s="11">
        <f t="shared" ca="1" si="27"/>
        <v>0.14964788732394371</v>
      </c>
      <c r="AD7" s="8">
        <f t="shared" ca="1" si="28"/>
        <v>0.54084507042253516</v>
      </c>
      <c r="AE7" s="8">
        <f t="shared" ca="1" si="29"/>
        <v>0.21197183098591549</v>
      </c>
      <c r="AF7" s="3">
        <f t="shared" ca="1" si="30"/>
        <v>37</v>
      </c>
      <c r="AG7" s="8">
        <f t="shared" ca="1" si="31"/>
        <v>0.92913385826771655</v>
      </c>
      <c r="AH7" s="8">
        <f t="shared" ca="1" si="32"/>
        <v>0.81889763779527558</v>
      </c>
      <c r="AI7" s="8">
        <f t="shared" ca="1" si="33"/>
        <v>0.6692913385826772</v>
      </c>
      <c r="AJ7" s="8">
        <f t="shared" ca="1" si="45"/>
        <v>0.52755905511811019</v>
      </c>
      <c r="AK7" s="8">
        <f t="shared" ca="1" si="46"/>
        <v>0.36220472440944884</v>
      </c>
      <c r="AL7" s="3">
        <f t="shared" ca="1" si="34"/>
        <v>111</v>
      </c>
      <c r="AM7" s="7">
        <f t="shared" ca="1" si="35"/>
        <v>1.29</v>
      </c>
      <c r="AN7" s="3">
        <f t="shared" ca="1" si="36"/>
        <v>74</v>
      </c>
      <c r="AO7" s="7">
        <f t="shared" ca="1" si="37"/>
        <v>1.28</v>
      </c>
      <c r="AP7" s="3">
        <f t="shared" ca="1" si="38"/>
        <v>30</v>
      </c>
      <c r="AQ7" s="7">
        <f t="shared" ca="1" si="39"/>
        <v>1.23</v>
      </c>
      <c r="AR7" s="3">
        <f t="shared" ca="1" si="40"/>
        <v>40</v>
      </c>
      <c r="AS7" s="7">
        <f t="shared" ca="1" si="41"/>
        <v>1.22</v>
      </c>
      <c r="AT7" s="2">
        <f t="shared" ca="1" si="47"/>
        <v>32</v>
      </c>
      <c r="AU7" s="17">
        <f t="shared" ca="1" si="42"/>
        <v>1.24</v>
      </c>
      <c r="AV7" s="3">
        <f t="shared" ca="1" si="43"/>
        <v>22</v>
      </c>
      <c r="AW7" s="7">
        <f t="shared" ca="1" si="44"/>
        <v>1.26</v>
      </c>
      <c r="AX7" s="3">
        <f t="shared" ca="1" si="48"/>
        <v>9</v>
      </c>
      <c r="AY7" s="7">
        <f t="shared" ca="1" si="49"/>
        <v>1.05</v>
      </c>
    </row>
    <row r="8" spans="1:57" ht="19.5" customHeight="1" x14ac:dyDescent="0.2">
      <c r="A8" s="2">
        <v>4</v>
      </c>
      <c r="B8" s="9" t="str">
        <f t="shared" ca="1" si="0"/>
        <v>sh1ro</v>
      </c>
      <c r="C8" s="4">
        <f t="shared" ca="1" si="1"/>
        <v>118</v>
      </c>
      <c r="D8" s="5">
        <f t="shared" ca="1" si="2"/>
        <v>1.17</v>
      </c>
      <c r="E8" s="10">
        <f t="shared" ca="1" si="3"/>
        <v>571</v>
      </c>
      <c r="F8" s="5">
        <f t="shared" ca="1" si="4"/>
        <v>0.76</v>
      </c>
      <c r="G8" s="5">
        <f t="shared" ca="1" si="5"/>
        <v>0.54</v>
      </c>
      <c r="H8" s="6">
        <f t="shared" ca="1" si="6"/>
        <v>75.8</v>
      </c>
      <c r="I8" s="5">
        <f t="shared" ca="1" si="7"/>
        <v>1.78</v>
      </c>
      <c r="J8" s="21">
        <f t="shared" ca="1" si="8"/>
        <v>77.400000000000006</v>
      </c>
      <c r="K8" s="15">
        <f t="shared" ca="1" si="9"/>
        <v>0.57999999999999996</v>
      </c>
      <c r="L8" s="13">
        <f t="shared" ca="1" si="10"/>
        <v>74.8</v>
      </c>
      <c r="M8" s="15">
        <f t="shared" ca="1" si="11"/>
        <v>1.04</v>
      </c>
      <c r="N8" s="13">
        <f t="shared" ca="1" si="12"/>
        <v>72.599999999999994</v>
      </c>
      <c r="O8" s="15">
        <f t="shared" ca="1" si="13"/>
        <v>0.7</v>
      </c>
      <c r="P8" s="3">
        <f t="shared" ca="1" si="14"/>
        <v>32</v>
      </c>
      <c r="Q8" s="7">
        <f t="shared" ca="1" si="15"/>
        <v>1.17</v>
      </c>
      <c r="R8" s="3">
        <f t="shared" ca="1" si="16"/>
        <v>54</v>
      </c>
      <c r="S8" s="7">
        <f t="shared" ca="1" si="17"/>
        <v>1.19</v>
      </c>
      <c r="T8" s="3">
        <f t="shared" ca="1" si="18"/>
        <v>96</v>
      </c>
      <c r="U8" s="7">
        <f t="shared" ca="1" si="19"/>
        <v>1.17</v>
      </c>
      <c r="V8" s="7">
        <f t="shared" ca="1" si="20"/>
        <v>1.23</v>
      </c>
      <c r="W8" s="7">
        <f t="shared" ca="1" si="21"/>
        <v>1.1100000000000001</v>
      </c>
      <c r="X8" s="7">
        <f t="shared" ca="1" si="22"/>
        <v>1.33</v>
      </c>
      <c r="Y8" s="7">
        <f t="shared" ca="1" si="23"/>
        <v>0.97</v>
      </c>
      <c r="Z8" s="14">
        <f t="shared" ca="1" si="24"/>
        <v>93.6</v>
      </c>
      <c r="AA8" s="8">
        <f t="shared" ca="1" si="25"/>
        <v>0.15</v>
      </c>
      <c r="AB8" s="8">
        <f t="shared" ca="1" si="26"/>
        <v>0.66700000000000004</v>
      </c>
      <c r="AC8" s="11">
        <f t="shared" ca="1" si="27"/>
        <v>9.9688473520249218E-2</v>
      </c>
      <c r="AD8" s="8">
        <f t="shared" ca="1" si="28"/>
        <v>0.51947040498442365</v>
      </c>
      <c r="AE8" s="8">
        <f t="shared" ca="1" si="29"/>
        <v>0.1884735202492212</v>
      </c>
      <c r="AF8" s="3">
        <f t="shared" ca="1" si="30"/>
        <v>61</v>
      </c>
      <c r="AG8" s="8">
        <f t="shared" ca="1" si="31"/>
        <v>0.8728813559322034</v>
      </c>
      <c r="AH8" s="8">
        <f t="shared" ca="1" si="32"/>
        <v>0.77118644067796616</v>
      </c>
      <c r="AI8" s="8">
        <f t="shared" ca="1" si="33"/>
        <v>0.61016949152542377</v>
      </c>
      <c r="AJ8" s="8">
        <f t="shared" ca="1" si="45"/>
        <v>0.34745762711864409</v>
      </c>
      <c r="AK8" s="8">
        <f t="shared" ca="1" si="46"/>
        <v>0.2288135593220339</v>
      </c>
      <c r="AL8" s="3">
        <f t="shared" ca="1" si="34"/>
        <v>103</v>
      </c>
      <c r="AM8" s="7">
        <f t="shared" ca="1" si="35"/>
        <v>1.1499999999999999</v>
      </c>
      <c r="AN8" s="3">
        <f t="shared" ca="1" si="36"/>
        <v>59</v>
      </c>
      <c r="AO8" s="7">
        <f t="shared" ca="1" si="37"/>
        <v>1.2</v>
      </c>
      <c r="AP8" s="3">
        <f t="shared" ca="1" si="38"/>
        <v>26</v>
      </c>
      <c r="AQ8" s="7">
        <f t="shared" ca="1" si="39"/>
        <v>1.25</v>
      </c>
      <c r="AR8" s="3">
        <f t="shared" ca="1" si="40"/>
        <v>50</v>
      </c>
      <c r="AS8" s="7">
        <f t="shared" ca="1" si="41"/>
        <v>1.1000000000000001</v>
      </c>
      <c r="AT8" s="2">
        <f t="shared" ca="1" si="47"/>
        <v>47</v>
      </c>
      <c r="AU8" s="17">
        <f t="shared" ca="1" si="42"/>
        <v>1.1000000000000001</v>
      </c>
      <c r="AV8" s="3">
        <f t="shared" ca="1" si="43"/>
        <v>22</v>
      </c>
      <c r="AW8" s="7">
        <f t="shared" ca="1" si="44"/>
        <v>1.1499999999999999</v>
      </c>
      <c r="AX8" s="3">
        <f t="shared" ca="1" si="48"/>
        <v>14</v>
      </c>
      <c r="AY8" s="7">
        <f t="shared" ca="1" si="49"/>
        <v>0.95</v>
      </c>
    </row>
    <row r="9" spans="1:57" ht="19.5" customHeight="1" x14ac:dyDescent="0.2">
      <c r="A9" s="2">
        <v>5</v>
      </c>
      <c r="B9" s="9" t="str">
        <f t="shared" ca="1" si="0"/>
        <v>KSCERATO</v>
      </c>
      <c r="C9" s="4">
        <f t="shared" ca="1" si="1"/>
        <v>137</v>
      </c>
      <c r="D9" s="5">
        <f t="shared" ca="1" si="2"/>
        <v>1.1599999999999999</v>
      </c>
      <c r="E9" s="10">
        <f t="shared" ca="1" si="3"/>
        <v>342</v>
      </c>
      <c r="F9" s="5">
        <f t="shared" ca="1" si="4"/>
        <v>0.73</v>
      </c>
      <c r="G9" s="5">
        <f t="shared" ca="1" si="5"/>
        <v>0.61</v>
      </c>
      <c r="H9" s="6">
        <f t="shared" ca="1" si="6"/>
        <v>78.7</v>
      </c>
      <c r="I9" s="5">
        <f t="shared" ca="1" si="7"/>
        <v>1.39</v>
      </c>
      <c r="J9" s="21">
        <f t="shared" ca="1" si="8"/>
        <v>75.099999999999994</v>
      </c>
      <c r="K9" s="15">
        <f t="shared" ca="1" si="9"/>
        <v>0.63</v>
      </c>
      <c r="L9" s="13">
        <f t="shared" ca="1" si="10"/>
        <v>72.7</v>
      </c>
      <c r="M9" s="15">
        <f t="shared" ca="1" si="11"/>
        <v>1.1599999999999999</v>
      </c>
      <c r="N9" s="13">
        <f t="shared" ca="1" si="12"/>
        <v>78.2</v>
      </c>
      <c r="O9" s="15">
        <f t="shared" ca="1" si="13"/>
        <v>0.73</v>
      </c>
      <c r="P9" s="3">
        <f t="shared" ca="1" si="14"/>
        <v>28</v>
      </c>
      <c r="Q9" s="7">
        <f t="shared" ca="1" si="15"/>
        <v>1.0900000000000001</v>
      </c>
      <c r="R9" s="3">
        <f t="shared" ca="1" si="16"/>
        <v>64</v>
      </c>
      <c r="S9" s="7">
        <f t="shared" ca="1" si="17"/>
        <v>1.1200000000000001</v>
      </c>
      <c r="T9" s="3">
        <f t="shared" ca="1" si="18"/>
        <v>112</v>
      </c>
      <c r="U9" s="7">
        <f t="shared" ca="1" si="19"/>
        <v>1.1499999999999999</v>
      </c>
      <c r="V9" s="7">
        <f t="shared" ca="1" si="20"/>
        <v>1.2</v>
      </c>
      <c r="W9" s="7">
        <f t="shared" ca="1" si="21"/>
        <v>1.1200000000000001</v>
      </c>
      <c r="X9" s="7">
        <f t="shared" ca="1" si="22"/>
        <v>1.1200000000000001</v>
      </c>
      <c r="Y9" s="7">
        <f t="shared" ca="1" si="23"/>
        <v>1</v>
      </c>
      <c r="Z9" s="14">
        <f t="shared" ca="1" si="24"/>
        <v>101.2</v>
      </c>
      <c r="AA9" s="8">
        <f t="shared" ca="1" si="25"/>
        <v>0.189</v>
      </c>
      <c r="AB9" s="8">
        <f t="shared" ca="1" si="26"/>
        <v>0.53400000000000003</v>
      </c>
      <c r="AC9" s="11">
        <f t="shared" ca="1" si="27"/>
        <v>0.10074374577417169</v>
      </c>
      <c r="AD9" s="8">
        <f t="shared" ca="1" si="28"/>
        <v>0.49154834347532123</v>
      </c>
      <c r="AE9" s="8">
        <f t="shared" ca="1" si="29"/>
        <v>0.1764705882352941</v>
      </c>
      <c r="AF9" s="3">
        <f t="shared" ca="1" si="30"/>
        <v>49</v>
      </c>
      <c r="AG9" s="8">
        <f t="shared" ca="1" si="31"/>
        <v>0.83941605839416056</v>
      </c>
      <c r="AH9" s="8">
        <f t="shared" ca="1" si="32"/>
        <v>0.69343065693430661</v>
      </c>
      <c r="AI9" s="8">
        <f t="shared" ca="1" si="33"/>
        <v>0.51094890510948909</v>
      </c>
      <c r="AJ9" s="8">
        <f t="shared" ca="1" si="45"/>
        <v>0.39416058394160586</v>
      </c>
      <c r="AK9" s="8">
        <f t="shared" ca="1" si="46"/>
        <v>0.24087591240875914</v>
      </c>
      <c r="AL9" s="3">
        <f t="shared" ca="1" si="34"/>
        <v>119</v>
      </c>
      <c r="AM9" s="7">
        <f t="shared" ca="1" si="35"/>
        <v>1.17</v>
      </c>
      <c r="AN9" s="3">
        <f t="shared" ca="1" si="36"/>
        <v>84</v>
      </c>
      <c r="AO9" s="7">
        <f t="shared" ca="1" si="37"/>
        <v>1.18</v>
      </c>
      <c r="AP9" s="3">
        <f t="shared" ca="1" si="38"/>
        <v>35</v>
      </c>
      <c r="AQ9" s="7">
        <f t="shared" ca="1" si="39"/>
        <v>1.1399999999999999</v>
      </c>
      <c r="AR9" s="3">
        <f t="shared" ca="1" si="40"/>
        <v>42</v>
      </c>
      <c r="AS9" s="7">
        <f t="shared" ca="1" si="41"/>
        <v>1.1100000000000001</v>
      </c>
      <c r="AT9" s="2">
        <f t="shared" ca="1" si="47"/>
        <v>37</v>
      </c>
      <c r="AU9" s="17">
        <f t="shared" ca="1" si="42"/>
        <v>1.1200000000000001</v>
      </c>
      <c r="AV9" s="3">
        <f t="shared" ca="1" si="43"/>
        <v>32</v>
      </c>
      <c r="AW9" s="7">
        <f t="shared" ca="1" si="44"/>
        <v>1.1000000000000001</v>
      </c>
      <c r="AX9" s="3">
        <f t="shared" ca="1" si="48"/>
        <v>7</v>
      </c>
      <c r="AY9" s="7">
        <f t="shared" ca="1" si="49"/>
        <v>0.9</v>
      </c>
    </row>
    <row r="10" spans="1:57" ht="20.100000000000001" customHeight="1" x14ac:dyDescent="0.2">
      <c r="A10" s="2">
        <v>6</v>
      </c>
      <c r="B10" s="9" t="str">
        <f t="shared" ca="1" si="0"/>
        <v>kyousuke</v>
      </c>
      <c r="C10" s="4">
        <f t="shared" ca="1" si="1"/>
        <v>117</v>
      </c>
      <c r="D10" s="5">
        <f t="shared" ca="1" si="2"/>
        <v>1.1599999999999999</v>
      </c>
      <c r="E10" s="10">
        <f t="shared" ca="1" si="3"/>
        <v>198</v>
      </c>
      <c r="F10" s="5">
        <f t="shared" ca="1" si="4"/>
        <v>0.77</v>
      </c>
      <c r="G10" s="5">
        <f t="shared" ca="1" si="5"/>
        <v>0.69</v>
      </c>
      <c r="H10" s="6">
        <f t="shared" ca="1" si="6"/>
        <v>82.8</v>
      </c>
      <c r="I10" s="5">
        <f t="shared" ca="1" si="7"/>
        <v>1.01</v>
      </c>
      <c r="J10" s="21">
        <f t="shared" ca="1" si="8"/>
        <v>73.599999999999994</v>
      </c>
      <c r="K10" s="15">
        <f t="shared" ca="1" si="9"/>
        <v>0.71</v>
      </c>
      <c r="L10" s="13">
        <f t="shared" ca="1" si="10"/>
        <v>72</v>
      </c>
      <c r="M10" s="15">
        <f t="shared" ca="1" si="11"/>
        <v>1.19</v>
      </c>
      <c r="N10" s="13">
        <f t="shared" ca="1" si="12"/>
        <v>81.900000000000006</v>
      </c>
      <c r="O10" s="15">
        <f t="shared" ca="1" si="13"/>
        <v>0.76</v>
      </c>
      <c r="P10" s="3">
        <f t="shared" ca="1" si="14"/>
        <v>36</v>
      </c>
      <c r="Q10" s="7">
        <f t="shared" ca="1" si="15"/>
        <v>1.1599999999999999</v>
      </c>
      <c r="R10" s="3">
        <f t="shared" ca="1" si="16"/>
        <v>62</v>
      </c>
      <c r="S10" s="7">
        <f t="shared" ca="1" si="17"/>
        <v>1.1599999999999999</v>
      </c>
      <c r="T10" s="3">
        <f t="shared" ca="1" si="18"/>
        <v>93</v>
      </c>
      <c r="U10" s="7">
        <f t="shared" ca="1" si="19"/>
        <v>1.1599999999999999</v>
      </c>
      <c r="V10" s="7">
        <f t="shared" ca="1" si="20"/>
        <v>1.1499999999999999</v>
      </c>
      <c r="W10" s="7">
        <f t="shared" ca="1" si="21"/>
        <v>1.18</v>
      </c>
      <c r="X10" s="7">
        <f t="shared" ca="1" si="22"/>
        <v>1.32</v>
      </c>
      <c r="Y10" s="7">
        <f t="shared" ca="1" si="23"/>
        <v>1.05</v>
      </c>
      <c r="Z10" s="14">
        <f t="shared" ca="1" si="24"/>
        <v>108</v>
      </c>
      <c r="AA10" s="8">
        <f t="shared" ca="1" si="25"/>
        <v>0.252</v>
      </c>
      <c r="AB10" s="8">
        <f t="shared" ca="1" si="26"/>
        <v>0.53299999999999992</v>
      </c>
      <c r="AC10" s="11">
        <f t="shared" ca="1" si="27"/>
        <v>0.13396946564885501</v>
      </c>
      <c r="AD10" s="8">
        <f t="shared" ca="1" si="28"/>
        <v>0.49503816793893129</v>
      </c>
      <c r="AE10" s="8">
        <f t="shared" ca="1" si="29"/>
        <v>0.20229007633587789</v>
      </c>
      <c r="AF10" s="3">
        <f t="shared" ca="1" si="30"/>
        <v>14</v>
      </c>
      <c r="AG10" s="8">
        <f t="shared" ca="1" si="31"/>
        <v>0.82051282051282048</v>
      </c>
      <c r="AH10" s="8">
        <f t="shared" ca="1" si="32"/>
        <v>0.75213675213675213</v>
      </c>
      <c r="AI10" s="8">
        <f t="shared" ca="1" si="33"/>
        <v>0.59829059829059827</v>
      </c>
      <c r="AJ10" s="8">
        <f t="shared" ca="1" si="45"/>
        <v>0.40170940170940173</v>
      </c>
      <c r="AK10" s="8">
        <f t="shared" ca="1" si="46"/>
        <v>0.25641025641025639</v>
      </c>
      <c r="AL10" s="3">
        <f t="shared" ca="1" si="34"/>
        <v>101</v>
      </c>
      <c r="AM10" s="7">
        <f t="shared" ca="1" si="35"/>
        <v>1.1499999999999999</v>
      </c>
      <c r="AN10" s="3">
        <f t="shared" ca="1" si="36"/>
        <v>72</v>
      </c>
      <c r="AO10" s="7">
        <f t="shared" ca="1" si="37"/>
        <v>1.1599999999999999</v>
      </c>
      <c r="AP10" s="3">
        <f t="shared" ca="1" si="38"/>
        <v>30</v>
      </c>
      <c r="AQ10" s="7">
        <f t="shared" ca="1" si="39"/>
        <v>1.18</v>
      </c>
      <c r="AR10" s="3">
        <f t="shared" ca="1" si="40"/>
        <v>32</v>
      </c>
      <c r="AS10" s="7">
        <f t="shared" ca="1" si="41"/>
        <v>1.18</v>
      </c>
      <c r="AT10" s="2">
        <f t="shared" ca="1" si="47"/>
        <v>32</v>
      </c>
      <c r="AU10" s="17">
        <f t="shared" ca="1" si="42"/>
        <v>1.18</v>
      </c>
      <c r="AV10" s="3">
        <f t="shared" ca="1" si="43"/>
        <v>22</v>
      </c>
      <c r="AW10" s="7">
        <f t="shared" ca="1" si="44"/>
        <v>1.19</v>
      </c>
      <c r="AX10" s="3">
        <f t="shared" ca="1" si="48"/>
        <v>6</v>
      </c>
      <c r="AY10" s="7">
        <f t="shared" ca="1" si="49"/>
        <v>1.25</v>
      </c>
    </row>
    <row r="11" spans="1:57" ht="19.5" customHeight="1" x14ac:dyDescent="0.2">
      <c r="A11" s="2">
        <v>7</v>
      </c>
      <c r="B11" s="9" t="str">
        <f t="shared" ca="1" si="0"/>
        <v>flameZ</v>
      </c>
      <c r="C11" s="4">
        <f t="shared" ca="1" si="1"/>
        <v>124</v>
      </c>
      <c r="D11" s="5">
        <f t="shared" ca="1" si="2"/>
        <v>1.1599999999999999</v>
      </c>
      <c r="E11" s="10">
        <f t="shared" ca="1" si="3"/>
        <v>171</v>
      </c>
      <c r="F11" s="5">
        <f t="shared" ca="1" si="4"/>
        <v>0.72</v>
      </c>
      <c r="G11" s="5">
        <f t="shared" ca="1" si="5"/>
        <v>0.66</v>
      </c>
      <c r="H11" s="6">
        <f t="shared" ca="1" si="6"/>
        <v>76.8</v>
      </c>
      <c r="I11" s="5">
        <f t="shared" ca="1" si="7"/>
        <v>1.1100000000000001</v>
      </c>
      <c r="J11" s="21">
        <f t="shared" ca="1" si="8"/>
        <v>75.5</v>
      </c>
      <c r="K11" s="15">
        <f t="shared" ca="1" si="9"/>
        <v>0.67</v>
      </c>
      <c r="L11" s="13">
        <f t="shared" ca="1" si="10"/>
        <v>73.7</v>
      </c>
      <c r="M11" s="15">
        <f t="shared" ca="1" si="11"/>
        <v>1.17</v>
      </c>
      <c r="N11" s="13">
        <f t="shared" ca="1" si="12"/>
        <v>76.7</v>
      </c>
      <c r="O11" s="15">
        <f t="shared" ca="1" si="13"/>
        <v>0.73</v>
      </c>
      <c r="P11" s="3">
        <f t="shared" ca="1" si="14"/>
        <v>40</v>
      </c>
      <c r="Q11" s="7">
        <f t="shared" ca="1" si="15"/>
        <v>1.1200000000000001</v>
      </c>
      <c r="R11" s="3">
        <f t="shared" ca="1" si="16"/>
        <v>71</v>
      </c>
      <c r="S11" s="7">
        <f t="shared" ca="1" si="17"/>
        <v>1.1399999999999999</v>
      </c>
      <c r="T11" s="3">
        <f t="shared" ca="1" si="18"/>
        <v>99</v>
      </c>
      <c r="U11" s="7">
        <f t="shared" ca="1" si="19"/>
        <v>1.1399999999999999</v>
      </c>
      <c r="V11" s="7">
        <f t="shared" ca="1" si="20"/>
        <v>1.18</v>
      </c>
      <c r="W11" s="7">
        <f t="shared" ca="1" si="21"/>
        <v>1.1399999999999999</v>
      </c>
      <c r="X11" s="7">
        <f t="shared" ca="1" si="22"/>
        <v>1.02</v>
      </c>
      <c r="Y11" s="7">
        <f t="shared" ca="1" si="23"/>
        <v>0.96</v>
      </c>
      <c r="Z11" s="14">
        <f t="shared" ca="1" si="24"/>
        <v>96.8</v>
      </c>
      <c r="AA11" s="8">
        <f t="shared" ca="1" si="25"/>
        <v>0.27200000000000002</v>
      </c>
      <c r="AB11" s="8">
        <f t="shared" ca="1" si="26"/>
        <v>0.52</v>
      </c>
      <c r="AC11" s="11">
        <f t="shared" ca="1" si="27"/>
        <v>0.14120715350223551</v>
      </c>
      <c r="AD11" s="8">
        <f t="shared" ca="1" si="28"/>
        <v>0.47690014903129663</v>
      </c>
      <c r="AE11" s="8">
        <f t="shared" ca="1" si="29"/>
        <v>0.1862891207153502</v>
      </c>
      <c r="AF11" s="3">
        <f t="shared" ca="1" si="30"/>
        <v>21</v>
      </c>
      <c r="AG11" s="8">
        <f t="shared" ca="1" si="31"/>
        <v>0.84677419354838712</v>
      </c>
      <c r="AH11" s="8">
        <f t="shared" ca="1" si="32"/>
        <v>0.66935483870967738</v>
      </c>
      <c r="AI11" s="8">
        <f t="shared" ca="1" si="33"/>
        <v>0.52419354838709675</v>
      </c>
      <c r="AJ11" s="8">
        <f t="shared" ca="1" si="45"/>
        <v>0.37903225806451613</v>
      </c>
      <c r="AK11" s="8">
        <f t="shared" ca="1" si="46"/>
        <v>0.2661290322580645</v>
      </c>
      <c r="AL11" s="3">
        <f t="shared" ca="1" si="34"/>
        <v>120</v>
      </c>
      <c r="AM11" s="7">
        <f t="shared" ca="1" si="35"/>
        <v>1.1599999999999999</v>
      </c>
      <c r="AN11" s="3">
        <f t="shared" ca="1" si="36"/>
        <v>77</v>
      </c>
      <c r="AO11" s="7">
        <f t="shared" ca="1" si="37"/>
        <v>1.18</v>
      </c>
      <c r="AP11" s="3">
        <f t="shared" ca="1" si="38"/>
        <v>26</v>
      </c>
      <c r="AQ11" s="7">
        <f t="shared" ca="1" si="39"/>
        <v>1.1499999999999999</v>
      </c>
      <c r="AR11" s="3">
        <f t="shared" ca="1" si="40"/>
        <v>51</v>
      </c>
      <c r="AS11" s="7">
        <f t="shared" ca="1" si="41"/>
        <v>1.1599999999999999</v>
      </c>
      <c r="AT11" s="2">
        <f t="shared" ca="1" si="47"/>
        <v>46</v>
      </c>
      <c r="AU11" s="17">
        <f t="shared" ca="1" si="42"/>
        <v>1.1599999999999999</v>
      </c>
      <c r="AV11" s="3">
        <f t="shared" ca="1" si="43"/>
        <v>31</v>
      </c>
      <c r="AW11" s="7">
        <f t="shared" ca="1" si="44"/>
        <v>1.17</v>
      </c>
      <c r="AX11" s="3">
        <f t="shared" ca="1" si="48"/>
        <v>16</v>
      </c>
      <c r="AY11" s="7">
        <f t="shared" ca="1" si="49"/>
        <v>1.2</v>
      </c>
    </row>
    <row r="12" spans="1:57" ht="19.5" customHeight="1" x14ac:dyDescent="0.2">
      <c r="A12" s="2">
        <v>8</v>
      </c>
      <c r="B12" s="9" t="str">
        <f t="shared" ca="1" si="0"/>
        <v>Staehr</v>
      </c>
      <c r="C12" s="4">
        <f t="shared" ca="1" si="1"/>
        <v>113</v>
      </c>
      <c r="D12" s="5">
        <f t="shared" ca="1" si="2"/>
        <v>1.1499999999999999</v>
      </c>
      <c r="E12" s="10">
        <f t="shared" ca="1" si="3"/>
        <v>100</v>
      </c>
      <c r="F12" s="5">
        <f t="shared" ca="1" si="4"/>
        <v>0.72</v>
      </c>
      <c r="G12" s="5">
        <f t="shared" ca="1" si="5"/>
        <v>0.68</v>
      </c>
      <c r="H12" s="6">
        <f t="shared" ca="1" si="6"/>
        <v>81.5</v>
      </c>
      <c r="I12" s="5">
        <f t="shared" ca="1" si="7"/>
        <v>1.45</v>
      </c>
      <c r="J12" s="21">
        <f t="shared" ca="1" si="8"/>
        <v>71.599999999999994</v>
      </c>
      <c r="K12" s="15">
        <f t="shared" ca="1" si="9"/>
        <v>0.7</v>
      </c>
      <c r="L12" s="13">
        <f t="shared" ca="1" si="10"/>
        <v>70</v>
      </c>
      <c r="M12" s="15">
        <f t="shared" ca="1" si="11"/>
        <v>1.21</v>
      </c>
      <c r="N12" s="13">
        <f t="shared" ca="1" si="12"/>
        <v>81.3</v>
      </c>
      <c r="O12" s="15">
        <f t="shared" ca="1" si="13"/>
        <v>0.74</v>
      </c>
      <c r="P12" s="3">
        <f t="shared" ca="1" si="14"/>
        <v>11</v>
      </c>
      <c r="Q12" s="7">
        <f t="shared" ca="1" si="15"/>
        <v>1.1599999999999999</v>
      </c>
      <c r="R12" s="3">
        <f t="shared" ca="1" si="16"/>
        <v>36</v>
      </c>
      <c r="S12" s="7">
        <f t="shared" ca="1" si="17"/>
        <v>1.1100000000000001</v>
      </c>
      <c r="T12" s="3">
        <f t="shared" ca="1" si="18"/>
        <v>84</v>
      </c>
      <c r="U12" s="7">
        <f t="shared" ca="1" si="19"/>
        <v>1.1499999999999999</v>
      </c>
      <c r="V12" s="7">
        <f t="shared" ca="1" si="20"/>
        <v>1.2</v>
      </c>
      <c r="W12" s="7">
        <f t="shared" ca="1" si="21"/>
        <v>1.1100000000000001</v>
      </c>
      <c r="X12" s="7">
        <f t="shared" ca="1" si="22"/>
        <v>1.08</v>
      </c>
      <c r="Y12" s="7">
        <f t="shared" ca="1" si="23"/>
        <v>1.05</v>
      </c>
      <c r="Z12" s="14">
        <f t="shared" ca="1" si="24"/>
        <v>111</v>
      </c>
      <c r="AA12" s="8">
        <f t="shared" ca="1" si="25"/>
        <v>0.25800000000000001</v>
      </c>
      <c r="AB12" s="8">
        <f t="shared" ca="1" si="26"/>
        <v>0.51</v>
      </c>
      <c r="AC12" s="11">
        <f t="shared" ca="1" si="27"/>
        <v>0.1316455696202532</v>
      </c>
      <c r="AD12" s="8">
        <f t="shared" ca="1" si="28"/>
        <v>0.47257383966244731</v>
      </c>
      <c r="AE12" s="8">
        <f t="shared" ca="1" si="29"/>
        <v>0.18354430379746839</v>
      </c>
      <c r="AF12" s="3">
        <f t="shared" ca="1" si="30"/>
        <v>31</v>
      </c>
      <c r="AG12" s="8">
        <f t="shared" ca="1" si="31"/>
        <v>0.82300884955752207</v>
      </c>
      <c r="AH12" s="8">
        <f t="shared" ca="1" si="32"/>
        <v>0.68141592920353977</v>
      </c>
      <c r="AI12" s="8">
        <f t="shared" ca="1" si="33"/>
        <v>0.53097345132743368</v>
      </c>
      <c r="AJ12" s="8">
        <f t="shared" ca="1" si="45"/>
        <v>0.34513274336283184</v>
      </c>
      <c r="AK12" s="8">
        <f t="shared" ca="1" si="46"/>
        <v>0.21238938053097345</v>
      </c>
      <c r="AL12" s="3">
        <f t="shared" ca="1" si="34"/>
        <v>65</v>
      </c>
      <c r="AM12" s="7">
        <f t="shared" ca="1" si="35"/>
        <v>1.1499999999999999</v>
      </c>
      <c r="AN12" s="3">
        <f t="shared" ca="1" si="36"/>
        <v>30</v>
      </c>
      <c r="AO12" s="7">
        <f t="shared" ca="1" si="37"/>
        <v>1.1299999999999999</v>
      </c>
      <c r="AP12" s="3">
        <f t="shared" ca="1" si="38"/>
        <v>11</v>
      </c>
      <c r="AQ12" s="7">
        <f t="shared" ca="1" si="39"/>
        <v>1.01</v>
      </c>
      <c r="AR12" s="3">
        <f t="shared" ca="1" si="40"/>
        <v>14</v>
      </c>
      <c r="AS12" s="7">
        <f t="shared" ca="1" si="41"/>
        <v>1.1299999999999999</v>
      </c>
      <c r="AT12" s="2">
        <f t="shared" ca="1" si="47"/>
        <v>14</v>
      </c>
      <c r="AU12" s="17">
        <f t="shared" ca="1" si="42"/>
        <v>1.1299999999999999</v>
      </c>
      <c r="AV12" s="3">
        <f t="shared" ca="1" si="43"/>
        <v>3</v>
      </c>
      <c r="AW12" s="7">
        <f t="shared" ca="1" si="44"/>
        <v>1.1200000000000001</v>
      </c>
      <c r="AX12" s="3">
        <f t="shared" ca="1" si="48"/>
        <v>0</v>
      </c>
      <c r="AY12" s="7" t="str">
        <f t="shared" ca="1" si="49"/>
        <v>-</v>
      </c>
    </row>
    <row r="13" spans="1:57" ht="19.5" customHeight="1" x14ac:dyDescent="0.2">
      <c r="A13" s="2">
        <v>9</v>
      </c>
      <c r="B13" s="9" t="str">
        <f t="shared" ca="1" si="0"/>
        <v>HeavyGod</v>
      </c>
      <c r="C13" s="4">
        <f t="shared" ca="1" si="1"/>
        <v>127</v>
      </c>
      <c r="D13" s="5">
        <f t="shared" ca="1" si="2"/>
        <v>1.1399999999999999</v>
      </c>
      <c r="E13" s="10">
        <f t="shared" ca="1" si="3"/>
        <v>181</v>
      </c>
      <c r="F13" s="5">
        <f t="shared" ca="1" si="4"/>
        <v>0.69</v>
      </c>
      <c r="G13" s="5">
        <f t="shared" ca="1" si="5"/>
        <v>0.62</v>
      </c>
      <c r="H13" s="6">
        <f t="shared" ca="1" si="6"/>
        <v>75.900000000000006</v>
      </c>
      <c r="I13" s="5">
        <f t="shared" ca="1" si="7"/>
        <v>1.29</v>
      </c>
      <c r="J13" s="21">
        <f t="shared" ca="1" si="8"/>
        <v>74.599999999999994</v>
      </c>
      <c r="K13" s="15">
        <f t="shared" ca="1" si="9"/>
        <v>0.64</v>
      </c>
      <c r="L13" s="13">
        <f t="shared" ca="1" si="10"/>
        <v>72.400000000000006</v>
      </c>
      <c r="M13" s="15">
        <f t="shared" ca="1" si="11"/>
        <v>1.1499999999999999</v>
      </c>
      <c r="N13" s="13">
        <f t="shared" ca="1" si="12"/>
        <v>76.400000000000006</v>
      </c>
      <c r="O13" s="15">
        <f t="shared" ca="1" si="13"/>
        <v>0.71</v>
      </c>
      <c r="P13" s="3">
        <f t="shared" ca="1" si="14"/>
        <v>29</v>
      </c>
      <c r="Q13" s="7">
        <f t="shared" ca="1" si="15"/>
        <v>1.07</v>
      </c>
      <c r="R13" s="3">
        <f t="shared" ca="1" si="16"/>
        <v>61</v>
      </c>
      <c r="S13" s="7">
        <f t="shared" ca="1" si="17"/>
        <v>1.1100000000000001</v>
      </c>
      <c r="T13" s="3">
        <f t="shared" ca="1" si="18"/>
        <v>103</v>
      </c>
      <c r="U13" s="7">
        <f t="shared" ca="1" si="19"/>
        <v>1.1499999999999999</v>
      </c>
      <c r="V13" s="7">
        <f t="shared" ca="1" si="20"/>
        <v>1.1399999999999999</v>
      </c>
      <c r="W13" s="7">
        <f t="shared" ca="1" si="21"/>
        <v>1.1499999999999999</v>
      </c>
      <c r="X13" s="7">
        <f t="shared" ca="1" si="22"/>
        <v>1.32</v>
      </c>
      <c r="Y13" s="7">
        <f t="shared" ca="1" si="23"/>
        <v>0.89</v>
      </c>
      <c r="Z13" s="14">
        <f t="shared" ca="1" si="24"/>
        <v>94.1</v>
      </c>
      <c r="AA13" s="8">
        <f t="shared" ca="1" si="25"/>
        <v>0.17100000000000001</v>
      </c>
      <c r="AB13" s="8">
        <f t="shared" ca="1" si="26"/>
        <v>0.53299999999999992</v>
      </c>
      <c r="AC13" s="11">
        <f t="shared" ca="1" si="27"/>
        <v>9.0876436781609199E-2</v>
      </c>
      <c r="AD13" s="8">
        <f t="shared" ca="1" si="28"/>
        <v>0.46587643678160923</v>
      </c>
      <c r="AE13" s="8">
        <f t="shared" ca="1" si="29"/>
        <v>0.17061781609195401</v>
      </c>
      <c r="AF13" s="3">
        <f t="shared" ca="1" si="30"/>
        <v>46</v>
      </c>
      <c r="AG13" s="8">
        <f t="shared" ca="1" si="31"/>
        <v>0.8582677165354331</v>
      </c>
      <c r="AH13" s="8">
        <f t="shared" ca="1" si="32"/>
        <v>0.70866141732283461</v>
      </c>
      <c r="AI13" s="8">
        <f t="shared" ca="1" si="33"/>
        <v>0.48818897637795278</v>
      </c>
      <c r="AJ13" s="8">
        <f t="shared" ca="1" si="45"/>
        <v>0.36220472440944884</v>
      </c>
      <c r="AK13" s="8">
        <f t="shared" ca="1" si="46"/>
        <v>0.25984251968503935</v>
      </c>
      <c r="AL13" s="3">
        <f t="shared" ca="1" si="34"/>
        <v>97</v>
      </c>
      <c r="AM13" s="7">
        <f t="shared" ca="1" si="35"/>
        <v>1.1599999999999999</v>
      </c>
      <c r="AN13" s="3">
        <f t="shared" ca="1" si="36"/>
        <v>59</v>
      </c>
      <c r="AO13" s="7">
        <f t="shared" ca="1" si="37"/>
        <v>1.18</v>
      </c>
      <c r="AP13" s="3">
        <f t="shared" ca="1" si="38"/>
        <v>26</v>
      </c>
      <c r="AQ13" s="7">
        <f t="shared" ca="1" si="39"/>
        <v>1.2</v>
      </c>
      <c r="AR13" s="3">
        <f t="shared" ca="1" si="40"/>
        <v>15</v>
      </c>
      <c r="AS13" s="7">
        <f t="shared" ca="1" si="41"/>
        <v>0.98</v>
      </c>
      <c r="AT13" s="2">
        <f t="shared" ca="1" si="47"/>
        <v>15</v>
      </c>
      <c r="AU13" s="17">
        <f t="shared" ca="1" si="42"/>
        <v>0.98</v>
      </c>
      <c r="AV13" s="3">
        <f t="shared" ca="1" si="43"/>
        <v>13</v>
      </c>
      <c r="AW13" s="7">
        <f t="shared" ca="1" si="44"/>
        <v>0.97</v>
      </c>
      <c r="AX13" s="3">
        <f t="shared" ca="1" si="48"/>
        <v>0</v>
      </c>
      <c r="AY13" s="7" t="str">
        <f t="shared" ca="1" si="49"/>
        <v>-</v>
      </c>
    </row>
    <row r="14" spans="1:57" ht="19.5" customHeight="1" x14ac:dyDescent="0.2">
      <c r="A14" s="2">
        <v>10</v>
      </c>
      <c r="B14" s="9" t="str">
        <f t="shared" ca="1" si="0"/>
        <v>molodoy</v>
      </c>
      <c r="C14" s="4">
        <f t="shared" ca="1" si="1"/>
        <v>137</v>
      </c>
      <c r="D14" s="5">
        <f t="shared" ca="1" si="2"/>
        <v>1.1399999999999999</v>
      </c>
      <c r="E14" s="10">
        <f t="shared" ca="1" si="3"/>
        <v>515</v>
      </c>
      <c r="F14" s="5">
        <f t="shared" ca="1" si="4"/>
        <v>0.77</v>
      </c>
      <c r="G14" s="5">
        <f t="shared" ca="1" si="5"/>
        <v>0.59</v>
      </c>
      <c r="H14" s="6">
        <f t="shared" ca="1" si="6"/>
        <v>76.900000000000006</v>
      </c>
      <c r="I14" s="5">
        <f t="shared" ca="1" si="7"/>
        <v>1.61</v>
      </c>
      <c r="J14" s="21">
        <f t="shared" ca="1" si="8"/>
        <v>73.900000000000006</v>
      </c>
      <c r="K14" s="15">
        <f t="shared" ca="1" si="9"/>
        <v>0.64</v>
      </c>
      <c r="L14" s="13">
        <f t="shared" ca="1" si="10"/>
        <v>71.5</v>
      </c>
      <c r="M14" s="15">
        <f t="shared" ca="1" si="11"/>
        <v>1.1200000000000001</v>
      </c>
      <c r="N14" s="13">
        <f t="shared" ca="1" si="12"/>
        <v>74.599999999999994</v>
      </c>
      <c r="O14" s="15">
        <f t="shared" ca="1" si="13"/>
        <v>0.72</v>
      </c>
      <c r="P14" s="3">
        <f t="shared" ca="1" si="14"/>
        <v>28</v>
      </c>
      <c r="Q14" s="7">
        <f t="shared" ca="1" si="15"/>
        <v>0.94</v>
      </c>
      <c r="R14" s="3">
        <f t="shared" ca="1" si="16"/>
        <v>64</v>
      </c>
      <c r="S14" s="7">
        <f t="shared" ca="1" si="17"/>
        <v>1.08</v>
      </c>
      <c r="T14" s="3">
        <f t="shared" ca="1" si="18"/>
        <v>112</v>
      </c>
      <c r="U14" s="7">
        <f t="shared" ca="1" si="19"/>
        <v>1.1200000000000001</v>
      </c>
      <c r="V14" s="7">
        <f t="shared" ca="1" si="20"/>
        <v>1.1299999999999999</v>
      </c>
      <c r="W14" s="7">
        <f t="shared" ca="1" si="21"/>
        <v>1.1499999999999999</v>
      </c>
      <c r="X14" s="7">
        <f t="shared" ca="1" si="22"/>
        <v>1.31</v>
      </c>
      <c r="Y14" s="7">
        <f t="shared" ca="1" si="23"/>
        <v>1.04</v>
      </c>
      <c r="Z14" s="14">
        <f t="shared" ca="1" si="24"/>
        <v>100.2</v>
      </c>
      <c r="AA14" s="8">
        <f t="shared" ca="1" si="25"/>
        <v>0.20599999999999999</v>
      </c>
      <c r="AB14" s="8">
        <f t="shared" ca="1" si="26"/>
        <v>0.624</v>
      </c>
      <c r="AC14" s="11">
        <f t="shared" ca="1" si="27"/>
        <v>0.12846517917511829</v>
      </c>
      <c r="AD14" s="8">
        <f t="shared" ca="1" si="28"/>
        <v>0.50878972278566603</v>
      </c>
      <c r="AE14" s="8">
        <f t="shared" ca="1" si="29"/>
        <v>0.1974306964164976</v>
      </c>
      <c r="AF14" s="3">
        <f t="shared" ca="1" si="30"/>
        <v>43</v>
      </c>
      <c r="AG14" s="8">
        <f t="shared" ca="1" si="31"/>
        <v>0.8029197080291971</v>
      </c>
      <c r="AH14" s="8">
        <f t="shared" ca="1" si="32"/>
        <v>0.64963503649635035</v>
      </c>
      <c r="AI14" s="8">
        <f t="shared" ca="1" si="33"/>
        <v>0.48905109489051096</v>
      </c>
      <c r="AJ14" s="8">
        <f t="shared" ca="1" si="45"/>
        <v>0.38686131386861317</v>
      </c>
      <c r="AK14" s="8">
        <f t="shared" ca="1" si="46"/>
        <v>0.23357664233576642</v>
      </c>
      <c r="AL14" s="3">
        <f t="shared" ca="1" si="34"/>
        <v>119</v>
      </c>
      <c r="AM14" s="7">
        <f t="shared" ca="1" si="35"/>
        <v>1.1399999999999999</v>
      </c>
      <c r="AN14" s="3">
        <f t="shared" ca="1" si="36"/>
        <v>84</v>
      </c>
      <c r="AO14" s="7">
        <f t="shared" ca="1" si="37"/>
        <v>1.1399999999999999</v>
      </c>
      <c r="AP14" s="3">
        <f t="shared" ca="1" si="38"/>
        <v>35</v>
      </c>
      <c r="AQ14" s="7">
        <f t="shared" ca="1" si="39"/>
        <v>1.1299999999999999</v>
      </c>
      <c r="AR14" s="3">
        <f t="shared" ca="1" si="40"/>
        <v>42</v>
      </c>
      <c r="AS14" s="7">
        <f t="shared" ca="1" si="41"/>
        <v>1.06</v>
      </c>
      <c r="AT14" s="2">
        <f t="shared" ca="1" si="47"/>
        <v>37</v>
      </c>
      <c r="AU14" s="17">
        <f t="shared" ca="1" si="42"/>
        <v>1.05</v>
      </c>
      <c r="AV14" s="3">
        <f t="shared" ca="1" si="43"/>
        <v>32</v>
      </c>
      <c r="AW14" s="7">
        <f t="shared" ca="1" si="44"/>
        <v>1.08</v>
      </c>
      <c r="AX14" s="3">
        <f t="shared" ca="1" si="48"/>
        <v>7</v>
      </c>
      <c r="AY14" s="7">
        <f t="shared" ca="1" si="49"/>
        <v>0.96</v>
      </c>
    </row>
    <row r="15" spans="1:57" ht="19.5" customHeight="1" x14ac:dyDescent="0.2">
      <c r="A15" s="2">
        <v>11</v>
      </c>
      <c r="B15" s="9" t="str">
        <f t="shared" ca="1" si="0"/>
        <v>makazze</v>
      </c>
      <c r="C15" s="4">
        <f t="shared" ca="1" si="1"/>
        <v>126</v>
      </c>
      <c r="D15" s="5">
        <f t="shared" ca="1" si="2"/>
        <v>1.1299999999999999</v>
      </c>
      <c r="E15" s="10">
        <f t="shared" ca="1" si="3"/>
        <v>62</v>
      </c>
      <c r="F15" s="5">
        <f t="shared" ca="1" si="4"/>
        <v>0.72</v>
      </c>
      <c r="G15" s="5">
        <f t="shared" ca="1" si="5"/>
        <v>0.7</v>
      </c>
      <c r="H15" s="6">
        <f t="shared" ca="1" si="6"/>
        <v>80.8</v>
      </c>
      <c r="I15" s="5">
        <f t="shared" ca="1" si="7"/>
        <v>1.02</v>
      </c>
      <c r="J15" s="21">
        <f t="shared" ca="1" si="8"/>
        <v>73.599999999999994</v>
      </c>
      <c r="K15" s="15">
        <f t="shared" ca="1" si="9"/>
        <v>0.72</v>
      </c>
      <c r="L15" s="13">
        <f t="shared" ca="1" si="10"/>
        <v>71.8</v>
      </c>
      <c r="M15" s="15">
        <f t="shared" ca="1" si="11"/>
        <v>1.18</v>
      </c>
      <c r="N15" s="13">
        <f t="shared" ca="1" si="12"/>
        <v>80</v>
      </c>
      <c r="O15" s="15">
        <f t="shared" ca="1" si="13"/>
        <v>0.73</v>
      </c>
      <c r="P15" s="3">
        <f t="shared" ca="1" si="14"/>
        <v>30</v>
      </c>
      <c r="Q15" s="7">
        <f t="shared" ca="1" si="15"/>
        <v>0.96</v>
      </c>
      <c r="R15" s="3">
        <f t="shared" ca="1" si="16"/>
        <v>64</v>
      </c>
      <c r="S15" s="7">
        <f t="shared" ca="1" si="17"/>
        <v>1.0900000000000001</v>
      </c>
      <c r="T15" s="3">
        <f t="shared" ca="1" si="18"/>
        <v>106</v>
      </c>
      <c r="U15" s="7">
        <f t="shared" ca="1" si="19"/>
        <v>1.1200000000000001</v>
      </c>
      <c r="V15" s="7">
        <f t="shared" ca="1" si="20"/>
        <v>1.1499999999999999</v>
      </c>
      <c r="W15" s="7">
        <f t="shared" ca="1" si="21"/>
        <v>1.1100000000000001</v>
      </c>
      <c r="X15" s="7">
        <f t="shared" ca="1" si="22"/>
        <v>1.06</v>
      </c>
      <c r="Y15" s="7">
        <f t="shared" ca="1" si="23"/>
        <v>1.02</v>
      </c>
      <c r="Z15" s="14">
        <f t="shared" ca="1" si="24"/>
        <v>106.4</v>
      </c>
      <c r="AA15" s="8">
        <f t="shared" ca="1" si="25"/>
        <v>0.29899999999999999</v>
      </c>
      <c r="AB15" s="8">
        <f t="shared" ca="1" si="26"/>
        <v>0.52100000000000002</v>
      </c>
      <c r="AC15" s="11">
        <f t="shared" ca="1" si="27"/>
        <v>0.15560554930633669</v>
      </c>
      <c r="AD15" s="8">
        <f t="shared" ca="1" si="28"/>
        <v>0.48368953880764898</v>
      </c>
      <c r="AE15" s="8">
        <f t="shared" ca="1" si="29"/>
        <v>0.17622797150356209</v>
      </c>
      <c r="AF15" s="3">
        <f t="shared" ca="1" si="30"/>
        <v>27</v>
      </c>
      <c r="AG15" s="8">
        <f t="shared" ca="1" si="31"/>
        <v>0.83333333333333337</v>
      </c>
      <c r="AH15" s="8">
        <f t="shared" ca="1" si="32"/>
        <v>0.69841269841269837</v>
      </c>
      <c r="AI15" s="8">
        <f t="shared" ca="1" si="33"/>
        <v>0.53968253968253965</v>
      </c>
      <c r="AJ15" s="8">
        <f t="shared" ca="1" si="45"/>
        <v>0.32539682539682541</v>
      </c>
      <c r="AK15" s="8">
        <f t="shared" ca="1" si="46"/>
        <v>0.21428571428571427</v>
      </c>
      <c r="AL15" s="3">
        <f t="shared" ca="1" si="34"/>
        <v>110</v>
      </c>
      <c r="AM15" s="7">
        <f t="shared" ca="1" si="35"/>
        <v>1.1200000000000001</v>
      </c>
      <c r="AN15" s="3">
        <f t="shared" ca="1" si="36"/>
        <v>63</v>
      </c>
      <c r="AO15" s="7">
        <f t="shared" ca="1" si="37"/>
        <v>1.06</v>
      </c>
      <c r="AP15" s="3">
        <f t="shared" ca="1" si="38"/>
        <v>21</v>
      </c>
      <c r="AQ15" s="7">
        <f t="shared" ca="1" si="39"/>
        <v>0.99</v>
      </c>
      <c r="AR15" s="3">
        <f t="shared" ca="1" si="40"/>
        <v>35</v>
      </c>
      <c r="AS15" s="7">
        <f t="shared" ca="1" si="41"/>
        <v>1.1000000000000001</v>
      </c>
      <c r="AT15" s="2">
        <f t="shared" ca="1" si="47"/>
        <v>35</v>
      </c>
      <c r="AU15" s="17">
        <f t="shared" ca="1" si="42"/>
        <v>1.1000000000000001</v>
      </c>
      <c r="AV15" s="3">
        <f t="shared" ca="1" si="43"/>
        <v>11</v>
      </c>
      <c r="AW15" s="7">
        <f t="shared" ca="1" si="44"/>
        <v>0.97</v>
      </c>
      <c r="AX15" s="3">
        <f t="shared" ca="1" si="48"/>
        <v>13</v>
      </c>
      <c r="AY15" s="7">
        <f t="shared" ca="1" si="49"/>
        <v>1.1100000000000001</v>
      </c>
    </row>
    <row r="16" spans="1:57" ht="19.5" customHeight="1" x14ac:dyDescent="0.2">
      <c r="A16" s="2">
        <v>12</v>
      </c>
      <c r="B16" s="9" t="str">
        <f t="shared" ca="1" si="0"/>
        <v>xertioN</v>
      </c>
      <c r="C16" s="4">
        <f t="shared" ca="1" si="1"/>
        <v>129</v>
      </c>
      <c r="D16" s="5">
        <f t="shared" ca="1" si="2"/>
        <v>1.1299999999999999</v>
      </c>
      <c r="E16" s="10">
        <f t="shared" ca="1" si="3"/>
        <v>154</v>
      </c>
      <c r="F16" s="5">
        <f t="shared" ca="1" si="4"/>
        <v>0.71</v>
      </c>
      <c r="G16" s="5">
        <f t="shared" ca="1" si="5"/>
        <v>0.66</v>
      </c>
      <c r="H16" s="6">
        <f t="shared" ca="1" si="6"/>
        <v>82.1</v>
      </c>
      <c r="I16" s="5">
        <f t="shared" ca="1" si="7"/>
        <v>0.9</v>
      </c>
      <c r="J16" s="21">
        <f t="shared" ca="1" si="8"/>
        <v>75</v>
      </c>
      <c r="K16" s="15">
        <f t="shared" ca="1" si="9"/>
        <v>0.68</v>
      </c>
      <c r="L16" s="13">
        <f t="shared" ca="1" si="10"/>
        <v>72.400000000000006</v>
      </c>
      <c r="M16" s="15">
        <f t="shared" ca="1" si="11"/>
        <v>1.07</v>
      </c>
      <c r="N16" s="13">
        <f t="shared" ca="1" si="12"/>
        <v>80.8</v>
      </c>
      <c r="O16" s="15">
        <f t="shared" ca="1" si="13"/>
        <v>0.71</v>
      </c>
      <c r="P16" s="3">
        <f t="shared" ca="1" si="14"/>
        <v>28</v>
      </c>
      <c r="Q16" s="7">
        <f t="shared" ca="1" si="15"/>
        <v>0.94</v>
      </c>
      <c r="R16" s="3">
        <f t="shared" ca="1" si="16"/>
        <v>60</v>
      </c>
      <c r="S16" s="7">
        <f t="shared" ca="1" si="17"/>
        <v>1.05</v>
      </c>
      <c r="T16" s="3">
        <f t="shared" ca="1" si="18"/>
        <v>101</v>
      </c>
      <c r="U16" s="7">
        <f t="shared" ca="1" si="19"/>
        <v>1.0900000000000001</v>
      </c>
      <c r="V16" s="7">
        <f t="shared" ca="1" si="20"/>
        <v>1.21</v>
      </c>
      <c r="W16" s="7">
        <f t="shared" ca="1" si="21"/>
        <v>1.04</v>
      </c>
      <c r="X16" s="7">
        <f t="shared" ca="1" si="22"/>
        <v>1.07</v>
      </c>
      <c r="Y16" s="7">
        <f t="shared" ca="1" si="23"/>
        <v>0.98</v>
      </c>
      <c r="Z16" s="14">
        <f t="shared" ca="1" si="24"/>
        <v>107.2</v>
      </c>
      <c r="AA16" s="8">
        <f t="shared" ca="1" si="25"/>
        <v>0.254</v>
      </c>
      <c r="AB16" s="8">
        <f t="shared" ca="1" si="26"/>
        <v>0.46800000000000003</v>
      </c>
      <c r="AC16" s="11">
        <f t="shared" ca="1" si="27"/>
        <v>0.11916909620991251</v>
      </c>
      <c r="AD16" s="8">
        <f t="shared" ca="1" si="28"/>
        <v>0.48979591836734693</v>
      </c>
      <c r="AE16" s="8">
        <f t="shared" ca="1" si="29"/>
        <v>0.1723760932944606</v>
      </c>
      <c r="AF16" s="3">
        <f t="shared" ca="1" si="30"/>
        <v>34</v>
      </c>
      <c r="AG16" s="8">
        <f t="shared" ca="1" si="31"/>
        <v>0.8294573643410853</v>
      </c>
      <c r="AH16" s="8">
        <f t="shared" ca="1" si="32"/>
        <v>0.68217054263565891</v>
      </c>
      <c r="AI16" s="8">
        <f t="shared" ca="1" si="33"/>
        <v>0.48837209302325579</v>
      </c>
      <c r="AJ16" s="8">
        <f t="shared" ca="1" si="45"/>
        <v>0.32558139534883723</v>
      </c>
      <c r="AK16" s="8">
        <f t="shared" ca="1" si="46"/>
        <v>0.20930232558139536</v>
      </c>
      <c r="AL16" s="3">
        <f t="shared" ca="1" si="34"/>
        <v>105</v>
      </c>
      <c r="AM16" s="7">
        <f t="shared" ca="1" si="35"/>
        <v>1.1100000000000001</v>
      </c>
      <c r="AN16" s="3">
        <f t="shared" ca="1" si="36"/>
        <v>66</v>
      </c>
      <c r="AO16" s="7">
        <f t="shared" ca="1" si="37"/>
        <v>1.0900000000000001</v>
      </c>
      <c r="AP16" s="3">
        <f t="shared" ca="1" si="38"/>
        <v>25</v>
      </c>
      <c r="AQ16" s="7">
        <f t="shared" ca="1" si="39"/>
        <v>1.03</v>
      </c>
      <c r="AR16" s="3">
        <f t="shared" ca="1" si="40"/>
        <v>35</v>
      </c>
      <c r="AS16" s="7">
        <f t="shared" ca="1" si="41"/>
        <v>1.02</v>
      </c>
      <c r="AT16" s="2">
        <f t="shared" ca="1" si="47"/>
        <v>35</v>
      </c>
      <c r="AU16" s="17">
        <f t="shared" ca="1" si="42"/>
        <v>1.02</v>
      </c>
      <c r="AV16" s="3">
        <f t="shared" ca="1" si="43"/>
        <v>16</v>
      </c>
      <c r="AW16" s="7">
        <f t="shared" ca="1" si="44"/>
        <v>1.04</v>
      </c>
      <c r="AX16" s="3">
        <f t="shared" ca="1" si="48"/>
        <v>4</v>
      </c>
      <c r="AY16" s="7">
        <f t="shared" ca="1" si="49"/>
        <v>0.98</v>
      </c>
    </row>
    <row r="17" spans="1:51" ht="19.5" customHeight="1" x14ac:dyDescent="0.2">
      <c r="A17" s="2">
        <v>13</v>
      </c>
      <c r="B17" s="9" t="str">
        <f t="shared" ca="1" si="0"/>
        <v>latto</v>
      </c>
      <c r="C17" s="4">
        <f t="shared" ca="1" si="1"/>
        <v>104</v>
      </c>
      <c r="D17" s="5">
        <f t="shared" ca="1" si="2"/>
        <v>1.1299999999999999</v>
      </c>
      <c r="E17" s="10">
        <f t="shared" ca="1" si="3"/>
        <v>218</v>
      </c>
      <c r="F17" s="5">
        <f t="shared" ca="1" si="4"/>
        <v>0.72</v>
      </c>
      <c r="G17" s="5">
        <f t="shared" ca="1" si="5"/>
        <v>0.62</v>
      </c>
      <c r="H17" s="6">
        <f t="shared" ca="1" si="6"/>
        <v>77.3</v>
      </c>
      <c r="I17" s="5">
        <f t="shared" ca="1" si="7"/>
        <v>0.81</v>
      </c>
      <c r="J17" s="21">
        <f t="shared" ca="1" si="8"/>
        <v>74.8</v>
      </c>
      <c r="K17" s="15">
        <f t="shared" ca="1" si="9"/>
        <v>0.64</v>
      </c>
      <c r="L17" s="13">
        <f t="shared" ca="1" si="10"/>
        <v>70.599999999999994</v>
      </c>
      <c r="M17" s="15">
        <f t="shared" ca="1" si="11"/>
        <v>1.2</v>
      </c>
      <c r="N17" s="13">
        <f t="shared" ca="1" si="12"/>
        <v>76.900000000000006</v>
      </c>
      <c r="O17" s="15">
        <f t="shared" ca="1" si="13"/>
        <v>0.73</v>
      </c>
      <c r="P17" s="3">
        <f t="shared" ca="1" si="14"/>
        <v>29</v>
      </c>
      <c r="Q17" s="7">
        <f t="shared" ca="1" si="15"/>
        <v>1.1499999999999999</v>
      </c>
      <c r="R17" s="3">
        <f t="shared" ca="1" si="16"/>
        <v>57</v>
      </c>
      <c r="S17" s="7">
        <f t="shared" ca="1" si="17"/>
        <v>1.1200000000000001</v>
      </c>
      <c r="T17" s="3">
        <f t="shared" ca="1" si="18"/>
        <v>67</v>
      </c>
      <c r="U17" s="7">
        <f t="shared" ca="1" si="19"/>
        <v>1.1000000000000001</v>
      </c>
      <c r="V17" s="7">
        <f t="shared" ca="1" si="20"/>
        <v>1.1399999999999999</v>
      </c>
      <c r="W17" s="7">
        <f t="shared" ca="1" si="21"/>
        <v>1.1200000000000001</v>
      </c>
      <c r="X17" s="7">
        <f t="shared" ca="1" si="22"/>
        <v>1.1399999999999999</v>
      </c>
      <c r="Y17" s="7">
        <f t="shared" ca="1" si="23"/>
        <v>0.99</v>
      </c>
      <c r="Z17" s="14">
        <f t="shared" ca="1" si="24"/>
        <v>101.4</v>
      </c>
      <c r="AA17" s="8">
        <f t="shared" ca="1" si="25"/>
        <v>0.182</v>
      </c>
      <c r="AB17" s="8">
        <f t="shared" ca="1" si="26"/>
        <v>0.51800000000000002</v>
      </c>
      <c r="AC17" s="11">
        <f t="shared" ca="1" si="27"/>
        <v>9.4273127753303959E-2</v>
      </c>
      <c r="AD17" s="8">
        <f t="shared" ca="1" si="28"/>
        <v>0.48193832599118941</v>
      </c>
      <c r="AE17" s="8">
        <f t="shared" ca="1" si="29"/>
        <v>0.1700440528634361</v>
      </c>
      <c r="AF17" s="3">
        <f t="shared" ca="1" si="30"/>
        <v>34</v>
      </c>
      <c r="AG17" s="8">
        <f t="shared" ca="1" si="31"/>
        <v>0.79807692307692313</v>
      </c>
      <c r="AH17" s="8">
        <f t="shared" ca="1" si="32"/>
        <v>0.625</v>
      </c>
      <c r="AI17" s="8">
        <f t="shared" ca="1" si="33"/>
        <v>0.49038461538461536</v>
      </c>
      <c r="AJ17" s="8">
        <f t="shared" ca="1" si="45"/>
        <v>0.375</v>
      </c>
      <c r="AK17" s="8">
        <f t="shared" ca="1" si="46"/>
        <v>0.25</v>
      </c>
      <c r="AL17" s="3">
        <f t="shared" ca="1" si="34"/>
        <v>54</v>
      </c>
      <c r="AM17" s="7">
        <f t="shared" ca="1" si="35"/>
        <v>1.08</v>
      </c>
      <c r="AN17" s="3">
        <f t="shared" ca="1" si="36"/>
        <v>30</v>
      </c>
      <c r="AO17" s="7">
        <f t="shared" ca="1" si="37"/>
        <v>1.1000000000000001</v>
      </c>
      <c r="AP17" s="3">
        <f t="shared" ca="1" si="38"/>
        <v>8</v>
      </c>
      <c r="AQ17" s="7">
        <f t="shared" ca="1" si="39"/>
        <v>1.0900000000000001</v>
      </c>
      <c r="AR17" s="3">
        <f t="shared" ca="1" si="40"/>
        <v>12</v>
      </c>
      <c r="AS17" s="7">
        <f t="shared" ca="1" si="41"/>
        <v>1.1100000000000001</v>
      </c>
      <c r="AT17" s="2">
        <f t="shared" ca="1" si="47"/>
        <v>12</v>
      </c>
      <c r="AU17" s="17">
        <f t="shared" ca="1" si="42"/>
        <v>1.1100000000000001</v>
      </c>
      <c r="AV17" s="3">
        <f t="shared" ca="1" si="43"/>
        <v>6</v>
      </c>
      <c r="AW17" s="7">
        <f t="shared" ca="1" si="44"/>
        <v>1.19</v>
      </c>
      <c r="AX17" s="3">
        <f t="shared" ca="1" si="48"/>
        <v>0</v>
      </c>
      <c r="AY17" s="7" t="str">
        <f t="shared" ca="1" si="49"/>
        <v>-</v>
      </c>
    </row>
    <row r="18" spans="1:51" ht="19.5" customHeight="1" x14ac:dyDescent="0.2">
      <c r="A18" s="2">
        <v>14</v>
      </c>
      <c r="B18" s="9" t="str">
        <f t="shared" ca="1" si="0"/>
        <v>luchov</v>
      </c>
      <c r="C18" s="4">
        <f t="shared" ca="1" si="1"/>
        <v>67</v>
      </c>
      <c r="D18" s="5">
        <f t="shared" ca="1" si="2"/>
        <v>1.1299999999999999</v>
      </c>
      <c r="E18" s="10">
        <f t="shared" ca="1" si="3"/>
        <v>59</v>
      </c>
      <c r="F18" s="5">
        <f t="shared" ca="1" si="4"/>
        <v>0.74</v>
      </c>
      <c r="G18" s="5">
        <f t="shared" ca="1" si="5"/>
        <v>0.69</v>
      </c>
      <c r="H18" s="6">
        <f t="shared" ca="1" si="6"/>
        <v>80.099999999999994</v>
      </c>
      <c r="I18" s="5">
        <f t="shared" ca="1" si="7"/>
        <v>0.56999999999999995</v>
      </c>
      <c r="J18" s="21">
        <f t="shared" ca="1" si="8"/>
        <v>70.5</v>
      </c>
      <c r="K18" s="15">
        <f t="shared" ca="1" si="9"/>
        <v>0.71</v>
      </c>
      <c r="L18" s="13">
        <f t="shared" ca="1" si="10"/>
        <v>70.400000000000006</v>
      </c>
      <c r="M18" s="15">
        <f t="shared" ca="1" si="11"/>
        <v>1.19</v>
      </c>
      <c r="N18" s="13">
        <f t="shared" ca="1" si="12"/>
        <v>79.7</v>
      </c>
      <c r="O18" s="15">
        <f t="shared" ca="1" si="13"/>
        <v>0.75</v>
      </c>
      <c r="P18" s="3">
        <f t="shared" ca="1" si="14"/>
        <v>26</v>
      </c>
      <c r="Q18" s="7">
        <f t="shared" ca="1" si="15"/>
        <v>0.98</v>
      </c>
      <c r="R18" s="3">
        <f t="shared" ca="1" si="16"/>
        <v>37</v>
      </c>
      <c r="S18" s="7">
        <f t="shared" ca="1" si="17"/>
        <v>1.1000000000000001</v>
      </c>
      <c r="T18" s="3">
        <f t="shared" ca="1" si="18"/>
        <v>45</v>
      </c>
      <c r="U18" s="7">
        <f t="shared" ca="1" si="19"/>
        <v>1.1200000000000001</v>
      </c>
      <c r="V18" s="7">
        <f t="shared" ca="1" si="20"/>
        <v>1.2</v>
      </c>
      <c r="W18" s="7">
        <f t="shared" ca="1" si="21"/>
        <v>1.06</v>
      </c>
      <c r="X18" s="7">
        <f t="shared" ca="1" si="22"/>
        <v>1.17</v>
      </c>
      <c r="Y18" s="7">
        <f t="shared" ca="1" si="23"/>
        <v>1.05</v>
      </c>
      <c r="Z18" s="14">
        <f t="shared" ca="1" si="24"/>
        <v>109.5</v>
      </c>
      <c r="AA18" s="8">
        <f t="shared" ca="1" si="25"/>
        <v>0.24299999999999999</v>
      </c>
      <c r="AB18" s="8">
        <f t="shared" ca="1" si="26"/>
        <v>0.503</v>
      </c>
      <c r="AC18" s="11">
        <f t="shared" ca="1" si="27"/>
        <v>0.12217514124293791</v>
      </c>
      <c r="AD18" s="8">
        <f t="shared" ca="1" si="28"/>
        <v>0.4788135593220339</v>
      </c>
      <c r="AE18" s="8">
        <f t="shared" ca="1" si="29"/>
        <v>0.19350282485875711</v>
      </c>
      <c r="AF18" s="3">
        <f t="shared" ca="1" si="30"/>
        <v>14</v>
      </c>
      <c r="AG18" s="8">
        <f t="shared" ca="1" si="31"/>
        <v>0.80597014925373134</v>
      </c>
      <c r="AH18" s="8">
        <f t="shared" ca="1" si="32"/>
        <v>0.59701492537313428</v>
      </c>
      <c r="AI18" s="8">
        <f t="shared" ca="1" si="33"/>
        <v>0.46268656716417911</v>
      </c>
      <c r="AJ18" s="8">
        <f t="shared" ca="1" si="45"/>
        <v>0.31343283582089554</v>
      </c>
      <c r="AK18" s="8">
        <f t="shared" ca="1" si="46"/>
        <v>0.23880597014925373</v>
      </c>
      <c r="AL18" s="3">
        <f t="shared" ca="1" si="34"/>
        <v>45</v>
      </c>
      <c r="AM18" s="7">
        <f t="shared" ca="1" si="35"/>
        <v>1.1100000000000001</v>
      </c>
      <c r="AN18" s="3">
        <f t="shared" ca="1" si="36"/>
        <v>34</v>
      </c>
      <c r="AO18" s="7">
        <f t="shared" ca="1" si="37"/>
        <v>1.06</v>
      </c>
      <c r="AP18" s="3">
        <f t="shared" ca="1" si="38"/>
        <v>16</v>
      </c>
      <c r="AQ18" s="7">
        <f t="shared" ca="1" si="39"/>
        <v>1.1599999999999999</v>
      </c>
      <c r="AR18" s="3">
        <f t="shared" ca="1" si="40"/>
        <v>6</v>
      </c>
      <c r="AS18" s="7">
        <f t="shared" ca="1" si="41"/>
        <v>1.0900000000000001</v>
      </c>
      <c r="AT18" s="2">
        <f t="shared" ca="1" si="47"/>
        <v>6</v>
      </c>
      <c r="AU18" s="17">
        <f t="shared" ca="1" si="42"/>
        <v>1.0900000000000001</v>
      </c>
      <c r="AV18" s="3">
        <f t="shared" ca="1" si="43"/>
        <v>3</v>
      </c>
      <c r="AW18" s="7">
        <f t="shared" ca="1" si="44"/>
        <v>1.04</v>
      </c>
      <c r="AX18" s="3">
        <f t="shared" ca="1" si="48"/>
        <v>0</v>
      </c>
      <c r="AY18" s="7" t="str">
        <f t="shared" ca="1" si="49"/>
        <v>-</v>
      </c>
    </row>
    <row r="19" spans="1:51" ht="19.5" customHeight="1" x14ac:dyDescent="0.2">
      <c r="A19" s="2">
        <v>15</v>
      </c>
      <c r="B19" s="9" t="str">
        <f t="shared" ca="1" si="0"/>
        <v>910</v>
      </c>
      <c r="C19" s="4">
        <f t="shared" ca="1" si="1"/>
        <v>107</v>
      </c>
      <c r="D19" s="5">
        <f t="shared" ca="1" si="2"/>
        <v>1.1200000000000001</v>
      </c>
      <c r="E19" s="10">
        <f t="shared" ca="1" si="3"/>
        <v>262</v>
      </c>
      <c r="F19" s="5">
        <f t="shared" ca="1" si="4"/>
        <v>0.74</v>
      </c>
      <c r="G19" s="5">
        <f t="shared" ca="1" si="5"/>
        <v>0.63</v>
      </c>
      <c r="H19" s="6">
        <f t="shared" ca="1" si="6"/>
        <v>75.2</v>
      </c>
      <c r="I19" s="5">
        <f t="shared" ca="1" si="7"/>
        <v>1.66</v>
      </c>
      <c r="J19" s="21">
        <f t="shared" ca="1" si="8"/>
        <v>71.599999999999994</v>
      </c>
      <c r="K19" s="15">
        <f t="shared" ca="1" si="9"/>
        <v>0.67</v>
      </c>
      <c r="L19" s="13">
        <f t="shared" ca="1" si="10"/>
        <v>70.400000000000006</v>
      </c>
      <c r="M19" s="15">
        <f t="shared" ca="1" si="11"/>
        <v>1.08</v>
      </c>
      <c r="N19" s="13">
        <f t="shared" ca="1" si="12"/>
        <v>73.2</v>
      </c>
      <c r="O19" s="15">
        <f t="shared" ca="1" si="13"/>
        <v>0.7</v>
      </c>
      <c r="P19" s="3">
        <f t="shared" ca="1" si="14"/>
        <v>30</v>
      </c>
      <c r="Q19" s="7">
        <f t="shared" ca="1" si="15"/>
        <v>0.99</v>
      </c>
      <c r="R19" s="3">
        <f t="shared" ca="1" si="16"/>
        <v>54</v>
      </c>
      <c r="S19" s="7">
        <f t="shared" ca="1" si="17"/>
        <v>1.01</v>
      </c>
      <c r="T19" s="3">
        <f t="shared" ca="1" si="18"/>
        <v>89</v>
      </c>
      <c r="U19" s="7">
        <f t="shared" ca="1" si="19"/>
        <v>1.1000000000000001</v>
      </c>
      <c r="V19" s="7">
        <f t="shared" ca="1" si="20"/>
        <v>1.1200000000000001</v>
      </c>
      <c r="W19" s="7">
        <f t="shared" ca="1" si="21"/>
        <v>1.1200000000000001</v>
      </c>
      <c r="X19" s="7">
        <f t="shared" ca="1" si="22"/>
        <v>1.1000000000000001</v>
      </c>
      <c r="Y19" s="7">
        <f t="shared" ca="1" si="23"/>
        <v>1.04</v>
      </c>
      <c r="Z19" s="14">
        <f t="shared" ca="1" si="24"/>
        <v>101.4</v>
      </c>
      <c r="AA19" s="8">
        <f t="shared" ca="1" si="25"/>
        <v>0.187</v>
      </c>
      <c r="AB19" s="8">
        <f t="shared" ca="1" si="26"/>
        <v>0.63</v>
      </c>
      <c r="AC19" s="11">
        <f t="shared" ca="1" si="27"/>
        <v>0.11794654221467971</v>
      </c>
      <c r="AD19" s="8">
        <f t="shared" ca="1" si="28"/>
        <v>0.49427238014425118</v>
      </c>
      <c r="AE19" s="8">
        <f t="shared" ca="1" si="29"/>
        <v>0.1900721255833687</v>
      </c>
      <c r="AF19" s="3">
        <f t="shared" ca="1" si="30"/>
        <v>31</v>
      </c>
      <c r="AG19" s="8">
        <f t="shared" ca="1" si="31"/>
        <v>0.84112149532710279</v>
      </c>
      <c r="AH19" s="8">
        <f t="shared" ca="1" si="32"/>
        <v>0.67289719626168221</v>
      </c>
      <c r="AI19" s="8">
        <f t="shared" ca="1" si="33"/>
        <v>0.45794392523364486</v>
      </c>
      <c r="AJ19" s="8">
        <f t="shared" ca="1" si="45"/>
        <v>0.3644859813084112</v>
      </c>
      <c r="AK19" s="8">
        <f t="shared" ca="1" si="46"/>
        <v>0.21495327102803738</v>
      </c>
      <c r="AL19" s="3">
        <f t="shared" ca="1" si="34"/>
        <v>71</v>
      </c>
      <c r="AM19" s="7">
        <f t="shared" ca="1" si="35"/>
        <v>1.1000000000000001</v>
      </c>
      <c r="AN19" s="3">
        <f t="shared" ca="1" si="36"/>
        <v>55</v>
      </c>
      <c r="AO19" s="7">
        <f t="shared" ca="1" si="37"/>
        <v>1.0900000000000001</v>
      </c>
      <c r="AP19" s="3">
        <f t="shared" ca="1" si="38"/>
        <v>18</v>
      </c>
      <c r="AQ19" s="7">
        <f t="shared" ca="1" si="39"/>
        <v>1.08</v>
      </c>
      <c r="AR19" s="3">
        <f t="shared" ca="1" si="40"/>
        <v>14</v>
      </c>
      <c r="AS19" s="7">
        <f t="shared" ca="1" si="41"/>
        <v>1.05</v>
      </c>
      <c r="AT19" s="2">
        <f t="shared" ca="1" si="47"/>
        <v>14</v>
      </c>
      <c r="AU19" s="17">
        <f t="shared" ca="1" si="42"/>
        <v>1.05</v>
      </c>
      <c r="AV19" s="3">
        <f t="shared" ca="1" si="43"/>
        <v>9</v>
      </c>
      <c r="AW19" s="7">
        <f t="shared" ca="1" si="44"/>
        <v>1.07</v>
      </c>
      <c r="AX19" s="3">
        <f t="shared" ca="1" si="48"/>
        <v>0</v>
      </c>
      <c r="AY19" s="7" t="str">
        <f t="shared" ca="1" si="49"/>
        <v>-</v>
      </c>
    </row>
    <row r="20" spans="1:51" ht="19.5" customHeight="1" x14ac:dyDescent="0.2">
      <c r="A20" s="2">
        <v>16</v>
      </c>
      <c r="B20" s="9" t="str">
        <f t="shared" ca="1" si="0"/>
        <v>frozen</v>
      </c>
      <c r="C20" s="4">
        <f t="shared" ca="1" si="1"/>
        <v>79</v>
      </c>
      <c r="D20" s="5">
        <f t="shared" ca="1" si="2"/>
        <v>1.1200000000000001</v>
      </c>
      <c r="E20" s="10">
        <f t="shared" ca="1" si="3"/>
        <v>91</v>
      </c>
      <c r="F20" s="5">
        <f t="shared" ca="1" si="4"/>
        <v>0.71</v>
      </c>
      <c r="G20" s="5">
        <f t="shared" ca="1" si="5"/>
        <v>0.66</v>
      </c>
      <c r="H20" s="6">
        <f t="shared" ca="1" si="6"/>
        <v>77.900000000000006</v>
      </c>
      <c r="I20" s="5">
        <f t="shared" ca="1" si="7"/>
        <v>0.83</v>
      </c>
      <c r="J20" s="21">
        <f t="shared" ca="1" si="8"/>
        <v>73.7</v>
      </c>
      <c r="K20" s="15">
        <f t="shared" ca="1" si="9"/>
        <v>0.67</v>
      </c>
      <c r="L20" s="13">
        <f t="shared" ca="1" si="10"/>
        <v>71.2</v>
      </c>
      <c r="M20" s="15">
        <f t="shared" ca="1" si="11"/>
        <v>1.1299999999999999</v>
      </c>
      <c r="N20" s="13">
        <f t="shared" ca="1" si="12"/>
        <v>78.400000000000006</v>
      </c>
      <c r="O20" s="15">
        <f t="shared" ca="1" si="13"/>
        <v>0.73</v>
      </c>
      <c r="P20" s="3">
        <f t="shared" ca="1" si="14"/>
        <v>19</v>
      </c>
      <c r="Q20" s="7">
        <f t="shared" ca="1" si="15"/>
        <v>1.07</v>
      </c>
      <c r="R20" s="3">
        <f t="shared" ca="1" si="16"/>
        <v>29</v>
      </c>
      <c r="S20" s="7">
        <f t="shared" ca="1" si="17"/>
        <v>1.0900000000000001</v>
      </c>
      <c r="T20" s="3">
        <f t="shared" ca="1" si="18"/>
        <v>51</v>
      </c>
      <c r="U20" s="7">
        <f t="shared" ca="1" si="19"/>
        <v>1.0900000000000001</v>
      </c>
      <c r="V20" s="7">
        <f t="shared" ca="1" si="20"/>
        <v>1.18</v>
      </c>
      <c r="W20" s="7">
        <f t="shared" ca="1" si="21"/>
        <v>1.06</v>
      </c>
      <c r="X20" s="7">
        <f t="shared" ca="1" si="22"/>
        <v>1.21</v>
      </c>
      <c r="Y20" s="7">
        <f t="shared" ca="1" si="23"/>
        <v>1</v>
      </c>
      <c r="Z20" s="14">
        <f t="shared" ca="1" si="24"/>
        <v>102.8</v>
      </c>
      <c r="AA20" s="8">
        <f t="shared" ca="1" si="25"/>
        <v>0.17699999999999999</v>
      </c>
      <c r="AB20" s="8">
        <f t="shared" ca="1" si="26"/>
        <v>0.50700000000000001</v>
      </c>
      <c r="AC20" s="11">
        <f t="shared" ca="1" si="27"/>
        <v>8.9894242068155106E-2</v>
      </c>
      <c r="AD20" s="8">
        <f t="shared" ca="1" si="28"/>
        <v>0.48119858989424208</v>
      </c>
      <c r="AE20" s="8">
        <f t="shared" ca="1" si="29"/>
        <v>0.17391304347826089</v>
      </c>
      <c r="AF20" s="3">
        <f t="shared" ca="1" si="30"/>
        <v>23</v>
      </c>
      <c r="AG20" s="8">
        <f t="shared" ca="1" si="31"/>
        <v>0.759493670886076</v>
      </c>
      <c r="AH20" s="8">
        <f t="shared" ca="1" si="32"/>
        <v>0.620253164556962</v>
      </c>
      <c r="AI20" s="8">
        <f t="shared" ca="1" si="33"/>
        <v>0.44303797468354428</v>
      </c>
      <c r="AJ20" s="8">
        <f t="shared" ca="1" si="45"/>
        <v>0.29113924050632911</v>
      </c>
      <c r="AK20" s="8">
        <f t="shared" ca="1" si="46"/>
        <v>0.20253164556962025</v>
      </c>
      <c r="AL20" s="3">
        <f t="shared" ca="1" si="34"/>
        <v>50</v>
      </c>
      <c r="AM20" s="7">
        <f t="shared" ca="1" si="35"/>
        <v>1.07</v>
      </c>
      <c r="AN20" s="3">
        <f t="shared" ca="1" si="36"/>
        <v>28</v>
      </c>
      <c r="AO20" s="7">
        <f t="shared" ca="1" si="37"/>
        <v>1.04</v>
      </c>
      <c r="AP20" s="3">
        <f t="shared" ca="1" si="38"/>
        <v>7</v>
      </c>
      <c r="AQ20" s="7">
        <f t="shared" ca="1" si="39"/>
        <v>1.07</v>
      </c>
      <c r="AR20" s="3">
        <f t="shared" ca="1" si="40"/>
        <v>10</v>
      </c>
      <c r="AS20" s="7">
        <f t="shared" ca="1" si="41"/>
        <v>1</v>
      </c>
      <c r="AT20" s="2">
        <f t="shared" ca="1" si="47"/>
        <v>10</v>
      </c>
      <c r="AU20" s="17">
        <f t="shared" ca="1" si="42"/>
        <v>1</v>
      </c>
      <c r="AV20" s="3">
        <f t="shared" ca="1" si="43"/>
        <v>2</v>
      </c>
      <c r="AW20" s="7">
        <f t="shared" ca="1" si="44"/>
        <v>1.1200000000000001</v>
      </c>
      <c r="AX20" s="3">
        <f t="shared" ca="1" si="48"/>
        <v>0</v>
      </c>
      <c r="AY20" s="7" t="str">
        <f t="shared" ca="1" si="49"/>
        <v>-</v>
      </c>
    </row>
    <row r="21" spans="1:51" ht="19.899999999999999" customHeight="1" x14ac:dyDescent="0.2">
      <c r="A21" s="2">
        <v>17</v>
      </c>
      <c r="B21" s="9" t="str">
        <f t="shared" ca="1" si="0"/>
        <v>b1t</v>
      </c>
      <c r="C21" s="4">
        <f t="shared" ca="1" si="1"/>
        <v>126</v>
      </c>
      <c r="D21" s="5">
        <f t="shared" ca="1" si="2"/>
        <v>1.1200000000000001</v>
      </c>
      <c r="E21" s="10">
        <f t="shared" ca="1" si="3"/>
        <v>189</v>
      </c>
      <c r="F21" s="5">
        <f t="shared" ca="1" si="4"/>
        <v>0.7</v>
      </c>
      <c r="G21" s="5">
        <f t="shared" ca="1" si="5"/>
        <v>0.63</v>
      </c>
      <c r="H21" s="6">
        <f t="shared" ca="1" si="6"/>
        <v>76.3</v>
      </c>
      <c r="I21" s="5">
        <f t="shared" ca="1" si="7"/>
        <v>0.88</v>
      </c>
      <c r="J21" s="21">
        <f t="shared" ca="1" si="8"/>
        <v>75</v>
      </c>
      <c r="K21" s="15">
        <f t="shared" ca="1" si="9"/>
        <v>0.65</v>
      </c>
      <c r="L21" s="13">
        <f t="shared" ca="1" si="10"/>
        <v>72</v>
      </c>
      <c r="M21" s="15">
        <f t="shared" ca="1" si="11"/>
        <v>1.1000000000000001</v>
      </c>
      <c r="N21" s="13">
        <f t="shared" ca="1" si="12"/>
        <v>76</v>
      </c>
      <c r="O21" s="15">
        <f t="shared" ca="1" si="13"/>
        <v>0.71</v>
      </c>
      <c r="P21" s="3">
        <f t="shared" ca="1" si="14"/>
        <v>30</v>
      </c>
      <c r="Q21" s="7">
        <f t="shared" ca="1" si="15"/>
        <v>1.01</v>
      </c>
      <c r="R21" s="3">
        <f t="shared" ca="1" si="16"/>
        <v>64</v>
      </c>
      <c r="S21" s="7">
        <f t="shared" ca="1" si="17"/>
        <v>1.0900000000000001</v>
      </c>
      <c r="T21" s="3">
        <f t="shared" ca="1" si="18"/>
        <v>106</v>
      </c>
      <c r="U21" s="7">
        <f t="shared" ca="1" si="19"/>
        <v>1.1200000000000001</v>
      </c>
      <c r="V21" s="7">
        <f t="shared" ca="1" si="20"/>
        <v>1.1200000000000001</v>
      </c>
      <c r="W21" s="7">
        <f t="shared" ca="1" si="21"/>
        <v>1.1100000000000001</v>
      </c>
      <c r="X21" s="7">
        <f t="shared" ca="1" si="22"/>
        <v>1.33</v>
      </c>
      <c r="Y21" s="7">
        <f t="shared" ca="1" si="23"/>
        <v>0.92</v>
      </c>
      <c r="Z21" s="14">
        <f t="shared" ca="1" si="24"/>
        <v>94.5</v>
      </c>
      <c r="AA21" s="8">
        <f t="shared" ca="1" si="25"/>
        <v>0.16600000000000001</v>
      </c>
      <c r="AB21" s="8">
        <f t="shared" ca="1" si="26"/>
        <v>0.54299999999999993</v>
      </c>
      <c r="AC21" s="11">
        <f t="shared" ca="1" si="27"/>
        <v>8.9988751406074236E-2</v>
      </c>
      <c r="AD21" s="8">
        <f t="shared" ca="1" si="28"/>
        <v>0.48031496062992118</v>
      </c>
      <c r="AE21" s="8">
        <f t="shared" ca="1" si="29"/>
        <v>0.16835395575553061</v>
      </c>
      <c r="AF21" s="3">
        <f t="shared" ca="1" si="30"/>
        <v>38</v>
      </c>
      <c r="AG21" s="8">
        <f t="shared" ca="1" si="31"/>
        <v>0.81746031746031744</v>
      </c>
      <c r="AH21" s="8">
        <f t="shared" ca="1" si="32"/>
        <v>0.67460317460317465</v>
      </c>
      <c r="AI21" s="8">
        <f t="shared" ca="1" si="33"/>
        <v>0.53968253968253965</v>
      </c>
      <c r="AJ21" s="8">
        <f t="shared" ca="1" si="45"/>
        <v>0.31746031746031744</v>
      </c>
      <c r="AK21" s="8">
        <f t="shared" ca="1" si="46"/>
        <v>0.18253968253968253</v>
      </c>
      <c r="AL21" s="3">
        <f t="shared" ca="1" si="34"/>
        <v>110</v>
      </c>
      <c r="AM21" s="7">
        <f t="shared" ca="1" si="35"/>
        <v>1.1299999999999999</v>
      </c>
      <c r="AN21" s="3">
        <f t="shared" ca="1" si="36"/>
        <v>63</v>
      </c>
      <c r="AO21" s="7">
        <f t="shared" ca="1" si="37"/>
        <v>1.1000000000000001</v>
      </c>
      <c r="AP21" s="3">
        <f t="shared" ca="1" si="38"/>
        <v>21</v>
      </c>
      <c r="AQ21" s="7">
        <f t="shared" ca="1" si="39"/>
        <v>1.1499999999999999</v>
      </c>
      <c r="AR21" s="3">
        <f t="shared" ca="1" si="40"/>
        <v>35</v>
      </c>
      <c r="AS21" s="7">
        <f t="shared" ca="1" si="41"/>
        <v>1.1399999999999999</v>
      </c>
      <c r="AT21" s="2">
        <f t="shared" ca="1" si="47"/>
        <v>35</v>
      </c>
      <c r="AU21" s="17">
        <f t="shared" ca="1" si="42"/>
        <v>1.1399999999999999</v>
      </c>
      <c r="AV21" s="3">
        <f t="shared" ca="1" si="43"/>
        <v>11</v>
      </c>
      <c r="AW21" s="7">
        <f t="shared" ca="1" si="44"/>
        <v>1.06</v>
      </c>
      <c r="AX21" s="3">
        <f t="shared" ca="1" si="48"/>
        <v>13</v>
      </c>
      <c r="AY21" s="7">
        <f t="shared" ca="1" si="49"/>
        <v>1.1499999999999999</v>
      </c>
    </row>
    <row r="22" spans="1:51" ht="19.899999999999999" customHeight="1" x14ac:dyDescent="0.2">
      <c r="A22" s="2">
        <v>18</v>
      </c>
      <c r="B22" s="9" t="str">
        <f t="shared" ca="1" si="0"/>
        <v>ropz</v>
      </c>
      <c r="C22" s="4">
        <f t="shared" ca="1" si="1"/>
        <v>124</v>
      </c>
      <c r="D22" s="5">
        <f t="shared" ca="1" si="2"/>
        <v>1.1200000000000001</v>
      </c>
      <c r="E22" s="10">
        <f t="shared" ca="1" si="3"/>
        <v>341</v>
      </c>
      <c r="F22" s="5">
        <f t="shared" ca="1" si="4"/>
        <v>0.71</v>
      </c>
      <c r="G22" s="5">
        <f t="shared" ca="1" si="5"/>
        <v>0.57999999999999996</v>
      </c>
      <c r="H22" s="6">
        <f t="shared" ca="1" si="6"/>
        <v>74.3</v>
      </c>
      <c r="I22" s="5">
        <f t="shared" ca="1" si="7"/>
        <v>0.98</v>
      </c>
      <c r="J22" s="21">
        <f t="shared" ca="1" si="8"/>
        <v>76.2</v>
      </c>
      <c r="K22" s="15">
        <f t="shared" ca="1" si="9"/>
        <v>0.61</v>
      </c>
      <c r="L22" s="13">
        <f t="shared" ca="1" si="10"/>
        <v>71.7</v>
      </c>
      <c r="M22" s="15">
        <f t="shared" ca="1" si="11"/>
        <v>1.1000000000000001</v>
      </c>
      <c r="N22" s="13">
        <f t="shared" ca="1" si="12"/>
        <v>72.8</v>
      </c>
      <c r="O22" s="15">
        <f t="shared" ca="1" si="13"/>
        <v>0.71</v>
      </c>
      <c r="P22" s="3">
        <f t="shared" ca="1" si="14"/>
        <v>40</v>
      </c>
      <c r="Q22" s="7">
        <f t="shared" ca="1" si="15"/>
        <v>1.1399999999999999</v>
      </c>
      <c r="R22" s="3">
        <f t="shared" ca="1" si="16"/>
        <v>71</v>
      </c>
      <c r="S22" s="7">
        <f t="shared" ca="1" si="17"/>
        <v>1.1200000000000001</v>
      </c>
      <c r="T22" s="3">
        <f t="shared" ca="1" si="18"/>
        <v>99</v>
      </c>
      <c r="U22" s="7">
        <f t="shared" ca="1" si="19"/>
        <v>1.1100000000000001</v>
      </c>
      <c r="V22" s="7">
        <f t="shared" ca="1" si="20"/>
        <v>1.1499999999999999</v>
      </c>
      <c r="W22" s="7">
        <f t="shared" ca="1" si="21"/>
        <v>1.08</v>
      </c>
      <c r="X22" s="7">
        <f t="shared" ca="1" si="22"/>
        <v>0.96</v>
      </c>
      <c r="Y22" s="7">
        <f t="shared" ca="1" si="23"/>
        <v>0.92</v>
      </c>
      <c r="Z22" s="14">
        <f t="shared" ca="1" si="24"/>
        <v>92.2</v>
      </c>
      <c r="AA22" s="8">
        <f t="shared" ca="1" si="25"/>
        <v>0.16500000000000001</v>
      </c>
      <c r="AB22" s="8">
        <f t="shared" ca="1" si="26"/>
        <v>0.56999999999999995</v>
      </c>
      <c r="AC22" s="11">
        <f t="shared" ca="1" si="27"/>
        <v>9.4262295081967207E-2</v>
      </c>
      <c r="AD22" s="8">
        <f t="shared" ca="1" si="28"/>
        <v>0.47913561847988079</v>
      </c>
      <c r="AE22" s="8">
        <f t="shared" ca="1" si="29"/>
        <v>0.17585692995529059</v>
      </c>
      <c r="AF22" s="3">
        <f t="shared" ca="1" si="30"/>
        <v>41</v>
      </c>
      <c r="AG22" s="8">
        <f t="shared" ca="1" si="31"/>
        <v>0.83870967741935487</v>
      </c>
      <c r="AH22" s="8">
        <f t="shared" ca="1" si="32"/>
        <v>0.70967741935483875</v>
      </c>
      <c r="AI22" s="8">
        <f t="shared" ca="1" si="33"/>
        <v>0.55645161290322576</v>
      </c>
      <c r="AJ22" s="8">
        <f t="shared" ca="1" si="45"/>
        <v>0.31451612903225806</v>
      </c>
      <c r="AK22" s="8">
        <f t="shared" ca="1" si="46"/>
        <v>0.13709677419354838</v>
      </c>
      <c r="AL22" s="3">
        <f t="shared" ca="1" si="34"/>
        <v>120</v>
      </c>
      <c r="AM22" s="7">
        <f t="shared" ca="1" si="35"/>
        <v>1.1200000000000001</v>
      </c>
      <c r="AN22" s="3">
        <f t="shared" ca="1" si="36"/>
        <v>77</v>
      </c>
      <c r="AO22" s="7">
        <f t="shared" ca="1" si="37"/>
        <v>1.1100000000000001</v>
      </c>
      <c r="AP22" s="3">
        <f t="shared" ca="1" si="38"/>
        <v>26</v>
      </c>
      <c r="AQ22" s="7">
        <f t="shared" ca="1" si="39"/>
        <v>1.1000000000000001</v>
      </c>
      <c r="AR22" s="3">
        <f t="shared" ca="1" si="40"/>
        <v>51</v>
      </c>
      <c r="AS22" s="7">
        <f t="shared" ca="1" si="41"/>
        <v>1.1599999999999999</v>
      </c>
      <c r="AT22" s="2">
        <f t="shared" ca="1" si="47"/>
        <v>46</v>
      </c>
      <c r="AU22" s="17">
        <f t="shared" ca="1" si="42"/>
        <v>1.18</v>
      </c>
      <c r="AV22" s="3">
        <f t="shared" ca="1" si="43"/>
        <v>31</v>
      </c>
      <c r="AW22" s="7">
        <f t="shared" ca="1" si="44"/>
        <v>1.1499999999999999</v>
      </c>
      <c r="AX22" s="3">
        <f t="shared" ca="1" si="48"/>
        <v>16</v>
      </c>
      <c r="AY22" s="7">
        <f t="shared" ca="1" si="49"/>
        <v>1.27</v>
      </c>
    </row>
    <row r="23" spans="1:51" ht="19.899999999999999" customHeight="1" x14ac:dyDescent="0.2">
      <c r="A23" s="2">
        <v>19</v>
      </c>
      <c r="B23" s="9" t="str">
        <f t="shared" ca="1" si="0"/>
        <v>NiKo</v>
      </c>
      <c r="C23" s="4">
        <f t="shared" ca="1" si="1"/>
        <v>127</v>
      </c>
      <c r="D23" s="5">
        <f t="shared" ca="1" si="2"/>
        <v>1.1100000000000001</v>
      </c>
      <c r="E23" s="10">
        <f t="shared" ca="1" si="3"/>
        <v>166</v>
      </c>
      <c r="F23" s="5">
        <f t="shared" ca="1" si="4"/>
        <v>0.69</v>
      </c>
      <c r="G23" s="5">
        <f t="shared" ca="1" si="5"/>
        <v>0.63</v>
      </c>
      <c r="H23" s="6">
        <f t="shared" ca="1" si="6"/>
        <v>75.7</v>
      </c>
      <c r="I23" s="5">
        <f t="shared" ca="1" si="7"/>
        <v>0.92</v>
      </c>
      <c r="J23" s="21">
        <f t="shared" ca="1" si="8"/>
        <v>73.599999999999994</v>
      </c>
      <c r="K23" s="15">
        <f t="shared" ca="1" si="9"/>
        <v>0.65</v>
      </c>
      <c r="L23" s="13">
        <f t="shared" ca="1" si="10"/>
        <v>71.400000000000006</v>
      </c>
      <c r="M23" s="15">
        <f t="shared" ca="1" si="11"/>
        <v>1.1299999999999999</v>
      </c>
      <c r="N23" s="13">
        <f t="shared" ca="1" si="12"/>
        <v>75.5</v>
      </c>
      <c r="O23" s="15">
        <f t="shared" ca="1" si="13"/>
        <v>0.7</v>
      </c>
      <c r="P23" s="3">
        <f t="shared" ca="1" si="14"/>
        <v>39</v>
      </c>
      <c r="Q23" s="7">
        <f t="shared" ca="1" si="15"/>
        <v>1.03</v>
      </c>
      <c r="R23" s="3">
        <f t="shared" ca="1" si="16"/>
        <v>65</v>
      </c>
      <c r="S23" s="7">
        <f t="shared" ca="1" si="17"/>
        <v>1.07</v>
      </c>
      <c r="T23" s="3">
        <f t="shared" ca="1" si="18"/>
        <v>101</v>
      </c>
      <c r="U23" s="7">
        <f t="shared" ca="1" si="19"/>
        <v>1.1000000000000001</v>
      </c>
      <c r="V23" s="7">
        <f t="shared" ca="1" si="20"/>
        <v>1.1299999999999999</v>
      </c>
      <c r="W23" s="7">
        <f t="shared" ca="1" si="21"/>
        <v>1.1000000000000001</v>
      </c>
      <c r="X23" s="7">
        <f t="shared" ca="1" si="22"/>
        <v>1.06</v>
      </c>
      <c r="Y23" s="7">
        <f t="shared" ca="1" si="23"/>
        <v>0.93</v>
      </c>
      <c r="Z23" s="14">
        <f t="shared" ca="1" si="24"/>
        <v>95.8</v>
      </c>
      <c r="AA23" s="8">
        <f t="shared" ca="1" si="25"/>
        <v>0.183</v>
      </c>
      <c r="AB23" s="8">
        <f t="shared" ca="1" si="26"/>
        <v>0.54100000000000004</v>
      </c>
      <c r="AC23" s="11">
        <f t="shared" ca="1" si="27"/>
        <v>9.8943661971830979E-2</v>
      </c>
      <c r="AD23" s="8">
        <f t="shared" ca="1" si="28"/>
        <v>0.47605633802816899</v>
      </c>
      <c r="AE23" s="8">
        <f t="shared" ca="1" si="29"/>
        <v>0.16584507042253521</v>
      </c>
      <c r="AF23" s="3">
        <f t="shared" ca="1" si="30"/>
        <v>40</v>
      </c>
      <c r="AG23" s="8">
        <f t="shared" ca="1" si="31"/>
        <v>0.82677165354330706</v>
      </c>
      <c r="AH23" s="8">
        <f t="shared" ca="1" si="32"/>
        <v>0.65354330708661412</v>
      </c>
      <c r="AI23" s="8">
        <f t="shared" ca="1" si="33"/>
        <v>0.46456692913385828</v>
      </c>
      <c r="AJ23" s="8">
        <f t="shared" ca="1" si="45"/>
        <v>0.31496062992125984</v>
      </c>
      <c r="AK23" s="8">
        <f t="shared" ca="1" si="46"/>
        <v>0.17322834645669291</v>
      </c>
      <c r="AL23" s="3">
        <f t="shared" ca="1" si="34"/>
        <v>111</v>
      </c>
      <c r="AM23" s="7">
        <f t="shared" ca="1" si="35"/>
        <v>1.1200000000000001</v>
      </c>
      <c r="AN23" s="3">
        <f t="shared" ca="1" si="36"/>
        <v>74</v>
      </c>
      <c r="AO23" s="7">
        <f t="shared" ca="1" si="37"/>
        <v>1.1200000000000001</v>
      </c>
      <c r="AP23" s="3">
        <f t="shared" ca="1" si="38"/>
        <v>30</v>
      </c>
      <c r="AQ23" s="7">
        <f t="shared" ca="1" si="39"/>
        <v>1.19</v>
      </c>
      <c r="AR23" s="3">
        <f t="shared" ca="1" si="40"/>
        <v>40</v>
      </c>
      <c r="AS23" s="7">
        <f t="shared" ca="1" si="41"/>
        <v>1.0900000000000001</v>
      </c>
      <c r="AT23" s="2">
        <f t="shared" ca="1" si="47"/>
        <v>32</v>
      </c>
      <c r="AU23" s="17">
        <f t="shared" ca="1" si="42"/>
        <v>1.07</v>
      </c>
      <c r="AV23" s="3">
        <f t="shared" ca="1" si="43"/>
        <v>22</v>
      </c>
      <c r="AW23" s="7">
        <f t="shared" ca="1" si="44"/>
        <v>1.1200000000000001</v>
      </c>
      <c r="AX23" s="3">
        <f t="shared" ca="1" si="48"/>
        <v>9</v>
      </c>
      <c r="AY23" s="7">
        <f t="shared" ca="1" si="49"/>
        <v>1.07</v>
      </c>
    </row>
    <row r="24" spans="1:51" ht="19.5" customHeight="1" x14ac:dyDescent="0.2">
      <c r="A24" s="2">
        <v>20</v>
      </c>
      <c r="B24" s="9" t="str">
        <f t="shared" ca="1" si="0"/>
        <v>dumau</v>
      </c>
      <c r="C24" s="4">
        <f t="shared" ca="1" si="1"/>
        <v>104</v>
      </c>
      <c r="D24" s="5">
        <f t="shared" ca="1" si="2"/>
        <v>1.1100000000000001</v>
      </c>
      <c r="E24" s="10">
        <f t="shared" ca="1" si="3"/>
        <v>147</v>
      </c>
      <c r="F24" s="5">
        <f t="shared" ca="1" si="4"/>
        <v>0.73</v>
      </c>
      <c r="G24" s="5">
        <f t="shared" ca="1" si="5"/>
        <v>0.67</v>
      </c>
      <c r="H24" s="6">
        <f t="shared" ca="1" si="6"/>
        <v>81.8</v>
      </c>
      <c r="I24" s="5">
        <f t="shared" ca="1" si="7"/>
        <v>0.6</v>
      </c>
      <c r="J24" s="21">
        <f t="shared" ca="1" si="8"/>
        <v>73.900000000000006</v>
      </c>
      <c r="K24" s="15">
        <f t="shared" ca="1" si="9"/>
        <v>0.7</v>
      </c>
      <c r="L24" s="13">
        <f t="shared" ca="1" si="10"/>
        <v>70.400000000000006</v>
      </c>
      <c r="M24" s="15">
        <f t="shared" ca="1" si="11"/>
        <v>1.1499999999999999</v>
      </c>
      <c r="N24" s="13">
        <f t="shared" ca="1" si="12"/>
        <v>80.7</v>
      </c>
      <c r="O24" s="15">
        <f t="shared" ca="1" si="13"/>
        <v>0.73</v>
      </c>
      <c r="P24" s="3">
        <f t="shared" ca="1" si="14"/>
        <v>29</v>
      </c>
      <c r="Q24" s="7">
        <f t="shared" ca="1" si="15"/>
        <v>1.03</v>
      </c>
      <c r="R24" s="3">
        <f t="shared" ca="1" si="16"/>
        <v>57</v>
      </c>
      <c r="S24" s="7">
        <f t="shared" ca="1" si="17"/>
        <v>1.0900000000000001</v>
      </c>
      <c r="T24" s="3">
        <f t="shared" ca="1" si="18"/>
        <v>67</v>
      </c>
      <c r="U24" s="7">
        <f t="shared" ca="1" si="19"/>
        <v>1.08</v>
      </c>
      <c r="V24" s="7">
        <f t="shared" ca="1" si="20"/>
        <v>1.1100000000000001</v>
      </c>
      <c r="W24" s="7">
        <f t="shared" ca="1" si="21"/>
        <v>1.1200000000000001</v>
      </c>
      <c r="X24" s="7">
        <f t="shared" ca="1" si="22"/>
        <v>1</v>
      </c>
      <c r="Y24" s="7">
        <f t="shared" ca="1" si="23"/>
        <v>1.03</v>
      </c>
      <c r="Z24" s="14">
        <f t="shared" ca="1" si="24"/>
        <v>105.9</v>
      </c>
      <c r="AA24" s="8">
        <f t="shared" ca="1" si="25"/>
        <v>0.255</v>
      </c>
      <c r="AB24" s="8">
        <f t="shared" ca="1" si="26"/>
        <v>0.52800000000000002</v>
      </c>
      <c r="AC24" s="11">
        <f t="shared" ca="1" si="27"/>
        <v>0.13480176211453751</v>
      </c>
      <c r="AD24" s="8">
        <f t="shared" ca="1" si="28"/>
        <v>0.49074889867841409</v>
      </c>
      <c r="AE24" s="8">
        <f t="shared" ca="1" si="29"/>
        <v>0.18193832599118939</v>
      </c>
      <c r="AF24" s="3">
        <f t="shared" ca="1" si="30"/>
        <v>15</v>
      </c>
      <c r="AG24" s="8">
        <f t="shared" ca="1" si="31"/>
        <v>0.82692307692307687</v>
      </c>
      <c r="AH24" s="8">
        <f t="shared" ca="1" si="32"/>
        <v>0.64423076923076927</v>
      </c>
      <c r="AI24" s="8">
        <f t="shared" ca="1" si="33"/>
        <v>0.45192307692307693</v>
      </c>
      <c r="AJ24" s="8">
        <f t="shared" ca="1" si="45"/>
        <v>0.30769230769230771</v>
      </c>
      <c r="AK24" s="8">
        <f t="shared" ca="1" si="46"/>
        <v>0.11538461538461539</v>
      </c>
      <c r="AL24" s="3">
        <f t="shared" ca="1" si="34"/>
        <v>54</v>
      </c>
      <c r="AM24" s="7">
        <f t="shared" ca="1" si="35"/>
        <v>1.1100000000000001</v>
      </c>
      <c r="AN24" s="3">
        <f t="shared" ca="1" si="36"/>
        <v>30</v>
      </c>
      <c r="AO24" s="7">
        <f t="shared" ca="1" si="37"/>
        <v>1.1000000000000001</v>
      </c>
      <c r="AP24" s="3">
        <f t="shared" ca="1" si="38"/>
        <v>8</v>
      </c>
      <c r="AQ24" s="7">
        <f t="shared" ca="1" si="39"/>
        <v>1.05</v>
      </c>
      <c r="AR24" s="3">
        <f t="shared" ca="1" si="40"/>
        <v>12</v>
      </c>
      <c r="AS24" s="7">
        <f t="shared" ca="1" si="41"/>
        <v>1.05</v>
      </c>
      <c r="AT24" s="2">
        <f t="shared" ca="1" si="47"/>
        <v>12</v>
      </c>
      <c r="AU24" s="17">
        <f t="shared" ca="1" si="42"/>
        <v>1.05</v>
      </c>
      <c r="AV24" s="3">
        <f t="shared" ca="1" si="43"/>
        <v>6</v>
      </c>
      <c r="AW24" s="7">
        <f t="shared" ca="1" si="44"/>
        <v>1.01</v>
      </c>
      <c r="AX24" s="3">
        <f t="shared" ca="1" si="48"/>
        <v>0</v>
      </c>
      <c r="AY24" s="7" t="str">
        <f t="shared" ca="1" si="49"/>
        <v>-</v>
      </c>
    </row>
    <row r="25" spans="1:51" ht="19.5" customHeight="1" x14ac:dyDescent="0.2">
      <c r="A25" s="2">
        <v>21</v>
      </c>
      <c r="B25" s="9" t="str">
        <f t="shared" ca="1" si="0"/>
        <v>Wicadia</v>
      </c>
      <c r="C25" s="4">
        <f t="shared" ca="1" si="1"/>
        <v>118</v>
      </c>
      <c r="D25" s="5">
        <f t="shared" ca="1" si="2"/>
        <v>1.1100000000000001</v>
      </c>
      <c r="E25" s="10">
        <f t="shared" ca="1" si="3"/>
        <v>205</v>
      </c>
      <c r="F25" s="5">
        <f t="shared" ca="1" si="4"/>
        <v>0.76</v>
      </c>
      <c r="G25" s="5">
        <f t="shared" ca="1" si="5"/>
        <v>0.68</v>
      </c>
      <c r="H25" s="6">
        <f t="shared" ca="1" si="6"/>
        <v>80.2</v>
      </c>
      <c r="I25" s="5">
        <f t="shared" ca="1" si="7"/>
        <v>0.52</v>
      </c>
      <c r="J25" s="21">
        <f t="shared" ca="1" si="8"/>
        <v>71.2</v>
      </c>
      <c r="K25" s="15">
        <f t="shared" ca="1" si="9"/>
        <v>0.71</v>
      </c>
      <c r="L25" s="13">
        <f t="shared" ca="1" si="10"/>
        <v>67.8</v>
      </c>
      <c r="M25" s="15">
        <f t="shared" ca="1" si="11"/>
        <v>1.24</v>
      </c>
      <c r="N25" s="13">
        <f t="shared" ca="1" si="12"/>
        <v>79.400000000000006</v>
      </c>
      <c r="O25" s="15">
        <f t="shared" ca="1" si="13"/>
        <v>0.76</v>
      </c>
      <c r="P25" s="3">
        <f t="shared" ca="1" si="14"/>
        <v>26</v>
      </c>
      <c r="Q25" s="7">
        <f t="shared" ca="1" si="15"/>
        <v>1.03</v>
      </c>
      <c r="R25" s="3">
        <f t="shared" ca="1" si="16"/>
        <v>55</v>
      </c>
      <c r="S25" s="7">
        <f t="shared" ca="1" si="17"/>
        <v>1</v>
      </c>
      <c r="T25" s="3">
        <f t="shared" ca="1" si="18"/>
        <v>88</v>
      </c>
      <c r="U25" s="7">
        <f t="shared" ca="1" si="19"/>
        <v>1.08</v>
      </c>
      <c r="V25" s="7">
        <f t="shared" ca="1" si="20"/>
        <v>1.0900000000000001</v>
      </c>
      <c r="W25" s="7">
        <f t="shared" ca="1" si="21"/>
        <v>1.1299999999999999</v>
      </c>
      <c r="X25" s="7">
        <f t="shared" ca="1" si="22"/>
        <v>1.21</v>
      </c>
      <c r="Y25" s="7">
        <f t="shared" ca="1" si="23"/>
        <v>1.05</v>
      </c>
      <c r="Z25" s="14">
        <f t="shared" ca="1" si="24"/>
        <v>106.4</v>
      </c>
      <c r="AA25" s="8">
        <f t="shared" ca="1" si="25"/>
        <v>0.20799999999999999</v>
      </c>
      <c r="AB25" s="8">
        <f t="shared" ca="1" si="26"/>
        <v>0.502</v>
      </c>
      <c r="AC25" s="11">
        <f t="shared" ca="1" si="27"/>
        <v>0.10430399379604501</v>
      </c>
      <c r="AD25" s="8">
        <f t="shared" ca="1" si="28"/>
        <v>0.49205118262892589</v>
      </c>
      <c r="AE25" s="8">
        <f t="shared" ca="1" si="29"/>
        <v>0.19581233036060491</v>
      </c>
      <c r="AF25" s="3">
        <f t="shared" ca="1" si="30"/>
        <v>45</v>
      </c>
      <c r="AG25" s="8">
        <f t="shared" ca="1" si="31"/>
        <v>0.81355932203389836</v>
      </c>
      <c r="AH25" s="8">
        <f t="shared" ca="1" si="32"/>
        <v>0.66101694915254239</v>
      </c>
      <c r="AI25" s="8">
        <f t="shared" ca="1" si="33"/>
        <v>0.50847457627118642</v>
      </c>
      <c r="AJ25" s="8">
        <f t="shared" ca="1" si="45"/>
        <v>0.34745762711864409</v>
      </c>
      <c r="AK25" s="8">
        <f t="shared" ca="1" si="46"/>
        <v>0.16949152542372881</v>
      </c>
      <c r="AL25" s="3">
        <f t="shared" ca="1" si="34"/>
        <v>103</v>
      </c>
      <c r="AM25" s="7">
        <f t="shared" ca="1" si="35"/>
        <v>1.1000000000000001</v>
      </c>
      <c r="AN25" s="3">
        <f t="shared" ca="1" si="36"/>
        <v>65</v>
      </c>
      <c r="AO25" s="7">
        <f t="shared" ca="1" si="37"/>
        <v>1.07</v>
      </c>
      <c r="AP25" s="3">
        <f t="shared" ca="1" si="38"/>
        <v>22</v>
      </c>
      <c r="AQ25" s="7">
        <f t="shared" ca="1" si="39"/>
        <v>1.0900000000000001</v>
      </c>
      <c r="AR25" s="3">
        <f t="shared" ca="1" si="40"/>
        <v>27</v>
      </c>
      <c r="AS25" s="7">
        <f t="shared" ca="1" si="41"/>
        <v>1.1000000000000001</v>
      </c>
      <c r="AT25" s="2">
        <f t="shared" ca="1" si="47"/>
        <v>27</v>
      </c>
      <c r="AU25" s="17">
        <f t="shared" ca="1" si="42"/>
        <v>1.1000000000000001</v>
      </c>
      <c r="AV25" s="3">
        <f t="shared" ca="1" si="43"/>
        <v>15</v>
      </c>
      <c r="AW25" s="7">
        <f t="shared" ca="1" si="44"/>
        <v>1.07</v>
      </c>
      <c r="AX25" s="3">
        <f t="shared" ca="1" si="48"/>
        <v>4</v>
      </c>
      <c r="AY25" s="7">
        <f t="shared" ca="1" si="49"/>
        <v>0.87</v>
      </c>
    </row>
    <row r="26" spans="1:51" ht="19.5" customHeight="1" x14ac:dyDescent="0.2">
      <c r="A26" s="2">
        <v>22</v>
      </c>
      <c r="B26" s="9" t="str">
        <f t="shared" ca="1" si="0"/>
        <v>XANTARES</v>
      </c>
      <c r="C26" s="4">
        <f t="shared" ca="1" si="1"/>
        <v>118</v>
      </c>
      <c r="D26" s="5">
        <f t="shared" ca="1" si="2"/>
        <v>1.1000000000000001</v>
      </c>
      <c r="E26" s="10">
        <f t="shared" ca="1" si="3"/>
        <v>159</v>
      </c>
      <c r="F26" s="5">
        <f t="shared" ca="1" si="4"/>
        <v>0.73</v>
      </c>
      <c r="G26" s="5">
        <f t="shared" ca="1" si="5"/>
        <v>0.67</v>
      </c>
      <c r="H26" s="6">
        <f t="shared" ca="1" si="6"/>
        <v>81.7</v>
      </c>
      <c r="I26" s="5">
        <f t="shared" ca="1" si="7"/>
        <v>0.65</v>
      </c>
      <c r="J26" s="21">
        <f t="shared" ca="1" si="8"/>
        <v>73.900000000000006</v>
      </c>
      <c r="K26" s="15">
        <f t="shared" ca="1" si="9"/>
        <v>0.71</v>
      </c>
      <c r="L26" s="13">
        <f t="shared" ca="1" si="10"/>
        <v>69.400000000000006</v>
      </c>
      <c r="M26" s="15">
        <f t="shared" ca="1" si="11"/>
        <v>1.1299999999999999</v>
      </c>
      <c r="N26" s="13">
        <f t="shared" ca="1" si="12"/>
        <v>79.5</v>
      </c>
      <c r="O26" s="15">
        <f t="shared" ca="1" si="13"/>
        <v>0.72</v>
      </c>
      <c r="P26" s="3">
        <f t="shared" ca="1" si="14"/>
        <v>26</v>
      </c>
      <c r="Q26" s="7">
        <f t="shared" ca="1" si="15"/>
        <v>0.98</v>
      </c>
      <c r="R26" s="3">
        <f t="shared" ca="1" si="16"/>
        <v>55</v>
      </c>
      <c r="S26" s="7">
        <f t="shared" ca="1" si="17"/>
        <v>0.99</v>
      </c>
      <c r="T26" s="3">
        <f t="shared" ca="1" si="18"/>
        <v>88</v>
      </c>
      <c r="U26" s="7">
        <f t="shared" ca="1" si="19"/>
        <v>1.08</v>
      </c>
      <c r="V26" s="7">
        <f t="shared" ca="1" si="20"/>
        <v>1.05</v>
      </c>
      <c r="W26" s="7">
        <f t="shared" ca="1" si="21"/>
        <v>1.1599999999999999</v>
      </c>
      <c r="X26" s="7">
        <f t="shared" ca="1" si="22"/>
        <v>1.25</v>
      </c>
      <c r="Y26" s="7">
        <f t="shared" ca="1" si="23"/>
        <v>1.01</v>
      </c>
      <c r="Z26" s="14">
        <f t="shared" ca="1" si="24"/>
        <v>107.9</v>
      </c>
      <c r="AA26" s="8">
        <f t="shared" ca="1" si="25"/>
        <v>0.27600000000000002</v>
      </c>
      <c r="AB26" s="8">
        <f t="shared" ca="1" si="26"/>
        <v>0.55700000000000005</v>
      </c>
      <c r="AC26" s="11">
        <f t="shared" ca="1" si="27"/>
        <v>0.15393563396665369</v>
      </c>
      <c r="AD26" s="8">
        <f t="shared" ca="1" si="28"/>
        <v>0.49166343544009311</v>
      </c>
      <c r="AE26" s="8">
        <f t="shared" ca="1" si="29"/>
        <v>0.17603722373012801</v>
      </c>
      <c r="AF26" s="3">
        <f t="shared" ca="1" si="30"/>
        <v>26</v>
      </c>
      <c r="AG26" s="8">
        <f t="shared" ca="1" si="31"/>
        <v>0.78813559322033899</v>
      </c>
      <c r="AH26" s="8">
        <f t="shared" ca="1" si="32"/>
        <v>0.6271186440677966</v>
      </c>
      <c r="AI26" s="8">
        <f t="shared" ca="1" si="33"/>
        <v>0.42372881355932202</v>
      </c>
      <c r="AJ26" s="8">
        <f t="shared" ca="1" si="45"/>
        <v>0.33050847457627119</v>
      </c>
      <c r="AK26" s="8">
        <f t="shared" ca="1" si="46"/>
        <v>0.21186440677966101</v>
      </c>
      <c r="AL26" s="3">
        <f t="shared" ca="1" si="34"/>
        <v>103</v>
      </c>
      <c r="AM26" s="7">
        <f t="shared" ca="1" si="35"/>
        <v>1.08</v>
      </c>
      <c r="AN26" s="3">
        <f t="shared" ca="1" si="36"/>
        <v>65</v>
      </c>
      <c r="AO26" s="7">
        <f t="shared" ca="1" si="37"/>
        <v>1.08</v>
      </c>
      <c r="AP26" s="3">
        <f t="shared" ca="1" si="38"/>
        <v>22</v>
      </c>
      <c r="AQ26" s="7">
        <f t="shared" ca="1" si="39"/>
        <v>1.04</v>
      </c>
      <c r="AR26" s="3">
        <f t="shared" ca="1" si="40"/>
        <v>27</v>
      </c>
      <c r="AS26" s="7">
        <f t="shared" ca="1" si="41"/>
        <v>0.96</v>
      </c>
      <c r="AT26" s="2">
        <f t="shared" ca="1" si="47"/>
        <v>27</v>
      </c>
      <c r="AU26" s="17">
        <f t="shared" ca="1" si="42"/>
        <v>0.96</v>
      </c>
      <c r="AV26" s="3">
        <f t="shared" ca="1" si="43"/>
        <v>15</v>
      </c>
      <c r="AW26" s="7">
        <f t="shared" ca="1" si="44"/>
        <v>1.02</v>
      </c>
      <c r="AX26" s="3">
        <f t="shared" ca="1" si="48"/>
        <v>4</v>
      </c>
      <c r="AY26" s="7">
        <f t="shared" ca="1" si="49"/>
        <v>0.76</v>
      </c>
    </row>
    <row r="27" spans="1:51" ht="19.899999999999999" customHeight="1" x14ac:dyDescent="0.2">
      <c r="A27" s="2">
        <v>23</v>
      </c>
      <c r="B27" s="9" t="str">
        <f t="shared" ca="1" si="0"/>
        <v>Spinx</v>
      </c>
      <c r="C27" s="4">
        <f t="shared" ca="1" si="1"/>
        <v>129</v>
      </c>
      <c r="D27" s="5">
        <f t="shared" ca="1" si="2"/>
        <v>1.1000000000000001</v>
      </c>
      <c r="E27" s="10">
        <f t="shared" ca="1" si="3"/>
        <v>204</v>
      </c>
      <c r="F27" s="5">
        <f t="shared" ca="1" si="4"/>
        <v>0.7</v>
      </c>
      <c r="G27" s="5">
        <f t="shared" ca="1" si="5"/>
        <v>0.62</v>
      </c>
      <c r="H27" s="6">
        <f t="shared" ca="1" si="6"/>
        <v>76.099999999999994</v>
      </c>
      <c r="I27" s="5">
        <f t="shared" ca="1" si="7"/>
        <v>0.78</v>
      </c>
      <c r="J27" s="21">
        <f t="shared" ca="1" si="8"/>
        <v>74.7</v>
      </c>
      <c r="K27" s="15">
        <f t="shared" ca="1" si="9"/>
        <v>0.65</v>
      </c>
      <c r="L27" s="13">
        <f t="shared" ca="1" si="10"/>
        <v>70.099999999999994</v>
      </c>
      <c r="M27" s="15">
        <f t="shared" ca="1" si="11"/>
        <v>1.07</v>
      </c>
      <c r="N27" s="13">
        <f t="shared" ca="1" si="12"/>
        <v>75</v>
      </c>
      <c r="O27" s="15">
        <f t="shared" ca="1" si="13"/>
        <v>0.7</v>
      </c>
      <c r="P27" s="3">
        <f t="shared" ca="1" si="14"/>
        <v>28</v>
      </c>
      <c r="Q27" s="7">
        <f t="shared" ca="1" si="15"/>
        <v>0.96</v>
      </c>
      <c r="R27" s="3">
        <f t="shared" ca="1" si="16"/>
        <v>60</v>
      </c>
      <c r="S27" s="7">
        <f t="shared" ca="1" si="17"/>
        <v>1.07</v>
      </c>
      <c r="T27" s="3">
        <f t="shared" ca="1" si="18"/>
        <v>101</v>
      </c>
      <c r="U27" s="7">
        <f t="shared" ca="1" si="19"/>
        <v>1.1000000000000001</v>
      </c>
      <c r="V27" s="7">
        <f t="shared" ca="1" si="20"/>
        <v>1.1399999999999999</v>
      </c>
      <c r="W27" s="7">
        <f t="shared" ca="1" si="21"/>
        <v>1.06</v>
      </c>
      <c r="X27" s="7">
        <f t="shared" ca="1" si="22"/>
        <v>1.0900000000000001</v>
      </c>
      <c r="Y27" s="7">
        <f t="shared" ca="1" si="23"/>
        <v>0.98</v>
      </c>
      <c r="Z27" s="14">
        <f t="shared" ca="1" si="24"/>
        <v>99.4</v>
      </c>
      <c r="AA27" s="8">
        <f t="shared" ca="1" si="25"/>
        <v>0.19</v>
      </c>
      <c r="AB27" s="8">
        <f t="shared" ca="1" si="26"/>
        <v>0.56700000000000006</v>
      </c>
      <c r="AC27" s="11">
        <f t="shared" ca="1" si="27"/>
        <v>0.10787172011661809</v>
      </c>
      <c r="AD27" s="8">
        <f t="shared" ca="1" si="28"/>
        <v>0.47704081632653061</v>
      </c>
      <c r="AE27" s="8">
        <f t="shared" ca="1" si="29"/>
        <v>0.1723760932944606</v>
      </c>
      <c r="AF27" s="3">
        <f t="shared" ca="1" si="30"/>
        <v>28</v>
      </c>
      <c r="AG27" s="8">
        <f t="shared" ca="1" si="31"/>
        <v>0.76744186046511631</v>
      </c>
      <c r="AH27" s="8">
        <f t="shared" ca="1" si="32"/>
        <v>0.65116279069767447</v>
      </c>
      <c r="AI27" s="8">
        <f t="shared" ca="1" si="33"/>
        <v>0.49612403100775193</v>
      </c>
      <c r="AJ27" s="8">
        <f t="shared" ca="1" si="45"/>
        <v>0.34108527131782945</v>
      </c>
      <c r="AK27" s="8">
        <f t="shared" ca="1" si="46"/>
        <v>0.19379844961240311</v>
      </c>
      <c r="AL27" s="3">
        <f t="shared" ca="1" si="34"/>
        <v>105</v>
      </c>
      <c r="AM27" s="7">
        <f t="shared" ca="1" si="35"/>
        <v>1.08</v>
      </c>
      <c r="AN27" s="3">
        <f t="shared" ca="1" si="36"/>
        <v>66</v>
      </c>
      <c r="AO27" s="7">
        <f t="shared" ca="1" si="37"/>
        <v>1.0900000000000001</v>
      </c>
      <c r="AP27" s="3">
        <f t="shared" ca="1" si="38"/>
        <v>25</v>
      </c>
      <c r="AQ27" s="7">
        <f t="shared" ca="1" si="39"/>
        <v>1.07</v>
      </c>
      <c r="AR27" s="3">
        <f t="shared" ca="1" si="40"/>
        <v>35</v>
      </c>
      <c r="AS27" s="7">
        <f t="shared" ca="1" si="41"/>
        <v>1.1000000000000001</v>
      </c>
      <c r="AT27" s="2">
        <f t="shared" ca="1" si="47"/>
        <v>35</v>
      </c>
      <c r="AU27" s="17">
        <f t="shared" ca="1" si="42"/>
        <v>1.1000000000000001</v>
      </c>
      <c r="AV27" s="3">
        <f t="shared" ca="1" si="43"/>
        <v>16</v>
      </c>
      <c r="AW27" s="7">
        <f t="shared" ca="1" si="44"/>
        <v>1.1100000000000001</v>
      </c>
      <c r="AX27" s="3">
        <f t="shared" ca="1" si="48"/>
        <v>4</v>
      </c>
      <c r="AY27" s="7">
        <f t="shared" ca="1" si="49"/>
        <v>1.54</v>
      </c>
    </row>
    <row r="28" spans="1:51" ht="19.5" customHeight="1" x14ac:dyDescent="0.2">
      <c r="A28" s="2">
        <v>24</v>
      </c>
      <c r="B28" s="9" t="str">
        <f t="shared" ca="1" si="0"/>
        <v>w0nderful</v>
      </c>
      <c r="C28" s="4">
        <f t="shared" ca="1" si="1"/>
        <v>126</v>
      </c>
      <c r="D28" s="5">
        <f t="shared" ca="1" si="2"/>
        <v>1.1000000000000001</v>
      </c>
      <c r="E28" s="10">
        <f t="shared" ca="1" si="3"/>
        <v>388</v>
      </c>
      <c r="F28" s="5">
        <f t="shared" ca="1" si="4"/>
        <v>0.73</v>
      </c>
      <c r="G28" s="5">
        <f t="shared" ca="1" si="5"/>
        <v>0.59</v>
      </c>
      <c r="H28" s="6">
        <f t="shared" ca="1" si="6"/>
        <v>70.900000000000006</v>
      </c>
      <c r="I28" s="5">
        <f t="shared" ca="1" si="7"/>
        <v>0.97</v>
      </c>
      <c r="J28" s="21">
        <f t="shared" ca="1" si="8"/>
        <v>75</v>
      </c>
      <c r="K28" s="15">
        <f t="shared" ca="1" si="9"/>
        <v>0.62</v>
      </c>
      <c r="L28" s="13">
        <f t="shared" ca="1" si="10"/>
        <v>72.3</v>
      </c>
      <c r="M28" s="15">
        <f t="shared" ca="1" si="11"/>
        <v>1.1299999999999999</v>
      </c>
      <c r="N28" s="13">
        <f t="shared" ca="1" si="12"/>
        <v>69.2</v>
      </c>
      <c r="O28" s="15">
        <f t="shared" ca="1" si="13"/>
        <v>0.7</v>
      </c>
      <c r="P28" s="3">
        <f t="shared" ca="1" si="14"/>
        <v>30</v>
      </c>
      <c r="Q28" s="7">
        <f t="shared" ca="1" si="15"/>
        <v>1.01</v>
      </c>
      <c r="R28" s="3">
        <f t="shared" ca="1" si="16"/>
        <v>64</v>
      </c>
      <c r="S28" s="7">
        <f t="shared" ca="1" si="17"/>
        <v>1.05</v>
      </c>
      <c r="T28" s="3">
        <f t="shared" ca="1" si="18"/>
        <v>106</v>
      </c>
      <c r="U28" s="7">
        <f t="shared" ca="1" si="19"/>
        <v>1.08</v>
      </c>
      <c r="V28" s="7">
        <f t="shared" ca="1" si="20"/>
        <v>1.07</v>
      </c>
      <c r="W28" s="7">
        <f t="shared" ca="1" si="21"/>
        <v>1.1299999999999999</v>
      </c>
      <c r="X28" s="7">
        <f t="shared" ca="1" si="22"/>
        <v>1.1000000000000001</v>
      </c>
      <c r="Y28" s="7">
        <f t="shared" ca="1" si="23"/>
        <v>0.97</v>
      </c>
      <c r="Z28" s="14">
        <f t="shared" ca="1" si="24"/>
        <v>91.5</v>
      </c>
      <c r="AA28" s="8">
        <f t="shared" ca="1" si="25"/>
        <v>0.17899999999999999</v>
      </c>
      <c r="AB28" s="8">
        <f t="shared" ca="1" si="26"/>
        <v>0.629</v>
      </c>
      <c r="AC28" s="11">
        <f t="shared" ca="1" si="27"/>
        <v>0.1124859392575928</v>
      </c>
      <c r="AD28" s="8">
        <f t="shared" ca="1" si="28"/>
        <v>0.49493813273340831</v>
      </c>
      <c r="AE28" s="8">
        <f t="shared" ca="1" si="29"/>
        <v>0.18260217472815901</v>
      </c>
      <c r="AF28" s="3">
        <f t="shared" ca="1" si="30"/>
        <v>50</v>
      </c>
      <c r="AG28" s="8">
        <f t="shared" ca="1" si="31"/>
        <v>0.80158730158730163</v>
      </c>
      <c r="AH28" s="8">
        <f t="shared" ca="1" si="32"/>
        <v>0.61111111111111116</v>
      </c>
      <c r="AI28" s="8">
        <f t="shared" ca="1" si="33"/>
        <v>0.45238095238095238</v>
      </c>
      <c r="AJ28" s="8">
        <f t="shared" ca="1" si="45"/>
        <v>0.2857142857142857</v>
      </c>
      <c r="AK28" s="8">
        <f t="shared" ca="1" si="46"/>
        <v>0.21428571428571427</v>
      </c>
      <c r="AL28" s="3">
        <f t="shared" ca="1" si="34"/>
        <v>110</v>
      </c>
      <c r="AM28" s="7">
        <f t="shared" ca="1" si="35"/>
        <v>1.1000000000000001</v>
      </c>
      <c r="AN28" s="3">
        <f t="shared" ca="1" si="36"/>
        <v>63</v>
      </c>
      <c r="AO28" s="7">
        <f t="shared" ca="1" si="37"/>
        <v>1</v>
      </c>
      <c r="AP28" s="3">
        <f t="shared" ca="1" si="38"/>
        <v>21</v>
      </c>
      <c r="AQ28" s="7">
        <f t="shared" ca="1" si="39"/>
        <v>0.95</v>
      </c>
      <c r="AR28" s="3">
        <f t="shared" ca="1" si="40"/>
        <v>35</v>
      </c>
      <c r="AS28" s="7">
        <f t="shared" ca="1" si="41"/>
        <v>1.19</v>
      </c>
      <c r="AT28" s="2">
        <f t="shared" ca="1" si="47"/>
        <v>35</v>
      </c>
      <c r="AU28" s="17">
        <f t="shared" ca="1" si="42"/>
        <v>1.19</v>
      </c>
      <c r="AV28" s="3">
        <f t="shared" ca="1" si="43"/>
        <v>11</v>
      </c>
      <c r="AW28" s="7">
        <f t="shared" ca="1" si="44"/>
        <v>1.07</v>
      </c>
      <c r="AX28" s="3">
        <f t="shared" ca="1" si="48"/>
        <v>13</v>
      </c>
      <c r="AY28" s="7">
        <f t="shared" ca="1" si="49"/>
        <v>1.23</v>
      </c>
    </row>
    <row r="29" spans="1:51" ht="19.899999999999999" customHeight="1" x14ac:dyDescent="0.2">
      <c r="A29" s="2">
        <v>25</v>
      </c>
      <c r="B29" s="9" t="str">
        <f t="shared" ca="1" si="0"/>
        <v>dziugss</v>
      </c>
      <c r="C29" s="4">
        <f t="shared" ca="1" si="1"/>
        <v>133</v>
      </c>
      <c r="D29" s="5">
        <f t="shared" ca="1" si="2"/>
        <v>1.0900000000000001</v>
      </c>
      <c r="E29" s="10">
        <f t="shared" ca="1" si="3"/>
        <v>91</v>
      </c>
      <c r="F29" s="5">
        <f t="shared" ca="1" si="4"/>
        <v>0.67</v>
      </c>
      <c r="G29" s="5">
        <f t="shared" ca="1" si="5"/>
        <v>0.64</v>
      </c>
      <c r="H29" s="6">
        <f t="shared" ca="1" si="6"/>
        <v>74.3</v>
      </c>
      <c r="I29" s="5">
        <f t="shared" ca="1" si="7"/>
        <v>0.67</v>
      </c>
      <c r="J29" s="21">
        <f t="shared" ca="1" si="8"/>
        <v>74.8</v>
      </c>
      <c r="K29" s="15">
        <f t="shared" ca="1" si="9"/>
        <v>0.65</v>
      </c>
      <c r="L29" s="13">
        <f t="shared" ca="1" si="10"/>
        <v>72.2</v>
      </c>
      <c r="M29" s="15">
        <f t="shared" ca="1" si="11"/>
        <v>1.07</v>
      </c>
      <c r="N29" s="13">
        <f t="shared" ca="1" si="12"/>
        <v>74.8</v>
      </c>
      <c r="O29" s="15">
        <f t="shared" ca="1" si="13"/>
        <v>0.68</v>
      </c>
      <c r="P29" s="3">
        <f t="shared" ca="1" si="14"/>
        <v>35</v>
      </c>
      <c r="Q29" s="7">
        <f t="shared" ca="1" si="15"/>
        <v>1.04</v>
      </c>
      <c r="R29" s="3">
        <f t="shared" ca="1" si="16"/>
        <v>60</v>
      </c>
      <c r="S29" s="7">
        <f t="shared" ca="1" si="17"/>
        <v>1.04</v>
      </c>
      <c r="T29" s="3">
        <f t="shared" ca="1" si="18"/>
        <v>108</v>
      </c>
      <c r="U29" s="7">
        <f t="shared" ca="1" si="19"/>
        <v>1.06</v>
      </c>
      <c r="V29" s="7">
        <f t="shared" ca="1" si="20"/>
        <v>1.0900000000000001</v>
      </c>
      <c r="W29" s="7">
        <f t="shared" ca="1" si="21"/>
        <v>1.1000000000000001</v>
      </c>
      <c r="X29" s="7">
        <f t="shared" ca="1" si="22"/>
        <v>1.17</v>
      </c>
      <c r="Y29" s="7">
        <f t="shared" ca="1" si="23"/>
        <v>0.89</v>
      </c>
      <c r="Z29" s="14">
        <f t="shared" ca="1" si="24"/>
        <v>92.9</v>
      </c>
      <c r="AA29" s="8">
        <f t="shared" ca="1" si="25"/>
        <v>0.16500000000000001</v>
      </c>
      <c r="AB29" s="8">
        <f t="shared" ca="1" si="26"/>
        <v>0.54</v>
      </c>
      <c r="AC29" s="11">
        <f t="shared" ca="1" si="27"/>
        <v>8.9187327823691459E-2</v>
      </c>
      <c r="AD29" s="8">
        <f t="shared" ca="1" si="28"/>
        <v>0.46039944903581259</v>
      </c>
      <c r="AE29" s="8">
        <f t="shared" ca="1" si="29"/>
        <v>0.159435261707989</v>
      </c>
      <c r="AF29" s="3">
        <f t="shared" ca="1" si="30"/>
        <v>38</v>
      </c>
      <c r="AG29" s="8">
        <f t="shared" ca="1" si="31"/>
        <v>0.77443609022556392</v>
      </c>
      <c r="AH29" s="8">
        <f t="shared" ca="1" si="32"/>
        <v>0.59398496240601506</v>
      </c>
      <c r="AI29" s="8">
        <f t="shared" ca="1" si="33"/>
        <v>0.39849624060150374</v>
      </c>
      <c r="AJ29" s="8">
        <f t="shared" ca="1" si="45"/>
        <v>0.2781954887218045</v>
      </c>
      <c r="AK29" s="8">
        <f t="shared" ca="1" si="46"/>
        <v>0.18796992481203006</v>
      </c>
      <c r="AL29" s="3">
        <f t="shared" ca="1" si="34"/>
        <v>88</v>
      </c>
      <c r="AM29" s="7">
        <f t="shared" ca="1" si="35"/>
        <v>1.06</v>
      </c>
      <c r="AN29" s="3">
        <f t="shared" ca="1" si="36"/>
        <v>60</v>
      </c>
      <c r="AO29" s="7">
        <f t="shared" ca="1" si="37"/>
        <v>1.06</v>
      </c>
      <c r="AP29" s="3">
        <f t="shared" ca="1" si="38"/>
        <v>22</v>
      </c>
      <c r="AQ29" s="7">
        <f t="shared" ca="1" si="39"/>
        <v>1.07</v>
      </c>
      <c r="AR29" s="3">
        <f t="shared" ca="1" si="40"/>
        <v>18</v>
      </c>
      <c r="AS29" s="7">
        <f t="shared" ca="1" si="41"/>
        <v>0.99</v>
      </c>
      <c r="AT29" s="2">
        <f t="shared" ca="1" si="47"/>
        <v>18</v>
      </c>
      <c r="AU29" s="17">
        <f t="shared" ca="1" si="42"/>
        <v>0.99</v>
      </c>
      <c r="AV29" s="3">
        <f t="shared" ca="1" si="43"/>
        <v>12</v>
      </c>
      <c r="AW29" s="7">
        <f t="shared" ca="1" si="44"/>
        <v>1.03</v>
      </c>
      <c r="AX29" s="3">
        <f t="shared" ca="1" si="48"/>
        <v>4</v>
      </c>
      <c r="AY29" s="7">
        <f t="shared" ca="1" si="49"/>
        <v>1.02</v>
      </c>
    </row>
    <row r="30" spans="1:51" ht="19.5" customHeight="1" x14ac:dyDescent="0.2">
      <c r="A30" s="2">
        <v>26</v>
      </c>
      <c r="B30" s="9" t="str">
        <f t="shared" ca="1" si="0"/>
        <v>zweih</v>
      </c>
      <c r="C30" s="4">
        <f t="shared" ca="1" si="1"/>
        <v>128</v>
      </c>
      <c r="D30" s="5">
        <f t="shared" ca="1" si="2"/>
        <v>1.08</v>
      </c>
      <c r="E30" s="10">
        <f t="shared" ca="1" si="3"/>
        <v>27</v>
      </c>
      <c r="F30" s="5">
        <f t="shared" ca="1" si="4"/>
        <v>0.67</v>
      </c>
      <c r="G30" s="5">
        <f t="shared" ca="1" si="5"/>
        <v>0.66</v>
      </c>
      <c r="H30" s="6">
        <f t="shared" ca="1" si="6"/>
        <v>72.2</v>
      </c>
      <c r="I30" s="5">
        <f t="shared" ca="1" si="7"/>
        <v>0.82</v>
      </c>
      <c r="J30" s="21">
        <f t="shared" ca="1" si="8"/>
        <v>72.8</v>
      </c>
      <c r="K30" s="15">
        <f t="shared" ca="1" si="9"/>
        <v>0.66</v>
      </c>
      <c r="L30" s="13">
        <f t="shared" ca="1" si="10"/>
        <v>70.599999999999994</v>
      </c>
      <c r="M30" s="15">
        <f t="shared" ca="1" si="11"/>
        <v>1.1100000000000001</v>
      </c>
      <c r="N30" s="13">
        <f t="shared" ca="1" si="12"/>
        <v>73</v>
      </c>
      <c r="O30" s="15">
        <f t="shared" ca="1" si="13"/>
        <v>0.69</v>
      </c>
      <c r="P30" s="3">
        <f t="shared" ca="1" si="14"/>
        <v>30</v>
      </c>
      <c r="Q30" s="7">
        <f t="shared" ca="1" si="15"/>
        <v>1.01</v>
      </c>
      <c r="R30" s="3">
        <f t="shared" ca="1" si="16"/>
        <v>51</v>
      </c>
      <c r="S30" s="7">
        <f t="shared" ca="1" si="17"/>
        <v>1.05</v>
      </c>
      <c r="T30" s="3">
        <f t="shared" ca="1" si="18"/>
        <v>88</v>
      </c>
      <c r="U30" s="7">
        <f t="shared" ca="1" si="19"/>
        <v>1.04</v>
      </c>
      <c r="V30" s="7">
        <f t="shared" ca="1" si="20"/>
        <v>1.08</v>
      </c>
      <c r="W30" s="7">
        <f t="shared" ca="1" si="21"/>
        <v>1.08</v>
      </c>
      <c r="X30" s="7">
        <f t="shared" ca="1" si="22"/>
        <v>0.96</v>
      </c>
      <c r="Y30" s="7">
        <f t="shared" ca="1" si="23"/>
        <v>0.94</v>
      </c>
      <c r="Z30" s="14">
        <f t="shared" ca="1" si="24"/>
        <v>96.8</v>
      </c>
      <c r="AA30" s="8">
        <f t="shared" ca="1" si="25"/>
        <v>0.16700000000000001</v>
      </c>
      <c r="AB30" s="8">
        <f t="shared" ca="1" si="26"/>
        <v>0.5</v>
      </c>
      <c r="AC30" s="11">
        <f t="shared" ca="1" si="27"/>
        <v>8.3304408191600135E-2</v>
      </c>
      <c r="AD30" s="8">
        <f t="shared" ca="1" si="28"/>
        <v>0.45539743144741412</v>
      </c>
      <c r="AE30" s="8">
        <f t="shared" ca="1" si="29"/>
        <v>0.15931968066643529</v>
      </c>
      <c r="AF30" s="3">
        <f t="shared" ca="1" si="30"/>
        <v>38</v>
      </c>
      <c r="AG30" s="8">
        <f t="shared" ca="1" si="31"/>
        <v>0.8125</v>
      </c>
      <c r="AH30" s="8">
        <f t="shared" ca="1" si="32"/>
        <v>0.6171875</v>
      </c>
      <c r="AI30" s="8">
        <f t="shared" ca="1" si="33"/>
        <v>0.4375</v>
      </c>
      <c r="AJ30" s="8">
        <f t="shared" ca="1" si="45"/>
        <v>0.2578125</v>
      </c>
      <c r="AK30" s="8">
        <f t="shared" ca="1" si="46"/>
        <v>0.1796875</v>
      </c>
      <c r="AL30" s="3">
        <f t="shared" ca="1" si="34"/>
        <v>77</v>
      </c>
      <c r="AM30" s="7">
        <f t="shared" ca="1" si="35"/>
        <v>1.03</v>
      </c>
      <c r="AN30" s="3">
        <f t="shared" ca="1" si="36"/>
        <v>54</v>
      </c>
      <c r="AO30" s="7">
        <f t="shared" ca="1" si="37"/>
        <v>1.04</v>
      </c>
      <c r="AP30" s="3">
        <f t="shared" ca="1" si="38"/>
        <v>14</v>
      </c>
      <c r="AQ30" s="7">
        <f t="shared" ca="1" si="39"/>
        <v>0.99</v>
      </c>
      <c r="AR30" s="3">
        <f t="shared" ca="1" si="40"/>
        <v>21</v>
      </c>
      <c r="AS30" s="7">
        <f t="shared" ca="1" si="41"/>
        <v>1.07</v>
      </c>
      <c r="AT30" s="2">
        <f t="shared" ca="1" si="47"/>
        <v>13</v>
      </c>
      <c r="AU30" s="17">
        <f t="shared" ca="1" si="42"/>
        <v>1.07</v>
      </c>
      <c r="AV30" s="3">
        <f t="shared" ca="1" si="43"/>
        <v>13</v>
      </c>
      <c r="AW30" s="7">
        <f t="shared" ca="1" si="44"/>
        <v>1.07</v>
      </c>
      <c r="AX30" s="3">
        <f t="shared" ca="1" si="48"/>
        <v>6</v>
      </c>
      <c r="AY30" s="7">
        <f t="shared" ca="1" si="49"/>
        <v>1.03</v>
      </c>
    </row>
    <row r="31" spans="1:51" ht="19.5" customHeight="1" x14ac:dyDescent="0.2">
      <c r="A31" s="2">
        <v>27</v>
      </c>
      <c r="B31" s="9" t="str">
        <f t="shared" ca="1" si="0"/>
        <v>jabbi</v>
      </c>
      <c r="C31" s="4">
        <f t="shared" ca="1" si="1"/>
        <v>113</v>
      </c>
      <c r="D31" s="5">
        <f t="shared" ca="1" si="2"/>
        <v>1.08</v>
      </c>
      <c r="E31" s="10">
        <f t="shared" ca="1" si="3"/>
        <v>34</v>
      </c>
      <c r="F31" s="5">
        <f t="shared" ca="1" si="4"/>
        <v>0.7</v>
      </c>
      <c r="G31" s="5">
        <f t="shared" ca="1" si="5"/>
        <v>0.68</v>
      </c>
      <c r="H31" s="6">
        <f t="shared" ca="1" si="6"/>
        <v>74.400000000000006</v>
      </c>
      <c r="I31" s="5">
        <f t="shared" ca="1" si="7"/>
        <v>0.56999999999999995</v>
      </c>
      <c r="J31" s="21">
        <f t="shared" ca="1" si="8"/>
        <v>72.099999999999994</v>
      </c>
      <c r="K31" s="15">
        <f t="shared" ca="1" si="9"/>
        <v>0.69</v>
      </c>
      <c r="L31" s="13">
        <f t="shared" ca="1" si="10"/>
        <v>70.2</v>
      </c>
      <c r="M31" s="15">
        <f t="shared" ca="1" si="11"/>
        <v>1.1000000000000001</v>
      </c>
      <c r="N31" s="13">
        <f t="shared" ca="1" si="12"/>
        <v>74.5</v>
      </c>
      <c r="O31" s="15">
        <f t="shared" ca="1" si="13"/>
        <v>0.71</v>
      </c>
      <c r="P31" s="3">
        <f t="shared" ca="1" si="14"/>
        <v>11</v>
      </c>
      <c r="Q31" s="7">
        <f t="shared" ca="1" si="15"/>
        <v>1.1399999999999999</v>
      </c>
      <c r="R31" s="3">
        <f t="shared" ca="1" si="16"/>
        <v>36</v>
      </c>
      <c r="S31" s="7">
        <f t="shared" ca="1" si="17"/>
        <v>1.1200000000000001</v>
      </c>
      <c r="T31" s="3">
        <f t="shared" ca="1" si="18"/>
        <v>84</v>
      </c>
      <c r="U31" s="7">
        <f t="shared" ca="1" si="19"/>
        <v>1.06</v>
      </c>
      <c r="V31" s="7">
        <f t="shared" ca="1" si="20"/>
        <v>1.1100000000000001</v>
      </c>
      <c r="W31" s="7">
        <f t="shared" ca="1" si="21"/>
        <v>1.05</v>
      </c>
      <c r="X31" s="7">
        <f t="shared" ca="1" si="22"/>
        <v>1.03</v>
      </c>
      <c r="Y31" s="7">
        <f t="shared" ca="1" si="23"/>
        <v>0.94</v>
      </c>
      <c r="Z31" s="14">
        <f t="shared" ca="1" si="24"/>
        <v>95.5</v>
      </c>
      <c r="AA31" s="8">
        <f t="shared" ca="1" si="25"/>
        <v>0.183</v>
      </c>
      <c r="AB31" s="8">
        <f t="shared" ca="1" si="26"/>
        <v>0.502</v>
      </c>
      <c r="AC31" s="11">
        <f t="shared" ca="1" si="27"/>
        <v>9.1983122362869194E-2</v>
      </c>
      <c r="AD31" s="8">
        <f t="shared" ca="1" si="28"/>
        <v>0.47763713080168768</v>
      </c>
      <c r="AE31" s="8">
        <f t="shared" ca="1" si="29"/>
        <v>0.1662447257383966</v>
      </c>
      <c r="AF31" s="3">
        <f t="shared" ca="1" si="30"/>
        <v>26</v>
      </c>
      <c r="AG31" s="8">
        <f t="shared" ca="1" si="31"/>
        <v>0.76991150442477874</v>
      </c>
      <c r="AH31" s="8">
        <f t="shared" ca="1" si="32"/>
        <v>0.5752212389380531</v>
      </c>
      <c r="AI31" s="8">
        <f t="shared" ca="1" si="33"/>
        <v>0.4247787610619469</v>
      </c>
      <c r="AJ31" s="8">
        <f t="shared" ca="1" si="45"/>
        <v>0.30088495575221241</v>
      </c>
      <c r="AK31" s="8">
        <f t="shared" ca="1" si="46"/>
        <v>0.23008849557522124</v>
      </c>
      <c r="AL31" s="3">
        <f t="shared" ca="1" si="34"/>
        <v>65</v>
      </c>
      <c r="AM31" s="7">
        <f t="shared" ca="1" si="35"/>
        <v>1.05</v>
      </c>
      <c r="AN31" s="3">
        <f t="shared" ca="1" si="36"/>
        <v>30</v>
      </c>
      <c r="AO31" s="7">
        <f t="shared" ca="1" si="37"/>
        <v>0.98</v>
      </c>
      <c r="AP31" s="3">
        <f t="shared" ca="1" si="38"/>
        <v>11</v>
      </c>
      <c r="AQ31" s="7">
        <f t="shared" ca="1" si="39"/>
        <v>1.1000000000000001</v>
      </c>
      <c r="AR31" s="3">
        <f t="shared" ca="1" si="40"/>
        <v>14</v>
      </c>
      <c r="AS31" s="7">
        <f t="shared" ca="1" si="41"/>
        <v>1.02</v>
      </c>
      <c r="AT31" s="2">
        <f t="shared" ca="1" si="47"/>
        <v>14</v>
      </c>
      <c r="AU31" s="17">
        <f t="shared" ca="1" si="42"/>
        <v>1.02</v>
      </c>
      <c r="AV31" s="3">
        <f t="shared" ca="1" si="43"/>
        <v>3</v>
      </c>
      <c r="AW31" s="7">
        <f t="shared" ca="1" si="44"/>
        <v>0.85</v>
      </c>
      <c r="AX31" s="3">
        <f t="shared" ca="1" si="48"/>
        <v>0</v>
      </c>
      <c r="AY31" s="7" t="str">
        <f t="shared" ca="1" si="49"/>
        <v>-</v>
      </c>
    </row>
    <row r="32" spans="1:51" ht="19.5" customHeight="1" x14ac:dyDescent="0.2">
      <c r="A32" s="2">
        <v>28</v>
      </c>
      <c r="B32" s="9" t="str">
        <f t="shared" ca="1" si="0"/>
        <v>xfl0ud</v>
      </c>
      <c r="C32" s="4">
        <f t="shared" ca="1" si="1"/>
        <v>79</v>
      </c>
      <c r="D32" s="5">
        <f t="shared" ca="1" si="2"/>
        <v>1.08</v>
      </c>
      <c r="E32" s="10">
        <f t="shared" ca="1" si="3"/>
        <v>-32</v>
      </c>
      <c r="F32" s="5">
        <f t="shared" ca="1" si="4"/>
        <v>0.68</v>
      </c>
      <c r="G32" s="5">
        <f t="shared" ca="1" si="5"/>
        <v>0.7</v>
      </c>
      <c r="H32" s="6">
        <f t="shared" ca="1" si="6"/>
        <v>79.099999999999994</v>
      </c>
      <c r="I32" s="5">
        <f t="shared" ca="1" si="7"/>
        <v>0.48</v>
      </c>
      <c r="J32" s="21">
        <f t="shared" ca="1" si="8"/>
        <v>72.8</v>
      </c>
      <c r="K32" s="15">
        <f t="shared" ca="1" si="9"/>
        <v>0.72</v>
      </c>
      <c r="L32" s="13">
        <f t="shared" ca="1" si="10"/>
        <v>70.5</v>
      </c>
      <c r="M32" s="15">
        <f t="shared" ca="1" si="11"/>
        <v>1.1299999999999999</v>
      </c>
      <c r="N32" s="13">
        <f t="shared" ca="1" si="12"/>
        <v>79.400000000000006</v>
      </c>
      <c r="O32" s="15">
        <f t="shared" ca="1" si="13"/>
        <v>0.7</v>
      </c>
      <c r="P32" s="3">
        <f t="shared" ca="1" si="14"/>
        <v>29</v>
      </c>
      <c r="Q32" s="7">
        <f t="shared" ca="1" si="15"/>
        <v>1.1200000000000001</v>
      </c>
      <c r="R32" s="3">
        <f t="shared" ca="1" si="16"/>
        <v>38</v>
      </c>
      <c r="S32" s="7">
        <f t="shared" ca="1" si="17"/>
        <v>1.1200000000000001</v>
      </c>
      <c r="T32" s="3">
        <f t="shared" ca="1" si="18"/>
        <v>53</v>
      </c>
      <c r="U32" s="7">
        <f t="shared" ca="1" si="19"/>
        <v>1.0900000000000001</v>
      </c>
      <c r="V32" s="7">
        <f t="shared" ca="1" si="20"/>
        <v>1.1100000000000001</v>
      </c>
      <c r="W32" s="7">
        <f t="shared" ca="1" si="21"/>
        <v>1.05</v>
      </c>
      <c r="X32" s="7">
        <f t="shared" ca="1" si="22"/>
        <v>1.39</v>
      </c>
      <c r="Y32" s="7">
        <f t="shared" ca="1" si="23"/>
        <v>0.99</v>
      </c>
      <c r="Z32" s="14">
        <f t="shared" ca="1" si="24"/>
        <v>108.5</v>
      </c>
      <c r="AA32" s="8">
        <f t="shared" ca="1" si="25"/>
        <v>0.27600000000000002</v>
      </c>
      <c r="AB32" s="8">
        <f t="shared" ca="1" si="26"/>
        <v>0.44800000000000001</v>
      </c>
      <c r="AC32" s="11">
        <f t="shared" ca="1" si="27"/>
        <v>0.1237298266586969</v>
      </c>
      <c r="AD32" s="8">
        <f t="shared" ca="1" si="28"/>
        <v>0.46084877465630603</v>
      </c>
      <c r="AE32" s="8">
        <f t="shared" ca="1" si="29"/>
        <v>0.16138673042438731</v>
      </c>
      <c r="AF32" s="3">
        <f t="shared" ca="1" si="30"/>
        <v>14</v>
      </c>
      <c r="AG32" s="8">
        <f t="shared" ca="1" si="31"/>
        <v>0.73417721518987344</v>
      </c>
      <c r="AH32" s="8">
        <f t="shared" ca="1" si="32"/>
        <v>0.59493670886075944</v>
      </c>
      <c r="AI32" s="8">
        <f t="shared" ca="1" si="33"/>
        <v>0.49367088607594939</v>
      </c>
      <c r="AJ32" s="8">
        <f t="shared" ca="1" si="45"/>
        <v>0.30379746835443039</v>
      </c>
      <c r="AK32" s="8">
        <f t="shared" ca="1" si="46"/>
        <v>0.22784810126582278</v>
      </c>
      <c r="AL32" s="3">
        <f t="shared" ca="1" si="34"/>
        <v>50</v>
      </c>
      <c r="AM32" s="7">
        <f t="shared" ca="1" si="35"/>
        <v>1.07</v>
      </c>
      <c r="AN32" s="3">
        <f t="shared" ca="1" si="36"/>
        <v>33</v>
      </c>
      <c r="AO32" s="7">
        <f t="shared" ca="1" si="37"/>
        <v>1.08</v>
      </c>
      <c r="AP32" s="3">
        <f t="shared" ca="1" si="38"/>
        <v>0</v>
      </c>
      <c r="AQ32" s="7" t="str">
        <f t="shared" ca="1" si="39"/>
        <v>-</v>
      </c>
      <c r="AR32" s="3">
        <f t="shared" ca="1" si="40"/>
        <v>15</v>
      </c>
      <c r="AS32" s="7">
        <f t="shared" ca="1" si="41"/>
        <v>1.07</v>
      </c>
      <c r="AT32" s="2">
        <f t="shared" ca="1" si="47"/>
        <v>12</v>
      </c>
      <c r="AU32" s="17">
        <f t="shared" ca="1" si="42"/>
        <v>1.05</v>
      </c>
      <c r="AV32" s="3">
        <f t="shared" ca="1" si="43"/>
        <v>12</v>
      </c>
      <c r="AW32" s="7">
        <f t="shared" ca="1" si="44"/>
        <v>1.05</v>
      </c>
      <c r="AX32" s="3">
        <f t="shared" ca="1" si="48"/>
        <v>4</v>
      </c>
      <c r="AY32" s="7">
        <f t="shared" ca="1" si="49"/>
        <v>0.89</v>
      </c>
    </row>
    <row r="33" spans="1:51" ht="19.899999999999999" customHeight="1" x14ac:dyDescent="0.2">
      <c r="A33" s="2">
        <v>29</v>
      </c>
      <c r="B33" s="9" t="str">
        <f t="shared" ca="1" si="0"/>
        <v>HUASOPEEK</v>
      </c>
      <c r="C33" s="4">
        <f t="shared" ca="1" si="1"/>
        <v>67</v>
      </c>
      <c r="D33" s="5">
        <f t="shared" ca="1" si="2"/>
        <v>1.08</v>
      </c>
      <c r="E33" s="10">
        <f t="shared" ca="1" si="3"/>
        <v>21</v>
      </c>
      <c r="F33" s="5">
        <f t="shared" ca="1" si="4"/>
        <v>0.68</v>
      </c>
      <c r="G33" s="5">
        <f t="shared" ca="1" si="5"/>
        <v>0.66</v>
      </c>
      <c r="H33" s="6">
        <f t="shared" ca="1" si="6"/>
        <v>74.2</v>
      </c>
      <c r="I33" s="5">
        <f t="shared" ca="1" si="7"/>
        <v>0.47</v>
      </c>
      <c r="J33" s="21">
        <f t="shared" ca="1" si="8"/>
        <v>72.400000000000006</v>
      </c>
      <c r="K33" s="15">
        <f t="shared" ca="1" si="9"/>
        <v>0.68</v>
      </c>
      <c r="L33" s="13">
        <f t="shared" ca="1" si="10"/>
        <v>69.8</v>
      </c>
      <c r="M33" s="15">
        <f t="shared" ca="1" si="11"/>
        <v>1.1399999999999999</v>
      </c>
      <c r="N33" s="13">
        <f t="shared" ca="1" si="12"/>
        <v>74.599999999999994</v>
      </c>
      <c r="O33" s="15">
        <f t="shared" ca="1" si="13"/>
        <v>0.69</v>
      </c>
      <c r="P33" s="3">
        <f t="shared" ca="1" si="14"/>
        <v>26</v>
      </c>
      <c r="Q33" s="7">
        <f t="shared" ca="1" si="15"/>
        <v>0.96</v>
      </c>
      <c r="R33" s="3">
        <f t="shared" ca="1" si="16"/>
        <v>37</v>
      </c>
      <c r="S33" s="7">
        <f t="shared" ca="1" si="17"/>
        <v>1.01</v>
      </c>
      <c r="T33" s="3">
        <f t="shared" ca="1" si="18"/>
        <v>45</v>
      </c>
      <c r="U33" s="7">
        <f t="shared" ca="1" si="19"/>
        <v>1.05</v>
      </c>
      <c r="V33" s="7">
        <f t="shared" ca="1" si="20"/>
        <v>1.1200000000000001</v>
      </c>
      <c r="W33" s="7">
        <f t="shared" ca="1" si="21"/>
        <v>1.04</v>
      </c>
      <c r="X33" s="7">
        <f t="shared" ca="1" si="22"/>
        <v>1.36</v>
      </c>
      <c r="Y33" s="7">
        <f t="shared" ca="1" si="23"/>
        <v>0.99</v>
      </c>
      <c r="Z33" s="14">
        <f t="shared" ca="1" si="24"/>
        <v>101.8</v>
      </c>
      <c r="AA33" s="8">
        <f t="shared" ca="1" si="25"/>
        <v>0.218</v>
      </c>
      <c r="AB33" s="8">
        <f t="shared" ca="1" si="26"/>
        <v>0.44500000000000001</v>
      </c>
      <c r="AC33" s="11">
        <f t="shared" ca="1" si="27"/>
        <v>9.6751412429378528E-2</v>
      </c>
      <c r="AD33" s="8">
        <f t="shared" ca="1" si="28"/>
        <v>0.46045197740112992</v>
      </c>
      <c r="AE33" s="8">
        <f t="shared" ca="1" si="29"/>
        <v>0.15889830508474581</v>
      </c>
      <c r="AF33" s="3">
        <f t="shared" ca="1" si="30"/>
        <v>13</v>
      </c>
      <c r="AG33" s="8">
        <f t="shared" ca="1" si="31"/>
        <v>0.74626865671641796</v>
      </c>
      <c r="AH33" s="8">
        <f t="shared" ca="1" si="32"/>
        <v>0.64179104477611937</v>
      </c>
      <c r="AI33" s="8">
        <f t="shared" ca="1" si="33"/>
        <v>0.43283582089552236</v>
      </c>
      <c r="AJ33" s="8">
        <f t="shared" ca="1" si="45"/>
        <v>0.26865671641791045</v>
      </c>
      <c r="AK33" s="8">
        <f t="shared" ca="1" si="46"/>
        <v>0.16417910447761194</v>
      </c>
      <c r="AL33" s="3">
        <f t="shared" ca="1" si="34"/>
        <v>45</v>
      </c>
      <c r="AM33" s="7">
        <f t="shared" ca="1" si="35"/>
        <v>1.03</v>
      </c>
      <c r="AN33" s="3">
        <f t="shared" ca="1" si="36"/>
        <v>34</v>
      </c>
      <c r="AO33" s="7">
        <f t="shared" ca="1" si="37"/>
        <v>1.05</v>
      </c>
      <c r="AP33" s="3">
        <f t="shared" ca="1" si="38"/>
        <v>16</v>
      </c>
      <c r="AQ33" s="7">
        <f t="shared" ca="1" si="39"/>
        <v>1.02</v>
      </c>
      <c r="AR33" s="3">
        <f t="shared" ca="1" si="40"/>
        <v>6</v>
      </c>
      <c r="AS33" s="7">
        <f t="shared" ca="1" si="41"/>
        <v>1.04</v>
      </c>
      <c r="AT33" s="2">
        <f t="shared" ca="1" si="47"/>
        <v>6</v>
      </c>
      <c r="AU33" s="17">
        <f t="shared" ca="1" si="42"/>
        <v>1.04</v>
      </c>
      <c r="AV33" s="3">
        <f t="shared" ca="1" si="43"/>
        <v>3</v>
      </c>
      <c r="AW33" s="7">
        <f t="shared" ca="1" si="44"/>
        <v>0.95</v>
      </c>
      <c r="AX33" s="3">
        <f t="shared" ca="1" si="48"/>
        <v>0</v>
      </c>
      <c r="AY33" s="7" t="str">
        <f t="shared" ca="1" si="49"/>
        <v>-</v>
      </c>
    </row>
    <row r="34" spans="1:51" ht="19.899999999999999" customHeight="1" x14ac:dyDescent="0.2">
      <c r="A34" s="2">
        <v>30</v>
      </c>
      <c r="B34" s="9" t="str">
        <f t="shared" ca="1" si="0"/>
        <v>dem0n</v>
      </c>
      <c r="C34" s="4">
        <f t="shared" ca="1" si="1"/>
        <v>133</v>
      </c>
      <c r="D34" s="5">
        <f t="shared" ca="1" si="2"/>
        <v>1.08</v>
      </c>
      <c r="E34" s="10">
        <f t="shared" ca="1" si="3"/>
        <v>79</v>
      </c>
      <c r="F34" s="5">
        <f t="shared" ca="1" si="4"/>
        <v>0.68</v>
      </c>
      <c r="G34" s="5">
        <f t="shared" ca="1" si="5"/>
        <v>0.65</v>
      </c>
      <c r="H34" s="6">
        <f t="shared" ca="1" si="6"/>
        <v>72.8</v>
      </c>
      <c r="I34" s="5">
        <f t="shared" ca="1" si="7"/>
        <v>0.22</v>
      </c>
      <c r="J34" s="21">
        <f t="shared" ca="1" si="8"/>
        <v>72.3</v>
      </c>
      <c r="K34" s="15">
        <f t="shared" ca="1" si="9"/>
        <v>0.66</v>
      </c>
      <c r="L34" s="13">
        <f t="shared" ca="1" si="10"/>
        <v>70.8</v>
      </c>
      <c r="M34" s="15">
        <f t="shared" ca="1" si="11"/>
        <v>1.1200000000000001</v>
      </c>
      <c r="N34" s="13">
        <f t="shared" ca="1" si="12"/>
        <v>73.5</v>
      </c>
      <c r="O34" s="15">
        <f t="shared" ca="1" si="13"/>
        <v>0.7</v>
      </c>
      <c r="P34" s="3">
        <f t="shared" ca="1" si="14"/>
        <v>35</v>
      </c>
      <c r="Q34" s="7">
        <f t="shared" ca="1" si="15"/>
        <v>1.07</v>
      </c>
      <c r="R34" s="3">
        <f t="shared" ca="1" si="16"/>
        <v>60</v>
      </c>
      <c r="S34" s="7">
        <f t="shared" ca="1" si="17"/>
        <v>1.03</v>
      </c>
      <c r="T34" s="3">
        <f t="shared" ca="1" si="18"/>
        <v>108</v>
      </c>
      <c r="U34" s="7">
        <f t="shared" ca="1" si="19"/>
        <v>1.04</v>
      </c>
      <c r="V34" s="7">
        <f t="shared" ca="1" si="20"/>
        <v>1.05</v>
      </c>
      <c r="W34" s="7">
        <f t="shared" ca="1" si="21"/>
        <v>1.1000000000000001</v>
      </c>
      <c r="X34" s="7">
        <f t="shared" ca="1" si="22"/>
        <v>1.04</v>
      </c>
      <c r="Y34" s="7">
        <f t="shared" ca="1" si="23"/>
        <v>0.92</v>
      </c>
      <c r="Z34" s="14">
        <f t="shared" ca="1" si="24"/>
        <v>91.4</v>
      </c>
      <c r="AA34" s="8">
        <f t="shared" ca="1" si="25"/>
        <v>0.16700000000000001</v>
      </c>
      <c r="AB34" s="8">
        <f t="shared" ca="1" si="26"/>
        <v>0.49099999999999999</v>
      </c>
      <c r="AC34" s="11">
        <f t="shared" ca="1" si="27"/>
        <v>8.1955922865013769E-2</v>
      </c>
      <c r="AD34" s="8">
        <f t="shared" ca="1" si="28"/>
        <v>0.46108815426997252</v>
      </c>
      <c r="AE34" s="8">
        <f t="shared" ca="1" si="29"/>
        <v>0.17011019283746559</v>
      </c>
      <c r="AF34" s="3">
        <f t="shared" ca="1" si="30"/>
        <v>33</v>
      </c>
      <c r="AG34" s="8">
        <f t="shared" ca="1" si="31"/>
        <v>0.77443609022556392</v>
      </c>
      <c r="AH34" s="8">
        <f t="shared" ca="1" si="32"/>
        <v>0.5864661654135338</v>
      </c>
      <c r="AI34" s="8">
        <f t="shared" ca="1" si="33"/>
        <v>0.45112781954887216</v>
      </c>
      <c r="AJ34" s="8">
        <f t="shared" ca="1" si="45"/>
        <v>0.3007518796992481</v>
      </c>
      <c r="AK34" s="8">
        <f t="shared" ca="1" si="46"/>
        <v>0.23308270676691728</v>
      </c>
      <c r="AL34" s="3">
        <f t="shared" ca="1" si="34"/>
        <v>88</v>
      </c>
      <c r="AM34" s="7">
        <f t="shared" ca="1" si="35"/>
        <v>1.08</v>
      </c>
      <c r="AN34" s="3">
        <f t="shared" ca="1" si="36"/>
        <v>60</v>
      </c>
      <c r="AO34" s="7">
        <f t="shared" ca="1" si="37"/>
        <v>1.07</v>
      </c>
      <c r="AP34" s="3">
        <f t="shared" ca="1" si="38"/>
        <v>22</v>
      </c>
      <c r="AQ34" s="7">
        <f t="shared" ca="1" si="39"/>
        <v>0.99</v>
      </c>
      <c r="AR34" s="3">
        <f t="shared" ca="1" si="40"/>
        <v>18</v>
      </c>
      <c r="AS34" s="7">
        <f t="shared" ca="1" si="41"/>
        <v>1.1100000000000001</v>
      </c>
      <c r="AT34" s="2">
        <f t="shared" ca="1" si="47"/>
        <v>18</v>
      </c>
      <c r="AU34" s="17">
        <f t="shared" ca="1" si="42"/>
        <v>1.1100000000000001</v>
      </c>
      <c r="AV34" s="3">
        <f t="shared" ca="1" si="43"/>
        <v>12</v>
      </c>
      <c r="AW34" s="7">
        <f t="shared" ca="1" si="44"/>
        <v>1.19</v>
      </c>
      <c r="AX34" s="3">
        <f t="shared" ca="1" si="48"/>
        <v>4</v>
      </c>
      <c r="AY34" s="7">
        <f t="shared" ca="1" si="49"/>
        <v>1.18</v>
      </c>
    </row>
    <row r="35" spans="1:51" ht="19.899999999999999" customHeight="1" x14ac:dyDescent="0.2">
      <c r="A35" s="2">
        <v>31</v>
      </c>
      <c r="B35" s="9" t="str">
        <f t="shared" ca="1" si="0"/>
        <v>lauNX</v>
      </c>
      <c r="C35" s="4">
        <f t="shared" ca="1" si="1"/>
        <v>103</v>
      </c>
      <c r="D35" s="5">
        <f t="shared" ca="1" si="2"/>
        <v>1.07</v>
      </c>
      <c r="E35" s="10">
        <f t="shared" ca="1" si="3"/>
        <v>26</v>
      </c>
      <c r="F35" s="5">
        <f t="shared" ca="1" si="4"/>
        <v>0.69</v>
      </c>
      <c r="G35" s="5">
        <f t="shared" ca="1" si="5"/>
        <v>0.68</v>
      </c>
      <c r="H35" s="6">
        <f t="shared" ca="1" si="6"/>
        <v>73.400000000000006</v>
      </c>
      <c r="I35" s="5">
        <f t="shared" ca="1" si="7"/>
        <v>0.64</v>
      </c>
      <c r="J35" s="21">
        <f t="shared" ca="1" si="8"/>
        <v>73.7</v>
      </c>
      <c r="K35" s="15">
        <f t="shared" ca="1" si="9"/>
        <v>0.69</v>
      </c>
      <c r="L35" s="13">
        <f t="shared" ca="1" si="10"/>
        <v>71.400000000000006</v>
      </c>
      <c r="M35" s="15">
        <f t="shared" ca="1" si="11"/>
        <v>1.07</v>
      </c>
      <c r="N35" s="13">
        <f t="shared" ca="1" si="12"/>
        <v>72.8</v>
      </c>
      <c r="O35" s="15">
        <f t="shared" ca="1" si="13"/>
        <v>0.69</v>
      </c>
      <c r="P35" s="3">
        <f t="shared" ca="1" si="14"/>
        <v>18</v>
      </c>
      <c r="Q35" s="7">
        <f t="shared" ca="1" si="15"/>
        <v>1.02</v>
      </c>
      <c r="R35" s="3">
        <f t="shared" ca="1" si="16"/>
        <v>39</v>
      </c>
      <c r="S35" s="7">
        <f t="shared" ca="1" si="17"/>
        <v>1.07</v>
      </c>
      <c r="T35" s="3">
        <f t="shared" ca="1" si="18"/>
        <v>87</v>
      </c>
      <c r="U35" s="7">
        <f t="shared" ca="1" si="19"/>
        <v>1.07</v>
      </c>
      <c r="V35" s="7">
        <f t="shared" ca="1" si="20"/>
        <v>1.08</v>
      </c>
      <c r="W35" s="7">
        <f t="shared" ca="1" si="21"/>
        <v>1.06</v>
      </c>
      <c r="X35" s="7">
        <f t="shared" ca="1" si="22"/>
        <v>1.19</v>
      </c>
      <c r="Y35" s="7">
        <f t="shared" ca="1" si="23"/>
        <v>0.95</v>
      </c>
      <c r="Z35" s="14">
        <f t="shared" ca="1" si="24"/>
        <v>96</v>
      </c>
      <c r="AA35" s="8">
        <f t="shared" ca="1" si="25"/>
        <v>0.23300000000000001</v>
      </c>
      <c r="AB35" s="8">
        <f t="shared" ca="1" si="26"/>
        <v>0.47199999999999998</v>
      </c>
      <c r="AC35" s="11">
        <f t="shared" ca="1" si="27"/>
        <v>0.1102150537634409</v>
      </c>
      <c r="AD35" s="8">
        <f t="shared" ca="1" si="28"/>
        <v>0.46729390681003591</v>
      </c>
      <c r="AE35" s="8">
        <f t="shared" ca="1" si="29"/>
        <v>0.17025089605734769</v>
      </c>
      <c r="AF35" s="3">
        <f t="shared" ca="1" si="30"/>
        <v>20</v>
      </c>
      <c r="AG35" s="8">
        <f t="shared" ca="1" si="31"/>
        <v>0.77669902912621358</v>
      </c>
      <c r="AH35" s="8">
        <f t="shared" ca="1" si="32"/>
        <v>0.59223300970873782</v>
      </c>
      <c r="AI35" s="8">
        <f t="shared" ca="1" si="33"/>
        <v>0.44660194174757284</v>
      </c>
      <c r="AJ35" s="8">
        <f t="shared" ca="1" si="45"/>
        <v>0.28155339805825241</v>
      </c>
      <c r="AK35" s="8">
        <f t="shared" ca="1" si="46"/>
        <v>0.1650485436893204</v>
      </c>
      <c r="AL35" s="3">
        <f t="shared" ca="1" si="34"/>
        <v>58</v>
      </c>
      <c r="AM35" s="7">
        <f t="shared" ca="1" si="35"/>
        <v>1.03</v>
      </c>
      <c r="AN35" s="3">
        <f t="shared" ca="1" si="36"/>
        <v>35</v>
      </c>
      <c r="AO35" s="7">
        <f t="shared" ca="1" si="37"/>
        <v>1.04</v>
      </c>
      <c r="AP35" s="3">
        <f t="shared" ca="1" si="38"/>
        <v>22</v>
      </c>
      <c r="AQ35" s="7">
        <f t="shared" ca="1" si="39"/>
        <v>0.96</v>
      </c>
      <c r="AR35" s="3">
        <f t="shared" ca="1" si="40"/>
        <v>6</v>
      </c>
      <c r="AS35" s="7">
        <f t="shared" ca="1" si="41"/>
        <v>1.1000000000000001</v>
      </c>
      <c r="AT35" s="2">
        <f t="shared" ca="1" si="47"/>
        <v>6</v>
      </c>
      <c r="AU35" s="17">
        <f t="shared" ca="1" si="42"/>
        <v>1.1000000000000001</v>
      </c>
      <c r="AV35" s="3">
        <f t="shared" ca="1" si="43"/>
        <v>0</v>
      </c>
      <c r="AW35" s="7" t="str">
        <f t="shared" ca="1" si="44"/>
        <v>-</v>
      </c>
      <c r="AX35" s="3">
        <f t="shared" ca="1" si="48"/>
        <v>0</v>
      </c>
      <c r="AY35" s="7" t="str">
        <f t="shared" ca="1" si="49"/>
        <v>-</v>
      </c>
    </row>
    <row r="36" spans="1:51" ht="19.899999999999999" customHeight="1" x14ac:dyDescent="0.2">
      <c r="A36" s="2">
        <v>32</v>
      </c>
      <c r="B36" s="9" t="str">
        <f t="shared" ca="1" si="0"/>
        <v>YEKINDAR</v>
      </c>
      <c r="C36" s="4">
        <f t="shared" ca="1" si="1"/>
        <v>137</v>
      </c>
      <c r="D36" s="5">
        <f t="shared" ca="1" si="2"/>
        <v>1.07</v>
      </c>
      <c r="E36" s="10">
        <f t="shared" ca="1" si="3"/>
        <v>-15</v>
      </c>
      <c r="F36" s="5">
        <f t="shared" ca="1" si="4"/>
        <v>0.69</v>
      </c>
      <c r="G36" s="5">
        <f t="shared" ca="1" si="5"/>
        <v>0.69</v>
      </c>
      <c r="H36" s="6">
        <f t="shared" ca="1" si="6"/>
        <v>78.900000000000006</v>
      </c>
      <c r="I36" s="5">
        <f t="shared" ca="1" si="7"/>
        <v>0.32</v>
      </c>
      <c r="J36" s="21">
        <f t="shared" ca="1" si="8"/>
        <v>71.599999999999994</v>
      </c>
      <c r="K36" s="15">
        <f t="shared" ca="1" si="9"/>
        <v>0.71</v>
      </c>
      <c r="L36" s="13">
        <f t="shared" ca="1" si="10"/>
        <v>69.099999999999994</v>
      </c>
      <c r="M36" s="15">
        <f t="shared" ca="1" si="11"/>
        <v>1.1000000000000001</v>
      </c>
      <c r="N36" s="13">
        <f t="shared" ca="1" si="12"/>
        <v>78.3</v>
      </c>
      <c r="O36" s="15">
        <f t="shared" ca="1" si="13"/>
        <v>0.69</v>
      </c>
      <c r="P36" s="3">
        <f t="shared" ca="1" si="14"/>
        <v>28</v>
      </c>
      <c r="Q36" s="7">
        <f t="shared" ca="1" si="15"/>
        <v>0.95</v>
      </c>
      <c r="R36" s="3">
        <f t="shared" ca="1" si="16"/>
        <v>64</v>
      </c>
      <c r="S36" s="7">
        <f t="shared" ca="1" si="17"/>
        <v>1.02</v>
      </c>
      <c r="T36" s="3">
        <f t="shared" ca="1" si="18"/>
        <v>112</v>
      </c>
      <c r="U36" s="7">
        <f t="shared" ca="1" si="19"/>
        <v>1.06</v>
      </c>
      <c r="V36" s="7">
        <f t="shared" ca="1" si="20"/>
        <v>1.06</v>
      </c>
      <c r="W36" s="7">
        <f t="shared" ca="1" si="21"/>
        <v>1.08</v>
      </c>
      <c r="X36" s="7">
        <f t="shared" ca="1" si="22"/>
        <v>1.07</v>
      </c>
      <c r="Y36" s="7">
        <f t="shared" ca="1" si="23"/>
        <v>0.99</v>
      </c>
      <c r="Z36" s="14">
        <f t="shared" ca="1" si="24"/>
        <v>106.2</v>
      </c>
      <c r="AA36" s="8">
        <f t="shared" ca="1" si="25"/>
        <v>0.308</v>
      </c>
      <c r="AB36" s="8">
        <f t="shared" ca="1" si="26"/>
        <v>0.49299999999999999</v>
      </c>
      <c r="AC36" s="11">
        <f t="shared" ca="1" si="27"/>
        <v>0.1517917511832319</v>
      </c>
      <c r="AD36" s="8">
        <f t="shared" ca="1" si="28"/>
        <v>0.45909398242055438</v>
      </c>
      <c r="AE36" s="8">
        <f t="shared" ca="1" si="29"/>
        <v>0.17241379310344829</v>
      </c>
      <c r="AF36" s="3">
        <f t="shared" ca="1" si="30"/>
        <v>23</v>
      </c>
      <c r="AG36" s="8">
        <f t="shared" ca="1" si="31"/>
        <v>0.79562043795620441</v>
      </c>
      <c r="AH36" s="8">
        <f t="shared" ca="1" si="32"/>
        <v>0.6058394160583942</v>
      </c>
      <c r="AI36" s="8">
        <f t="shared" ca="1" si="33"/>
        <v>0.44525547445255476</v>
      </c>
      <c r="AJ36" s="8">
        <f t="shared" ca="1" si="45"/>
        <v>0.30656934306569344</v>
      </c>
      <c r="AK36" s="8">
        <f t="shared" ca="1" si="46"/>
        <v>0.13868613138686131</v>
      </c>
      <c r="AL36" s="3">
        <f t="shared" ca="1" si="34"/>
        <v>119</v>
      </c>
      <c r="AM36" s="7">
        <f t="shared" ca="1" si="35"/>
        <v>1.07</v>
      </c>
      <c r="AN36" s="3">
        <f t="shared" ca="1" si="36"/>
        <v>84</v>
      </c>
      <c r="AO36" s="7">
        <f t="shared" ca="1" si="37"/>
        <v>1.07</v>
      </c>
      <c r="AP36" s="3">
        <f t="shared" ca="1" si="38"/>
        <v>35</v>
      </c>
      <c r="AQ36" s="7">
        <f t="shared" ca="1" si="39"/>
        <v>1.1200000000000001</v>
      </c>
      <c r="AR36" s="3">
        <f t="shared" ca="1" si="40"/>
        <v>42</v>
      </c>
      <c r="AS36" s="7">
        <f t="shared" ca="1" si="41"/>
        <v>1.04</v>
      </c>
      <c r="AT36" s="2">
        <f t="shared" ca="1" si="47"/>
        <v>37</v>
      </c>
      <c r="AU36" s="17">
        <f t="shared" ca="1" si="42"/>
        <v>1.03</v>
      </c>
      <c r="AV36" s="3">
        <f t="shared" ca="1" si="43"/>
        <v>32</v>
      </c>
      <c r="AW36" s="7">
        <f t="shared" ca="1" si="44"/>
        <v>1.04</v>
      </c>
      <c r="AX36" s="3">
        <f t="shared" ca="1" si="48"/>
        <v>7</v>
      </c>
      <c r="AY36" s="7">
        <f t="shared" ca="1" si="49"/>
        <v>0.97</v>
      </c>
    </row>
    <row r="37" spans="1:51" ht="19.899999999999999" customHeight="1" x14ac:dyDescent="0.2">
      <c r="A37" s="2">
        <v>33</v>
      </c>
      <c r="B37" s="9" t="str">
        <f t="shared" ca="1" si="0"/>
        <v>dgt</v>
      </c>
      <c r="C37" s="4">
        <f t="shared" ca="1" si="1"/>
        <v>67</v>
      </c>
      <c r="D37" s="5">
        <f t="shared" ca="1" si="2"/>
        <v>1.07</v>
      </c>
      <c r="E37" s="10">
        <f t="shared" ca="1" si="3"/>
        <v>104</v>
      </c>
      <c r="F37" s="5">
        <f t="shared" ca="1" si="4"/>
        <v>0.7</v>
      </c>
      <c r="G37" s="5">
        <f t="shared" ca="1" si="5"/>
        <v>0.63</v>
      </c>
      <c r="H37" s="6">
        <f t="shared" ca="1" si="6"/>
        <v>77.900000000000006</v>
      </c>
      <c r="I37" s="5">
        <f t="shared" ca="1" si="7"/>
        <v>0.32</v>
      </c>
      <c r="J37" s="21">
        <f t="shared" ca="1" si="8"/>
        <v>72.7</v>
      </c>
      <c r="K37" s="15">
        <f t="shared" ca="1" si="9"/>
        <v>0.65</v>
      </c>
      <c r="L37" s="13">
        <f t="shared" ca="1" si="10"/>
        <v>69.7</v>
      </c>
      <c r="M37" s="15">
        <f t="shared" ca="1" si="11"/>
        <v>1</v>
      </c>
      <c r="N37" s="13">
        <f t="shared" ca="1" si="12"/>
        <v>76.400000000000006</v>
      </c>
      <c r="O37" s="15">
        <f t="shared" ca="1" si="13"/>
        <v>0.7</v>
      </c>
      <c r="P37" s="3">
        <f t="shared" ca="1" si="14"/>
        <v>26</v>
      </c>
      <c r="Q37" s="7">
        <f t="shared" ca="1" si="15"/>
        <v>1.03</v>
      </c>
      <c r="R37" s="3">
        <f t="shared" ca="1" si="16"/>
        <v>37</v>
      </c>
      <c r="S37" s="7">
        <f t="shared" ca="1" si="17"/>
        <v>1.04</v>
      </c>
      <c r="T37" s="3">
        <f t="shared" ca="1" si="18"/>
        <v>45</v>
      </c>
      <c r="U37" s="7">
        <f t="shared" ca="1" si="19"/>
        <v>1.07</v>
      </c>
      <c r="V37" s="7">
        <f t="shared" ca="1" si="20"/>
        <v>1.1000000000000001</v>
      </c>
      <c r="W37" s="7">
        <f t="shared" ca="1" si="21"/>
        <v>1.04</v>
      </c>
      <c r="X37" s="7">
        <f t="shared" ca="1" si="22"/>
        <v>1.21</v>
      </c>
      <c r="Y37" s="7">
        <f t="shared" ca="1" si="23"/>
        <v>0.97</v>
      </c>
      <c r="Z37" s="14">
        <f t="shared" ca="1" si="24"/>
        <v>100.9</v>
      </c>
      <c r="AA37" s="8">
        <f t="shared" ca="1" si="25"/>
        <v>0.22500000000000001</v>
      </c>
      <c r="AB37" s="8">
        <f t="shared" ca="1" si="26"/>
        <v>0.54200000000000004</v>
      </c>
      <c r="AC37" s="11">
        <f t="shared" ca="1" si="27"/>
        <v>0.12217514124293791</v>
      </c>
      <c r="AD37" s="8">
        <f t="shared" ca="1" si="28"/>
        <v>0.48728813559322032</v>
      </c>
      <c r="AE37" s="8">
        <f t="shared" ca="1" si="29"/>
        <v>0.17372881355932199</v>
      </c>
      <c r="AF37" s="3">
        <f t="shared" ca="1" si="30"/>
        <v>15</v>
      </c>
      <c r="AG37" s="8">
        <f t="shared" ca="1" si="31"/>
        <v>0.70149253731343286</v>
      </c>
      <c r="AH37" s="8">
        <f t="shared" ca="1" si="32"/>
        <v>0.61194029850746268</v>
      </c>
      <c r="AI37" s="8">
        <f t="shared" ca="1" si="33"/>
        <v>0.43283582089552236</v>
      </c>
      <c r="AJ37" s="8">
        <f t="shared" ca="1" si="45"/>
        <v>0.31343283582089554</v>
      </c>
      <c r="AK37" s="8">
        <f t="shared" ca="1" si="46"/>
        <v>0.17910447761194029</v>
      </c>
      <c r="AL37" s="3">
        <f t="shared" ca="1" si="34"/>
        <v>45</v>
      </c>
      <c r="AM37" s="7">
        <f t="shared" ca="1" si="35"/>
        <v>1.03</v>
      </c>
      <c r="AN37" s="3">
        <f t="shared" ca="1" si="36"/>
        <v>34</v>
      </c>
      <c r="AO37" s="7">
        <f t="shared" ca="1" si="37"/>
        <v>0.98</v>
      </c>
      <c r="AP37" s="3">
        <f t="shared" ca="1" si="38"/>
        <v>16</v>
      </c>
      <c r="AQ37" s="7">
        <f t="shared" ca="1" si="39"/>
        <v>1.05</v>
      </c>
      <c r="AR37" s="3">
        <f t="shared" ca="1" si="40"/>
        <v>6</v>
      </c>
      <c r="AS37" s="7">
        <f t="shared" ca="1" si="41"/>
        <v>0.97</v>
      </c>
      <c r="AT37" s="2">
        <f t="shared" ca="1" si="47"/>
        <v>6</v>
      </c>
      <c r="AU37" s="17">
        <f t="shared" ca="1" si="42"/>
        <v>0.97</v>
      </c>
      <c r="AV37" s="3">
        <f t="shared" ca="1" si="43"/>
        <v>3</v>
      </c>
      <c r="AW37" s="7">
        <f t="shared" ca="1" si="44"/>
        <v>0.89</v>
      </c>
      <c r="AX37" s="3">
        <f t="shared" ca="1" si="48"/>
        <v>0</v>
      </c>
      <c r="AY37" s="7" t="str">
        <f t="shared" ca="1" si="49"/>
        <v>-</v>
      </c>
    </row>
    <row r="38" spans="1:51" ht="19.899999999999999" customHeight="1" x14ac:dyDescent="0.2">
      <c r="A38" s="2">
        <v>34</v>
      </c>
      <c r="B38" s="9" t="str">
        <f t="shared" ca="1" si="0"/>
        <v>npl</v>
      </c>
      <c r="C38" s="4">
        <f t="shared" ca="1" si="1"/>
        <v>103</v>
      </c>
      <c r="D38" s="5">
        <f t="shared" ca="1" si="2"/>
        <v>1.07</v>
      </c>
      <c r="E38" s="10">
        <f t="shared" ca="1" si="3"/>
        <v>26</v>
      </c>
      <c r="F38" s="5">
        <f t="shared" ca="1" si="4"/>
        <v>0.71</v>
      </c>
      <c r="G38" s="5">
        <f t="shared" ca="1" si="5"/>
        <v>0.7</v>
      </c>
      <c r="H38" s="6">
        <f t="shared" ca="1" si="6"/>
        <v>77.7</v>
      </c>
      <c r="I38" s="5">
        <f t="shared" ca="1" si="7"/>
        <v>0.28000000000000003</v>
      </c>
      <c r="J38" s="21">
        <f t="shared" ca="1" si="8"/>
        <v>69.400000000000006</v>
      </c>
      <c r="K38" s="15">
        <f t="shared" ca="1" si="9"/>
        <v>0.72</v>
      </c>
      <c r="L38" s="13">
        <f t="shared" ca="1" si="10"/>
        <v>66.900000000000006</v>
      </c>
      <c r="M38" s="15">
        <f t="shared" ca="1" si="11"/>
        <v>1.23</v>
      </c>
      <c r="N38" s="13">
        <f t="shared" ca="1" si="12"/>
        <v>77.2</v>
      </c>
      <c r="O38" s="15">
        <f t="shared" ca="1" si="13"/>
        <v>0.72</v>
      </c>
      <c r="P38" s="3">
        <f t="shared" ca="1" si="14"/>
        <v>17</v>
      </c>
      <c r="Q38" s="7">
        <f t="shared" ca="1" si="15"/>
        <v>0.94</v>
      </c>
      <c r="R38" s="3">
        <f t="shared" ca="1" si="16"/>
        <v>45</v>
      </c>
      <c r="S38" s="7">
        <f t="shared" ca="1" si="17"/>
        <v>1.0900000000000001</v>
      </c>
      <c r="T38" s="3">
        <f t="shared" ca="1" si="18"/>
        <v>66</v>
      </c>
      <c r="U38" s="7">
        <f t="shared" ca="1" si="19"/>
        <v>1.07</v>
      </c>
      <c r="V38" s="7">
        <f t="shared" ca="1" si="20"/>
        <v>1.1299999999999999</v>
      </c>
      <c r="W38" s="7">
        <f t="shared" ca="1" si="21"/>
        <v>1</v>
      </c>
      <c r="X38" s="7">
        <f t="shared" ca="1" si="22"/>
        <v>1.1599999999999999</v>
      </c>
      <c r="Y38" s="7">
        <f t="shared" ca="1" si="23"/>
        <v>1.05</v>
      </c>
      <c r="Z38" s="14">
        <f t="shared" ca="1" si="24"/>
        <v>108.4</v>
      </c>
      <c r="AA38" s="8">
        <f t="shared" ca="1" si="25"/>
        <v>0.23</v>
      </c>
      <c r="AB38" s="8">
        <f t="shared" ca="1" si="26"/>
        <v>0.50600000000000001</v>
      </c>
      <c r="AC38" s="11">
        <f t="shared" ca="1" si="27"/>
        <v>0.11630957586357669</v>
      </c>
      <c r="AD38" s="8">
        <f t="shared" ca="1" si="28"/>
        <v>0.46698731963270662</v>
      </c>
      <c r="AE38" s="8">
        <f t="shared" ca="1" si="29"/>
        <v>0.1770878880629646</v>
      </c>
      <c r="AF38" s="3">
        <f t="shared" ca="1" si="30"/>
        <v>22</v>
      </c>
      <c r="AG38" s="8">
        <f t="shared" ca="1" si="31"/>
        <v>0.75728155339805825</v>
      </c>
      <c r="AH38" s="8">
        <f t="shared" ca="1" si="32"/>
        <v>0.62135922330097082</v>
      </c>
      <c r="AI38" s="8">
        <f t="shared" ca="1" si="33"/>
        <v>0.4563106796116505</v>
      </c>
      <c r="AJ38" s="8">
        <f t="shared" ca="1" si="45"/>
        <v>0.28155339805825241</v>
      </c>
      <c r="AK38" s="8">
        <f t="shared" ca="1" si="46"/>
        <v>0.1553398058252427</v>
      </c>
      <c r="AL38" s="3">
        <f t="shared" ca="1" si="34"/>
        <v>48</v>
      </c>
      <c r="AM38" s="7">
        <f t="shared" ca="1" si="35"/>
        <v>1.06</v>
      </c>
      <c r="AN38" s="3">
        <f t="shared" ca="1" si="36"/>
        <v>27</v>
      </c>
      <c r="AO38" s="7">
        <f t="shared" ca="1" si="37"/>
        <v>1.04</v>
      </c>
      <c r="AP38" s="3">
        <f t="shared" ca="1" si="38"/>
        <v>7</v>
      </c>
      <c r="AQ38" s="7">
        <f t="shared" ca="1" si="39"/>
        <v>1</v>
      </c>
      <c r="AR38" s="3">
        <f t="shared" ca="1" si="40"/>
        <v>2</v>
      </c>
      <c r="AS38" s="7">
        <f t="shared" ca="1" si="41"/>
        <v>0.87</v>
      </c>
      <c r="AT38" s="2">
        <f t="shared" ca="1" si="47"/>
        <v>2</v>
      </c>
      <c r="AU38" s="17">
        <f t="shared" ca="1" si="42"/>
        <v>0.87</v>
      </c>
      <c r="AV38" s="3">
        <f t="shared" ca="1" si="43"/>
        <v>2</v>
      </c>
      <c r="AW38" s="7">
        <f t="shared" ca="1" si="44"/>
        <v>0.87</v>
      </c>
      <c r="AX38" s="3">
        <f t="shared" ca="1" si="48"/>
        <v>0</v>
      </c>
      <c r="AY38" s="7" t="str">
        <f t="shared" ca="1" si="49"/>
        <v>-</v>
      </c>
    </row>
    <row r="39" spans="1:51" ht="19.5" customHeight="1" x14ac:dyDescent="0.2">
      <c r="A39" s="2">
        <v>35</v>
      </c>
      <c r="B39" s="9" t="str">
        <f t="shared" ca="1" si="0"/>
        <v>Jame</v>
      </c>
      <c r="C39" s="4">
        <f t="shared" ca="1" si="1"/>
        <v>128</v>
      </c>
      <c r="D39" s="5">
        <f t="shared" ca="1" si="2"/>
        <v>1.07</v>
      </c>
      <c r="E39" s="10">
        <f t="shared" ca="1" si="3"/>
        <v>313</v>
      </c>
      <c r="F39" s="5">
        <f t="shared" ca="1" si="4"/>
        <v>0.67</v>
      </c>
      <c r="G39" s="5">
        <f t="shared" ca="1" si="5"/>
        <v>0.56000000000000005</v>
      </c>
      <c r="H39" s="6">
        <f t="shared" ca="1" si="6"/>
        <v>70.099999999999994</v>
      </c>
      <c r="I39" s="5">
        <f t="shared" ca="1" si="7"/>
        <v>1.41</v>
      </c>
      <c r="J39" s="21">
        <f t="shared" ca="1" si="8"/>
        <v>73.400000000000006</v>
      </c>
      <c r="K39" s="15">
        <f t="shared" ca="1" si="9"/>
        <v>0.61</v>
      </c>
      <c r="L39" s="13">
        <f t="shared" ca="1" si="10"/>
        <v>69.400000000000006</v>
      </c>
      <c r="M39" s="15">
        <f t="shared" ca="1" si="11"/>
        <v>0.98</v>
      </c>
      <c r="N39" s="13">
        <f t="shared" ca="1" si="12"/>
        <v>67.400000000000006</v>
      </c>
      <c r="O39" s="15">
        <f t="shared" ca="1" si="13"/>
        <v>0.63</v>
      </c>
      <c r="P39" s="3">
        <f t="shared" ca="1" si="14"/>
        <v>30</v>
      </c>
      <c r="Q39" s="7">
        <f t="shared" ca="1" si="15"/>
        <v>1.02</v>
      </c>
      <c r="R39" s="3">
        <f t="shared" ca="1" si="16"/>
        <v>51</v>
      </c>
      <c r="S39" s="7">
        <f t="shared" ca="1" si="17"/>
        <v>1.05</v>
      </c>
      <c r="T39" s="3">
        <f t="shared" ca="1" si="18"/>
        <v>88</v>
      </c>
      <c r="U39" s="7">
        <f t="shared" ca="1" si="19"/>
        <v>1.05</v>
      </c>
      <c r="V39" s="7">
        <f t="shared" ca="1" si="20"/>
        <v>1.05</v>
      </c>
      <c r="W39" s="7">
        <f t="shared" ca="1" si="21"/>
        <v>1.08</v>
      </c>
      <c r="X39" s="7">
        <f t="shared" ca="1" si="22"/>
        <v>1.04</v>
      </c>
      <c r="Y39" s="7">
        <f t="shared" ca="1" si="23"/>
        <v>0.91</v>
      </c>
      <c r="Z39" s="14">
        <f t="shared" ca="1" si="24"/>
        <v>92.5</v>
      </c>
      <c r="AA39" s="8">
        <f t="shared" ca="1" si="25"/>
        <v>0.18099999999999999</v>
      </c>
      <c r="AB39" s="8">
        <f t="shared" ca="1" si="26"/>
        <v>0.66299999999999992</v>
      </c>
      <c r="AC39" s="11">
        <f t="shared" ca="1" si="27"/>
        <v>0.1200971884762235</v>
      </c>
      <c r="AD39" s="8">
        <f t="shared" ca="1" si="28"/>
        <v>0.46476917736896911</v>
      </c>
      <c r="AE39" s="8">
        <f t="shared" ca="1" si="29"/>
        <v>0.15897257896563691</v>
      </c>
      <c r="AF39" s="3">
        <f t="shared" ca="1" si="30"/>
        <v>44</v>
      </c>
      <c r="AG39" s="8">
        <f t="shared" ca="1" si="31"/>
        <v>0.8203125</v>
      </c>
      <c r="AH39" s="8">
        <f t="shared" ca="1" si="32"/>
        <v>0.609375</v>
      </c>
      <c r="AI39" s="8">
        <f t="shared" ca="1" si="33"/>
        <v>0.3671875</v>
      </c>
      <c r="AJ39" s="8">
        <f t="shared" ca="1" si="45"/>
        <v>0.2109375</v>
      </c>
      <c r="AK39" s="8">
        <f t="shared" ca="1" si="46"/>
        <v>0.1640625</v>
      </c>
      <c r="AL39" s="3">
        <f t="shared" ca="1" si="34"/>
        <v>77</v>
      </c>
      <c r="AM39" s="7">
        <f t="shared" ca="1" si="35"/>
        <v>1.05</v>
      </c>
      <c r="AN39" s="3">
        <f t="shared" ca="1" si="36"/>
        <v>54</v>
      </c>
      <c r="AO39" s="7">
        <f t="shared" ca="1" si="37"/>
        <v>1.04</v>
      </c>
      <c r="AP39" s="3">
        <f t="shared" ca="1" si="38"/>
        <v>14</v>
      </c>
      <c r="AQ39" s="7">
        <f t="shared" ca="1" si="39"/>
        <v>1.01</v>
      </c>
      <c r="AR39" s="3">
        <f t="shared" ca="1" si="40"/>
        <v>21</v>
      </c>
      <c r="AS39" s="7">
        <f t="shared" ca="1" si="41"/>
        <v>1.03</v>
      </c>
      <c r="AT39" s="2">
        <f t="shared" ca="1" si="47"/>
        <v>13</v>
      </c>
      <c r="AU39" s="17">
        <f t="shared" ca="1" si="42"/>
        <v>1</v>
      </c>
      <c r="AV39" s="3">
        <f t="shared" ca="1" si="43"/>
        <v>13</v>
      </c>
      <c r="AW39" s="7">
        <f t="shared" ca="1" si="44"/>
        <v>1</v>
      </c>
      <c r="AX39" s="3">
        <f t="shared" ca="1" si="48"/>
        <v>6</v>
      </c>
      <c r="AY39" s="7">
        <f t="shared" ca="1" si="49"/>
        <v>1</v>
      </c>
    </row>
    <row r="40" spans="1:51" ht="19.899999999999999" customHeight="1" x14ac:dyDescent="0.2">
      <c r="A40" s="2">
        <v>36</v>
      </c>
      <c r="B40" s="9" t="str">
        <f t="shared" ca="1" si="0"/>
        <v>torzsi</v>
      </c>
      <c r="C40" s="4">
        <f t="shared" ca="1" si="1"/>
        <v>129</v>
      </c>
      <c r="D40" s="5">
        <f t="shared" ca="1" si="2"/>
        <v>1.06</v>
      </c>
      <c r="E40" s="10">
        <f t="shared" ca="1" si="3"/>
        <v>353</v>
      </c>
      <c r="F40" s="5">
        <f t="shared" ca="1" si="4"/>
        <v>0.7</v>
      </c>
      <c r="G40" s="5">
        <f t="shared" ca="1" si="5"/>
        <v>0.56999999999999995</v>
      </c>
      <c r="H40" s="6">
        <f t="shared" ca="1" si="6"/>
        <v>68.099999999999994</v>
      </c>
      <c r="I40" s="5">
        <f t="shared" ca="1" si="7"/>
        <v>1.1599999999999999</v>
      </c>
      <c r="J40" s="21">
        <f t="shared" ca="1" si="8"/>
        <v>74.2</v>
      </c>
      <c r="K40" s="15">
        <f t="shared" ca="1" si="9"/>
        <v>0.62</v>
      </c>
      <c r="L40" s="13">
        <f t="shared" ca="1" si="10"/>
        <v>71.400000000000006</v>
      </c>
      <c r="M40" s="15">
        <f t="shared" ca="1" si="11"/>
        <v>1</v>
      </c>
      <c r="N40" s="13">
        <f t="shared" ca="1" si="12"/>
        <v>65.400000000000006</v>
      </c>
      <c r="O40" s="15">
        <f t="shared" ca="1" si="13"/>
        <v>0.64</v>
      </c>
      <c r="P40" s="3">
        <f t="shared" ca="1" si="14"/>
        <v>28</v>
      </c>
      <c r="Q40" s="7">
        <f t="shared" ca="1" si="15"/>
        <v>1.01</v>
      </c>
      <c r="R40" s="3">
        <f t="shared" ca="1" si="16"/>
        <v>60</v>
      </c>
      <c r="S40" s="7">
        <f t="shared" ca="1" si="17"/>
        <v>1.04</v>
      </c>
      <c r="T40" s="3">
        <f t="shared" ca="1" si="18"/>
        <v>101</v>
      </c>
      <c r="U40" s="7">
        <f t="shared" ca="1" si="19"/>
        <v>1.05</v>
      </c>
      <c r="V40" s="7">
        <f t="shared" ca="1" si="20"/>
        <v>1.1200000000000001</v>
      </c>
      <c r="W40" s="7">
        <f t="shared" ca="1" si="21"/>
        <v>1</v>
      </c>
      <c r="X40" s="7">
        <f t="shared" ca="1" si="22"/>
        <v>0.95</v>
      </c>
      <c r="Y40" s="7">
        <f t="shared" ca="1" si="23"/>
        <v>0.9</v>
      </c>
      <c r="Z40" s="14">
        <f t="shared" ca="1" si="24"/>
        <v>85.1</v>
      </c>
      <c r="AA40" s="8">
        <f t="shared" ca="1" si="25"/>
        <v>0.16600000000000001</v>
      </c>
      <c r="AB40" s="8">
        <f t="shared" ca="1" si="26"/>
        <v>0.626</v>
      </c>
      <c r="AC40" s="11">
        <f t="shared" ca="1" si="27"/>
        <v>0.1038629737609329</v>
      </c>
      <c r="AD40" s="8">
        <f t="shared" ca="1" si="28"/>
        <v>0.48323615160349848</v>
      </c>
      <c r="AE40" s="8">
        <f t="shared" ca="1" si="29"/>
        <v>0.1690962099125364</v>
      </c>
      <c r="AF40" s="3">
        <f t="shared" ca="1" si="30"/>
        <v>48</v>
      </c>
      <c r="AG40" s="8">
        <f t="shared" ca="1" si="31"/>
        <v>0.79069767441860461</v>
      </c>
      <c r="AH40" s="8">
        <f t="shared" ca="1" si="32"/>
        <v>0.61240310077519378</v>
      </c>
      <c r="AI40" s="8">
        <f t="shared" ca="1" si="33"/>
        <v>0.43410852713178294</v>
      </c>
      <c r="AJ40" s="8">
        <f t="shared" ca="1" si="45"/>
        <v>0.29457364341085274</v>
      </c>
      <c r="AK40" s="8">
        <f t="shared" ca="1" si="46"/>
        <v>0.13178294573643412</v>
      </c>
      <c r="AL40" s="3">
        <f t="shared" ca="1" si="34"/>
        <v>105</v>
      </c>
      <c r="AM40" s="7">
        <f t="shared" ca="1" si="35"/>
        <v>1.06</v>
      </c>
      <c r="AN40" s="3">
        <f t="shared" ca="1" si="36"/>
        <v>66</v>
      </c>
      <c r="AO40" s="7">
        <f t="shared" ca="1" si="37"/>
        <v>1.08</v>
      </c>
      <c r="AP40" s="3">
        <f t="shared" ca="1" si="38"/>
        <v>25</v>
      </c>
      <c r="AQ40" s="7">
        <f t="shared" ca="1" si="39"/>
        <v>1.06</v>
      </c>
      <c r="AR40" s="3">
        <f t="shared" ca="1" si="40"/>
        <v>35</v>
      </c>
      <c r="AS40" s="7">
        <f t="shared" ca="1" si="41"/>
        <v>1.04</v>
      </c>
      <c r="AT40" s="2">
        <f t="shared" ca="1" si="47"/>
        <v>35</v>
      </c>
      <c r="AU40" s="17">
        <f t="shared" ca="1" si="42"/>
        <v>1.04</v>
      </c>
      <c r="AV40" s="3">
        <f t="shared" ca="1" si="43"/>
        <v>16</v>
      </c>
      <c r="AW40" s="7">
        <f t="shared" ca="1" si="44"/>
        <v>1.07</v>
      </c>
      <c r="AX40" s="3">
        <f t="shared" ca="1" si="48"/>
        <v>4</v>
      </c>
      <c r="AY40" s="7">
        <f t="shared" ca="1" si="49"/>
        <v>1.05</v>
      </c>
    </row>
    <row r="41" spans="1:51" ht="19.899999999999999" customHeight="1" x14ac:dyDescent="0.2">
      <c r="A41" s="2">
        <v>37</v>
      </c>
      <c r="B41" s="9" t="str">
        <f t="shared" ca="1" si="0"/>
        <v>Twistzz</v>
      </c>
      <c r="C41" s="4">
        <f t="shared" ca="1" si="1"/>
        <v>79</v>
      </c>
      <c r="D41" s="5">
        <f t="shared" ca="1" si="2"/>
        <v>1.06</v>
      </c>
      <c r="E41" s="10">
        <f t="shared" ca="1" si="3"/>
        <v>-29</v>
      </c>
      <c r="F41" s="5">
        <f t="shared" ca="1" si="4"/>
        <v>0.66</v>
      </c>
      <c r="G41" s="5">
        <f t="shared" ca="1" si="5"/>
        <v>0.67</v>
      </c>
      <c r="H41" s="6">
        <f t="shared" ca="1" si="6"/>
        <v>73.2</v>
      </c>
      <c r="I41" s="5">
        <f t="shared" ca="1" si="7"/>
        <v>0.38</v>
      </c>
      <c r="J41" s="21">
        <f t="shared" ca="1" si="8"/>
        <v>72.599999999999994</v>
      </c>
      <c r="K41" s="15">
        <f t="shared" ca="1" si="9"/>
        <v>0.67</v>
      </c>
      <c r="L41" s="13">
        <f t="shared" ca="1" si="10"/>
        <v>70.400000000000006</v>
      </c>
      <c r="M41" s="15">
        <f t="shared" ca="1" si="11"/>
        <v>1.1100000000000001</v>
      </c>
      <c r="N41" s="13">
        <f t="shared" ca="1" si="12"/>
        <v>74.099999999999994</v>
      </c>
      <c r="O41" s="15">
        <f t="shared" ca="1" si="13"/>
        <v>0.67</v>
      </c>
      <c r="P41" s="3">
        <f t="shared" ca="1" si="14"/>
        <v>19</v>
      </c>
      <c r="Q41" s="7">
        <f t="shared" ca="1" si="15"/>
        <v>0.99</v>
      </c>
      <c r="R41" s="3">
        <f t="shared" ca="1" si="16"/>
        <v>29</v>
      </c>
      <c r="S41" s="7">
        <f t="shared" ca="1" si="17"/>
        <v>1.04</v>
      </c>
      <c r="T41" s="3">
        <f t="shared" ca="1" si="18"/>
        <v>51</v>
      </c>
      <c r="U41" s="7">
        <f t="shared" ca="1" si="19"/>
        <v>1.02</v>
      </c>
      <c r="V41" s="7">
        <f t="shared" ca="1" si="20"/>
        <v>1.04</v>
      </c>
      <c r="W41" s="7">
        <f t="shared" ca="1" si="21"/>
        <v>1.08</v>
      </c>
      <c r="X41" s="7">
        <f t="shared" ca="1" si="22"/>
        <v>0.88</v>
      </c>
      <c r="Y41" s="7">
        <f t="shared" ca="1" si="23"/>
        <v>0.96</v>
      </c>
      <c r="Z41" s="14">
        <f t="shared" ca="1" si="24"/>
        <v>99</v>
      </c>
      <c r="AA41" s="8">
        <f t="shared" ca="1" si="25"/>
        <v>0.224</v>
      </c>
      <c r="AB41" s="8">
        <f t="shared" ca="1" si="26"/>
        <v>0.46300000000000002</v>
      </c>
      <c r="AC41" s="11">
        <f t="shared" ca="1" si="27"/>
        <v>0.1039952996474736</v>
      </c>
      <c r="AD41" s="8">
        <f t="shared" ca="1" si="28"/>
        <v>0.43419506462984719</v>
      </c>
      <c r="AE41" s="8">
        <f t="shared" ca="1" si="29"/>
        <v>0.1715628672150411</v>
      </c>
      <c r="AF41" s="3">
        <f t="shared" ca="1" si="30"/>
        <v>18</v>
      </c>
      <c r="AG41" s="8">
        <f t="shared" ca="1" si="31"/>
        <v>0.74683544303797467</v>
      </c>
      <c r="AH41" s="8">
        <f t="shared" ca="1" si="32"/>
        <v>0.55696202531645567</v>
      </c>
      <c r="AI41" s="8">
        <f t="shared" ca="1" si="33"/>
        <v>0.379746835443038</v>
      </c>
      <c r="AJ41" s="8">
        <f t="shared" ca="1" si="45"/>
        <v>0.27848101265822783</v>
      </c>
      <c r="AK41" s="8">
        <f t="shared" ca="1" si="46"/>
        <v>0.17721518987341772</v>
      </c>
      <c r="AL41" s="3">
        <f t="shared" ca="1" si="34"/>
        <v>50</v>
      </c>
      <c r="AM41" s="7">
        <f t="shared" ca="1" si="35"/>
        <v>1.05</v>
      </c>
      <c r="AN41" s="3">
        <f t="shared" ca="1" si="36"/>
        <v>28</v>
      </c>
      <c r="AO41" s="7">
        <f t="shared" ca="1" si="37"/>
        <v>1.07</v>
      </c>
      <c r="AP41" s="3">
        <f t="shared" ca="1" si="38"/>
        <v>7</v>
      </c>
      <c r="AQ41" s="7">
        <f t="shared" ca="1" si="39"/>
        <v>0.95</v>
      </c>
      <c r="AR41" s="3">
        <f t="shared" ca="1" si="40"/>
        <v>10</v>
      </c>
      <c r="AS41" s="7">
        <f t="shared" ca="1" si="41"/>
        <v>0.99</v>
      </c>
      <c r="AT41" s="2">
        <f t="shared" ca="1" si="47"/>
        <v>10</v>
      </c>
      <c r="AU41" s="17">
        <f t="shared" ca="1" si="42"/>
        <v>0.99</v>
      </c>
      <c r="AV41" s="3">
        <f t="shared" ca="1" si="43"/>
        <v>2</v>
      </c>
      <c r="AW41" s="7">
        <f t="shared" ca="1" si="44"/>
        <v>0.85</v>
      </c>
      <c r="AX41" s="3">
        <f t="shared" ca="1" si="48"/>
        <v>0</v>
      </c>
      <c r="AY41" s="7" t="str">
        <f t="shared" ca="1" si="49"/>
        <v>-</v>
      </c>
    </row>
    <row r="42" spans="1:51" ht="19.899999999999999" customHeight="1" x14ac:dyDescent="0.2">
      <c r="A42" s="2">
        <v>38</v>
      </c>
      <c r="B42" s="9" t="str">
        <f t="shared" ca="1" si="0"/>
        <v>iM</v>
      </c>
      <c r="C42" s="4">
        <f t="shared" ca="1" si="1"/>
        <v>126</v>
      </c>
      <c r="D42" s="5">
        <f t="shared" ca="1" si="2"/>
        <v>1.06</v>
      </c>
      <c r="E42" s="10">
        <f t="shared" ca="1" si="3"/>
        <v>50</v>
      </c>
      <c r="F42" s="5">
        <f t="shared" ca="1" si="4"/>
        <v>0.69</v>
      </c>
      <c r="G42" s="5">
        <f t="shared" ca="1" si="5"/>
        <v>0.67</v>
      </c>
      <c r="H42" s="6">
        <f t="shared" ca="1" si="6"/>
        <v>76.7</v>
      </c>
      <c r="I42" s="5">
        <f t="shared" ca="1" si="7"/>
        <v>0.17</v>
      </c>
      <c r="J42" s="21">
        <f t="shared" ca="1" si="8"/>
        <v>73.599999999999994</v>
      </c>
      <c r="K42" s="15">
        <f t="shared" ca="1" si="9"/>
        <v>0.69</v>
      </c>
      <c r="L42" s="13">
        <f t="shared" ca="1" si="10"/>
        <v>70.900000000000006</v>
      </c>
      <c r="M42" s="15">
        <f t="shared" ca="1" si="11"/>
        <v>1.04</v>
      </c>
      <c r="N42" s="13">
        <f t="shared" ca="1" si="12"/>
        <v>75.7</v>
      </c>
      <c r="O42" s="15">
        <f t="shared" ca="1" si="13"/>
        <v>0.68</v>
      </c>
      <c r="P42" s="3">
        <f t="shared" ca="1" si="14"/>
        <v>30</v>
      </c>
      <c r="Q42" s="7">
        <f t="shared" ca="1" si="15"/>
        <v>0.94</v>
      </c>
      <c r="R42" s="3">
        <f t="shared" ca="1" si="16"/>
        <v>64</v>
      </c>
      <c r="S42" s="7">
        <f t="shared" ca="1" si="17"/>
        <v>1</v>
      </c>
      <c r="T42" s="3">
        <f t="shared" ca="1" si="18"/>
        <v>106</v>
      </c>
      <c r="U42" s="7">
        <f t="shared" ca="1" si="19"/>
        <v>1.05</v>
      </c>
      <c r="V42" s="7">
        <f t="shared" ca="1" si="20"/>
        <v>1.04</v>
      </c>
      <c r="W42" s="7">
        <f t="shared" ca="1" si="21"/>
        <v>1.07</v>
      </c>
      <c r="X42" s="7">
        <f t="shared" ca="1" si="22"/>
        <v>1.05</v>
      </c>
      <c r="Y42" s="7">
        <f t="shared" ca="1" si="23"/>
        <v>0.98</v>
      </c>
      <c r="Z42" s="14">
        <f t="shared" ca="1" si="24"/>
        <v>101</v>
      </c>
      <c r="AA42" s="8">
        <f t="shared" ca="1" si="25"/>
        <v>0.216</v>
      </c>
      <c r="AB42" s="8">
        <f t="shared" ca="1" si="26"/>
        <v>0.54600000000000004</v>
      </c>
      <c r="AC42" s="11">
        <f t="shared" ca="1" si="27"/>
        <v>0.1181102362204724</v>
      </c>
      <c r="AD42" s="8">
        <f t="shared" ca="1" si="28"/>
        <v>0.46944131983502058</v>
      </c>
      <c r="AE42" s="8">
        <f t="shared" ca="1" si="29"/>
        <v>0.17697787776527929</v>
      </c>
      <c r="AF42" s="3">
        <f t="shared" ca="1" si="30"/>
        <v>26</v>
      </c>
      <c r="AG42" s="8">
        <f t="shared" ca="1" si="31"/>
        <v>0.80952380952380953</v>
      </c>
      <c r="AH42" s="8">
        <f t="shared" ca="1" si="32"/>
        <v>0.58730158730158732</v>
      </c>
      <c r="AI42" s="8">
        <f t="shared" ca="1" si="33"/>
        <v>0.41269841269841268</v>
      </c>
      <c r="AJ42" s="8">
        <f t="shared" ca="1" si="45"/>
        <v>0.24603174603174602</v>
      </c>
      <c r="AK42" s="8">
        <f t="shared" ca="1" si="46"/>
        <v>0.18253968253968253</v>
      </c>
      <c r="AL42" s="3">
        <f t="shared" ca="1" si="34"/>
        <v>110</v>
      </c>
      <c r="AM42" s="7">
        <f t="shared" ca="1" si="35"/>
        <v>1.07</v>
      </c>
      <c r="AN42" s="3">
        <f t="shared" ca="1" si="36"/>
        <v>63</v>
      </c>
      <c r="AO42" s="7">
        <f t="shared" ca="1" si="37"/>
        <v>1.04</v>
      </c>
      <c r="AP42" s="3">
        <f t="shared" ca="1" si="38"/>
        <v>21</v>
      </c>
      <c r="AQ42" s="7">
        <f t="shared" ca="1" si="39"/>
        <v>1.02</v>
      </c>
      <c r="AR42" s="3">
        <f t="shared" ca="1" si="40"/>
        <v>35</v>
      </c>
      <c r="AS42" s="7">
        <f t="shared" ca="1" si="41"/>
        <v>1.03</v>
      </c>
      <c r="AT42" s="2">
        <f t="shared" ca="1" si="47"/>
        <v>35</v>
      </c>
      <c r="AU42" s="17">
        <f t="shared" ca="1" si="42"/>
        <v>1.03</v>
      </c>
      <c r="AV42" s="3">
        <f t="shared" ca="1" si="43"/>
        <v>11</v>
      </c>
      <c r="AW42" s="7">
        <f t="shared" ca="1" si="44"/>
        <v>0.88</v>
      </c>
      <c r="AX42" s="3">
        <f t="shared" ca="1" si="48"/>
        <v>13</v>
      </c>
      <c r="AY42" s="7">
        <f t="shared" ca="1" si="49"/>
        <v>0.94</v>
      </c>
    </row>
    <row r="43" spans="1:51" ht="19.899999999999999" customHeight="1" x14ac:dyDescent="0.2">
      <c r="A43" s="2">
        <v>39</v>
      </c>
      <c r="B43" s="9" t="str">
        <f t="shared" ca="1" si="0"/>
        <v>xelex</v>
      </c>
      <c r="C43" s="4">
        <f t="shared" ca="1" si="1"/>
        <v>74</v>
      </c>
      <c r="D43" s="5">
        <f t="shared" ca="1" si="2"/>
        <v>1.06</v>
      </c>
      <c r="E43" s="10">
        <f t="shared" ca="1" si="3"/>
        <v>62</v>
      </c>
      <c r="F43" s="5">
        <f t="shared" ca="1" si="4"/>
        <v>0.68</v>
      </c>
      <c r="G43" s="5">
        <f t="shared" ca="1" si="5"/>
        <v>0.64</v>
      </c>
      <c r="H43" s="6">
        <f t="shared" ca="1" si="6"/>
        <v>70.8</v>
      </c>
      <c r="I43" s="5">
        <f t="shared" ca="1" si="7"/>
        <v>0.06</v>
      </c>
      <c r="J43" s="21">
        <f t="shared" ca="1" si="8"/>
        <v>71.8</v>
      </c>
      <c r="K43" s="15">
        <f t="shared" ca="1" si="9"/>
        <v>0.67</v>
      </c>
      <c r="L43" s="13">
        <f t="shared" ca="1" si="10"/>
        <v>69.5</v>
      </c>
      <c r="M43" s="15">
        <f t="shared" ca="1" si="11"/>
        <v>1.19</v>
      </c>
      <c r="N43" s="13">
        <f t="shared" ca="1" si="12"/>
        <v>70.2</v>
      </c>
      <c r="O43" s="15">
        <f t="shared" ca="1" si="13"/>
        <v>0.69</v>
      </c>
      <c r="P43" s="3">
        <f t="shared" ca="1" si="14"/>
        <v>20</v>
      </c>
      <c r="Q43" s="7">
        <f t="shared" ca="1" si="15"/>
        <v>1.07</v>
      </c>
      <c r="R43" s="3">
        <f t="shared" ca="1" si="16"/>
        <v>26</v>
      </c>
      <c r="S43" s="7">
        <f t="shared" ca="1" si="17"/>
        <v>1.05</v>
      </c>
      <c r="T43" s="3">
        <f t="shared" ca="1" si="18"/>
        <v>51</v>
      </c>
      <c r="U43" s="7">
        <f t="shared" ca="1" si="19"/>
        <v>1.04</v>
      </c>
      <c r="V43" s="7">
        <f t="shared" ca="1" si="20"/>
        <v>1.05</v>
      </c>
      <c r="W43" s="7">
        <f t="shared" ca="1" si="21"/>
        <v>1.07</v>
      </c>
      <c r="X43" s="7">
        <f t="shared" ca="1" si="22"/>
        <v>1.02</v>
      </c>
      <c r="Y43" s="7">
        <f t="shared" ca="1" si="23"/>
        <v>0.94</v>
      </c>
      <c r="Z43" s="14">
        <f t="shared" ca="1" si="24"/>
        <v>94.5</v>
      </c>
      <c r="AA43" s="8">
        <f t="shared" ca="1" si="25"/>
        <v>0.224</v>
      </c>
      <c r="AB43" s="8">
        <f t="shared" ca="1" si="26"/>
        <v>0.43799999999999989</v>
      </c>
      <c r="AC43" s="11">
        <f t="shared" ca="1" si="27"/>
        <v>9.8101265822784806E-2</v>
      </c>
      <c r="AD43" s="8">
        <f t="shared" ca="1" si="28"/>
        <v>0.45189873417721521</v>
      </c>
      <c r="AE43" s="8">
        <f t="shared" ca="1" si="29"/>
        <v>0.16772151898734181</v>
      </c>
      <c r="AF43" s="3">
        <f t="shared" ca="1" si="30"/>
        <v>14</v>
      </c>
      <c r="AG43" s="8">
        <f t="shared" ca="1" si="31"/>
        <v>0.7432432432432432</v>
      </c>
      <c r="AH43" s="8">
        <f t="shared" ca="1" si="32"/>
        <v>0.54054054054054057</v>
      </c>
      <c r="AI43" s="8">
        <f t="shared" ca="1" si="33"/>
        <v>0.41891891891891891</v>
      </c>
      <c r="AJ43" s="8">
        <f t="shared" ca="1" si="45"/>
        <v>0.32432432432432434</v>
      </c>
      <c r="AK43" s="8">
        <f t="shared" ca="1" si="46"/>
        <v>0.1891891891891892</v>
      </c>
      <c r="AL43" s="3">
        <f t="shared" ca="1" si="34"/>
        <v>58</v>
      </c>
      <c r="AM43" s="7">
        <f t="shared" ca="1" si="35"/>
        <v>1.03</v>
      </c>
      <c r="AN43" s="3">
        <f t="shared" ca="1" si="36"/>
        <v>31</v>
      </c>
      <c r="AO43" s="7">
        <f t="shared" ca="1" si="37"/>
        <v>1.03</v>
      </c>
      <c r="AP43" s="3">
        <f t="shared" ca="1" si="38"/>
        <v>11</v>
      </c>
      <c r="AQ43" s="7">
        <f t="shared" ca="1" si="39"/>
        <v>0.91</v>
      </c>
      <c r="AR43" s="3">
        <f t="shared" ca="1" si="40"/>
        <v>21</v>
      </c>
      <c r="AS43" s="7">
        <f t="shared" ca="1" si="41"/>
        <v>1.01</v>
      </c>
      <c r="AT43" s="2">
        <f t="shared" ca="1" si="47"/>
        <v>21</v>
      </c>
      <c r="AU43" s="17">
        <f t="shared" ca="1" si="42"/>
        <v>1.01</v>
      </c>
      <c r="AV43" s="3">
        <f t="shared" ca="1" si="43"/>
        <v>7</v>
      </c>
      <c r="AW43" s="7">
        <f t="shared" ca="1" si="44"/>
        <v>1.02</v>
      </c>
      <c r="AX43" s="3">
        <f t="shared" ca="1" si="48"/>
        <v>4</v>
      </c>
      <c r="AY43" s="7">
        <f t="shared" ca="1" si="49"/>
        <v>1.08</v>
      </c>
    </row>
    <row r="44" spans="1:51" ht="19.899999999999999" customHeight="1" x14ac:dyDescent="0.2">
      <c r="A44" s="2">
        <v>40</v>
      </c>
      <c r="B44" s="9" t="str">
        <f t="shared" ca="1" si="0"/>
        <v>phzy</v>
      </c>
      <c r="C44" s="4">
        <f t="shared" ca="1" si="1"/>
        <v>113</v>
      </c>
      <c r="D44" s="5">
        <f t="shared" ca="1" si="2"/>
        <v>1.06</v>
      </c>
      <c r="E44" s="10">
        <f t="shared" ca="1" si="3"/>
        <v>143</v>
      </c>
      <c r="F44" s="5">
        <f t="shared" ca="1" si="4"/>
        <v>0.69</v>
      </c>
      <c r="G44" s="5">
        <f t="shared" ca="1" si="5"/>
        <v>0.63</v>
      </c>
      <c r="H44" s="6">
        <f t="shared" ca="1" si="6"/>
        <v>71.099999999999994</v>
      </c>
      <c r="I44" s="5">
        <f t="shared" ca="1" si="7"/>
        <v>1</v>
      </c>
      <c r="J44" s="21">
        <f t="shared" ca="1" si="8"/>
        <v>71.400000000000006</v>
      </c>
      <c r="K44" s="15">
        <f t="shared" ca="1" si="9"/>
        <v>0.67</v>
      </c>
      <c r="L44" s="13">
        <f t="shared" ca="1" si="10"/>
        <v>71.2</v>
      </c>
      <c r="M44" s="15">
        <f t="shared" ca="1" si="11"/>
        <v>1.04</v>
      </c>
      <c r="N44" s="13">
        <f t="shared" ca="1" si="12"/>
        <v>69.3</v>
      </c>
      <c r="O44" s="15">
        <f t="shared" ca="1" si="13"/>
        <v>0.65</v>
      </c>
      <c r="P44" s="3">
        <f t="shared" ca="1" si="14"/>
        <v>11</v>
      </c>
      <c r="Q44" s="7">
        <f t="shared" ca="1" si="15"/>
        <v>0.87</v>
      </c>
      <c r="R44" s="3">
        <f t="shared" ca="1" si="16"/>
        <v>36</v>
      </c>
      <c r="S44" s="7">
        <f t="shared" ca="1" si="17"/>
        <v>1.02</v>
      </c>
      <c r="T44" s="3">
        <f t="shared" ca="1" si="18"/>
        <v>84</v>
      </c>
      <c r="U44" s="7">
        <f t="shared" ca="1" si="19"/>
        <v>1.03</v>
      </c>
      <c r="V44" s="7">
        <f t="shared" ca="1" si="20"/>
        <v>1.04</v>
      </c>
      <c r="W44" s="7">
        <f t="shared" ca="1" si="21"/>
        <v>1.08</v>
      </c>
      <c r="X44" s="7">
        <f t="shared" ca="1" si="22"/>
        <v>1.07</v>
      </c>
      <c r="Y44" s="7">
        <f t="shared" ca="1" si="23"/>
        <v>0.94</v>
      </c>
      <c r="Z44" s="14">
        <f t="shared" ca="1" si="24"/>
        <v>92.2</v>
      </c>
      <c r="AA44" s="8">
        <f t="shared" ca="1" si="25"/>
        <v>0.19700000000000001</v>
      </c>
      <c r="AB44" s="8">
        <f t="shared" ca="1" si="26"/>
        <v>0.59399999999999997</v>
      </c>
      <c r="AC44" s="11">
        <f t="shared" ca="1" si="27"/>
        <v>0.11729957805907169</v>
      </c>
      <c r="AD44" s="8">
        <f t="shared" ca="1" si="28"/>
        <v>0.47172995780590721</v>
      </c>
      <c r="AE44" s="8">
        <f t="shared" ca="1" si="29"/>
        <v>0.16835443037974679</v>
      </c>
      <c r="AF44" s="3">
        <f t="shared" ca="1" si="30"/>
        <v>40</v>
      </c>
      <c r="AG44" s="8">
        <f t="shared" ca="1" si="31"/>
        <v>0.76106194690265483</v>
      </c>
      <c r="AH44" s="8">
        <f t="shared" ca="1" si="32"/>
        <v>0.61061946902654862</v>
      </c>
      <c r="AI44" s="8">
        <f t="shared" ca="1" si="33"/>
        <v>0.46017699115044247</v>
      </c>
      <c r="AJ44" s="8">
        <f t="shared" ca="1" si="45"/>
        <v>0.30088495575221241</v>
      </c>
      <c r="AK44" s="8">
        <f t="shared" ca="1" si="46"/>
        <v>0.21238938053097345</v>
      </c>
      <c r="AL44" s="3">
        <f t="shared" ca="1" si="34"/>
        <v>65</v>
      </c>
      <c r="AM44" s="7">
        <f t="shared" ca="1" si="35"/>
        <v>1.08</v>
      </c>
      <c r="AN44" s="3">
        <f t="shared" ca="1" si="36"/>
        <v>30</v>
      </c>
      <c r="AO44" s="7">
        <f t="shared" ca="1" si="37"/>
        <v>1.05</v>
      </c>
      <c r="AP44" s="3">
        <f t="shared" ca="1" si="38"/>
        <v>11</v>
      </c>
      <c r="AQ44" s="7">
        <f t="shared" ca="1" si="39"/>
        <v>1.1299999999999999</v>
      </c>
      <c r="AR44" s="3">
        <f t="shared" ca="1" si="40"/>
        <v>14</v>
      </c>
      <c r="AS44" s="7">
        <f t="shared" ca="1" si="41"/>
        <v>1.08</v>
      </c>
      <c r="AT44" s="2">
        <f t="shared" ca="1" si="47"/>
        <v>14</v>
      </c>
      <c r="AU44" s="17">
        <f t="shared" ca="1" si="42"/>
        <v>1.08</v>
      </c>
      <c r="AV44" s="3">
        <f t="shared" ca="1" si="43"/>
        <v>3</v>
      </c>
      <c r="AW44" s="7">
        <f t="shared" ca="1" si="44"/>
        <v>0.95</v>
      </c>
      <c r="AX44" s="3">
        <f t="shared" ca="1" si="48"/>
        <v>0</v>
      </c>
      <c r="AY44" s="7" t="str">
        <f t="shared" ca="1" si="49"/>
        <v>-</v>
      </c>
    </row>
    <row r="45" spans="1:51" ht="19.5" customHeight="1" x14ac:dyDescent="0.2">
      <c r="A45" s="2">
        <v>41</v>
      </c>
      <c r="B45" s="9" t="str">
        <f t="shared" ca="1" si="0"/>
        <v>SunPayus</v>
      </c>
      <c r="C45" s="4">
        <f t="shared" ca="1" si="1"/>
        <v>106</v>
      </c>
      <c r="D45" s="5">
        <f t="shared" ca="1" si="2"/>
        <v>1.05</v>
      </c>
      <c r="E45" s="10">
        <f t="shared" ca="1" si="3"/>
        <v>245</v>
      </c>
      <c r="F45" s="5">
        <f t="shared" ca="1" si="4"/>
        <v>0.68</v>
      </c>
      <c r="G45" s="5">
        <f t="shared" ca="1" si="5"/>
        <v>0.57999999999999996</v>
      </c>
      <c r="H45" s="6">
        <f t="shared" ca="1" si="6"/>
        <v>69.900000000000006</v>
      </c>
      <c r="I45" s="5">
        <f t="shared" ca="1" si="7"/>
        <v>0.78</v>
      </c>
      <c r="J45" s="21">
        <f t="shared" ca="1" si="8"/>
        <v>74.3</v>
      </c>
      <c r="K45" s="15">
        <f t="shared" ca="1" si="9"/>
        <v>0.62</v>
      </c>
      <c r="L45" s="13">
        <f t="shared" ca="1" si="10"/>
        <v>71.900000000000006</v>
      </c>
      <c r="M45" s="15">
        <f t="shared" ca="1" si="11"/>
        <v>0.99</v>
      </c>
      <c r="N45" s="13">
        <f t="shared" ca="1" si="12"/>
        <v>67.2</v>
      </c>
      <c r="O45" s="15">
        <f t="shared" ca="1" si="13"/>
        <v>0.63</v>
      </c>
      <c r="P45" s="3">
        <f t="shared" ca="1" si="14"/>
        <v>22</v>
      </c>
      <c r="Q45" s="7">
        <f t="shared" ca="1" si="15"/>
        <v>0.96</v>
      </c>
      <c r="R45" s="3">
        <f t="shared" ca="1" si="16"/>
        <v>52</v>
      </c>
      <c r="S45" s="7">
        <f t="shared" ca="1" si="17"/>
        <v>1.02</v>
      </c>
      <c r="T45" s="3">
        <f t="shared" ca="1" si="18"/>
        <v>83</v>
      </c>
      <c r="U45" s="7">
        <f t="shared" ca="1" si="19"/>
        <v>1.03</v>
      </c>
      <c r="V45" s="7">
        <f t="shared" ca="1" si="20"/>
        <v>1.1000000000000001</v>
      </c>
      <c r="W45" s="7">
        <f t="shared" ca="1" si="21"/>
        <v>1.01</v>
      </c>
      <c r="X45" s="7">
        <f t="shared" ca="1" si="22"/>
        <v>1.23</v>
      </c>
      <c r="Y45" s="7">
        <f t="shared" ca="1" si="23"/>
        <v>0.91</v>
      </c>
      <c r="Z45" s="14">
        <f t="shared" ca="1" si="24"/>
        <v>89.6</v>
      </c>
      <c r="AA45" s="8">
        <f t="shared" ca="1" si="25"/>
        <v>0.184</v>
      </c>
      <c r="AB45" s="8">
        <f t="shared" ca="1" si="26"/>
        <v>0.60399999999999998</v>
      </c>
      <c r="AC45" s="11">
        <f t="shared" ca="1" si="27"/>
        <v>0.111347216319592</v>
      </c>
      <c r="AD45" s="8">
        <f t="shared" ca="1" si="28"/>
        <v>0.46961325966850831</v>
      </c>
      <c r="AE45" s="8">
        <f t="shared" ca="1" si="29"/>
        <v>0.16319592010199749</v>
      </c>
      <c r="AF45" s="3">
        <f t="shared" ca="1" si="30"/>
        <v>38</v>
      </c>
      <c r="AG45" s="8">
        <f t="shared" ca="1" si="31"/>
        <v>0.79245283018867929</v>
      </c>
      <c r="AH45" s="8">
        <f t="shared" ca="1" si="32"/>
        <v>0.59433962264150941</v>
      </c>
      <c r="AI45" s="8">
        <f t="shared" ca="1" si="33"/>
        <v>0.41509433962264153</v>
      </c>
      <c r="AJ45" s="8">
        <f t="shared" ca="1" si="45"/>
        <v>0.29245283018867924</v>
      </c>
      <c r="AK45" s="8">
        <f t="shared" ca="1" si="46"/>
        <v>0.11320754716981132</v>
      </c>
      <c r="AL45" s="3">
        <f t="shared" ca="1" si="34"/>
        <v>76</v>
      </c>
      <c r="AM45" s="7">
        <f t="shared" ca="1" si="35"/>
        <v>1.04</v>
      </c>
      <c r="AN45" s="3">
        <f t="shared" ca="1" si="36"/>
        <v>38</v>
      </c>
      <c r="AO45" s="7">
        <f t="shared" ca="1" si="37"/>
        <v>1.01</v>
      </c>
      <c r="AP45" s="3">
        <f t="shared" ca="1" si="38"/>
        <v>26</v>
      </c>
      <c r="AQ45" s="7">
        <f t="shared" ca="1" si="39"/>
        <v>1.02</v>
      </c>
      <c r="AR45" s="3">
        <f t="shared" ca="1" si="40"/>
        <v>7</v>
      </c>
      <c r="AS45" s="7">
        <f t="shared" ca="1" si="41"/>
        <v>0.95</v>
      </c>
      <c r="AT45" s="2">
        <f t="shared" ca="1" si="47"/>
        <v>7</v>
      </c>
      <c r="AU45" s="17">
        <f t="shared" ca="1" si="42"/>
        <v>0.95</v>
      </c>
      <c r="AV45" s="3">
        <f t="shared" ca="1" si="43"/>
        <v>5</v>
      </c>
      <c r="AW45" s="7">
        <f t="shared" ca="1" si="44"/>
        <v>0.86</v>
      </c>
      <c r="AX45" s="3">
        <f t="shared" ca="1" si="48"/>
        <v>0</v>
      </c>
      <c r="AY45" s="7" t="str">
        <f t="shared" ca="1" si="49"/>
        <v>-</v>
      </c>
    </row>
    <row r="46" spans="1:51" ht="19.899999999999999" customHeight="1" x14ac:dyDescent="0.2">
      <c r="A46" s="2">
        <v>42</v>
      </c>
      <c r="B46" s="9" t="str">
        <f t="shared" ca="1" si="0"/>
        <v>NertZ</v>
      </c>
      <c r="C46" s="4">
        <f t="shared" ca="1" si="1"/>
        <v>104</v>
      </c>
      <c r="D46" s="5">
        <f t="shared" ca="1" si="2"/>
        <v>1.05</v>
      </c>
      <c r="E46" s="10">
        <f t="shared" ca="1" si="3"/>
        <v>38</v>
      </c>
      <c r="F46" s="5">
        <f t="shared" ca="1" si="4"/>
        <v>0.68</v>
      </c>
      <c r="G46" s="5">
        <f t="shared" ca="1" si="5"/>
        <v>0.67</v>
      </c>
      <c r="H46" s="6">
        <f t="shared" ca="1" si="6"/>
        <v>75.900000000000006</v>
      </c>
      <c r="I46" s="5">
        <f t="shared" ca="1" si="7"/>
        <v>0.16</v>
      </c>
      <c r="J46" s="21">
        <f t="shared" ca="1" si="8"/>
        <v>71.5</v>
      </c>
      <c r="K46" s="15">
        <f t="shared" ca="1" si="9"/>
        <v>0.69</v>
      </c>
      <c r="L46" s="13">
        <f t="shared" ca="1" si="10"/>
        <v>68.5</v>
      </c>
      <c r="M46" s="15">
        <f t="shared" ca="1" si="11"/>
        <v>1.07</v>
      </c>
      <c r="N46" s="13">
        <f t="shared" ca="1" si="12"/>
        <v>74.7</v>
      </c>
      <c r="O46" s="15">
        <f t="shared" ca="1" si="13"/>
        <v>0.68</v>
      </c>
      <c r="P46" s="3">
        <f t="shared" ca="1" si="14"/>
        <v>26</v>
      </c>
      <c r="Q46" s="7">
        <f t="shared" ca="1" si="15"/>
        <v>0.89</v>
      </c>
      <c r="R46" s="3">
        <f t="shared" ca="1" si="16"/>
        <v>44</v>
      </c>
      <c r="S46" s="7">
        <f t="shared" ca="1" si="17"/>
        <v>0.92</v>
      </c>
      <c r="T46" s="3">
        <f t="shared" ca="1" si="18"/>
        <v>75</v>
      </c>
      <c r="U46" s="7">
        <f t="shared" ca="1" si="19"/>
        <v>1</v>
      </c>
      <c r="V46" s="7">
        <f t="shared" ca="1" si="20"/>
        <v>1.06</v>
      </c>
      <c r="W46" s="7">
        <f t="shared" ca="1" si="21"/>
        <v>1.04</v>
      </c>
      <c r="X46" s="7">
        <f t="shared" ca="1" si="22"/>
        <v>1.1200000000000001</v>
      </c>
      <c r="Y46" s="7">
        <f t="shared" ca="1" si="23"/>
        <v>0.95</v>
      </c>
      <c r="Z46" s="14">
        <f t="shared" ca="1" si="24"/>
        <v>100.8</v>
      </c>
      <c r="AA46" s="8">
        <f t="shared" ca="1" si="25"/>
        <v>0.254</v>
      </c>
      <c r="AB46" s="8">
        <f t="shared" ca="1" si="26"/>
        <v>0.52</v>
      </c>
      <c r="AC46" s="11">
        <f t="shared" ca="1" si="27"/>
        <v>0.13225665648188559</v>
      </c>
      <c r="AD46" s="8">
        <f t="shared" ca="1" si="28"/>
        <v>0.4552597119161938</v>
      </c>
      <c r="AE46" s="8">
        <f t="shared" ca="1" si="29"/>
        <v>0.1719773024879965</v>
      </c>
      <c r="AF46" s="3">
        <f t="shared" ca="1" si="30"/>
        <v>28</v>
      </c>
      <c r="AG46" s="8">
        <f t="shared" ca="1" si="31"/>
        <v>0.79807692307692313</v>
      </c>
      <c r="AH46" s="8">
        <f t="shared" ca="1" si="32"/>
        <v>0.60576923076923073</v>
      </c>
      <c r="AI46" s="8">
        <f t="shared" ca="1" si="33"/>
        <v>0.34615384615384615</v>
      </c>
      <c r="AJ46" s="8">
        <f t="shared" ca="1" si="45"/>
        <v>0.27884615384615385</v>
      </c>
      <c r="AK46" s="8">
        <f t="shared" ca="1" si="46"/>
        <v>0.20192307692307693</v>
      </c>
      <c r="AL46" s="3">
        <f t="shared" ca="1" si="34"/>
        <v>78</v>
      </c>
      <c r="AM46" s="7">
        <f t="shared" ca="1" si="35"/>
        <v>1.02</v>
      </c>
      <c r="AN46" s="3">
        <f t="shared" ca="1" si="36"/>
        <v>37</v>
      </c>
      <c r="AO46" s="7">
        <f t="shared" ca="1" si="37"/>
        <v>0.98</v>
      </c>
      <c r="AP46" s="3">
        <f t="shared" ca="1" si="38"/>
        <v>16</v>
      </c>
      <c r="AQ46" s="7">
        <f t="shared" ca="1" si="39"/>
        <v>0.87</v>
      </c>
      <c r="AR46" s="3">
        <f t="shared" ca="1" si="40"/>
        <v>15</v>
      </c>
      <c r="AS46" s="7">
        <f t="shared" ca="1" si="41"/>
        <v>0.9</v>
      </c>
      <c r="AT46" s="2">
        <f t="shared" ca="1" si="47"/>
        <v>13</v>
      </c>
      <c r="AU46" s="17">
        <f t="shared" ca="1" si="42"/>
        <v>0.87</v>
      </c>
      <c r="AV46" s="3">
        <f t="shared" ca="1" si="43"/>
        <v>11</v>
      </c>
      <c r="AW46" s="7">
        <f t="shared" ca="1" si="44"/>
        <v>0.9</v>
      </c>
      <c r="AX46" s="3">
        <f t="shared" ca="1" si="48"/>
        <v>0</v>
      </c>
      <c r="AY46" s="7" t="str">
        <f t="shared" ca="1" si="49"/>
        <v>-</v>
      </c>
    </row>
    <row r="47" spans="1:51" ht="19.899999999999999" customHeight="1" x14ac:dyDescent="0.2">
      <c r="A47" s="2">
        <v>43</v>
      </c>
      <c r="B47" s="9" t="str">
        <f t="shared" ca="1" si="0"/>
        <v>Jimpphat</v>
      </c>
      <c r="C47" s="4">
        <f t="shared" ca="1" si="1"/>
        <v>72</v>
      </c>
      <c r="D47" s="5">
        <f t="shared" ca="1" si="2"/>
        <v>1.05</v>
      </c>
      <c r="E47" s="10">
        <f t="shared" ca="1" si="3"/>
        <v>72</v>
      </c>
      <c r="F47" s="5">
        <f t="shared" ca="1" si="4"/>
        <v>0.65</v>
      </c>
      <c r="G47" s="5">
        <f t="shared" ca="1" si="5"/>
        <v>0.6</v>
      </c>
      <c r="H47" s="6">
        <f t="shared" ca="1" si="6"/>
        <v>70.599999999999994</v>
      </c>
      <c r="I47" s="5">
        <f t="shared" ca="1" si="7"/>
        <v>0.28999999999999998</v>
      </c>
      <c r="J47" s="21">
        <f t="shared" ca="1" si="8"/>
        <v>75.099999999999994</v>
      </c>
      <c r="K47" s="15">
        <f t="shared" ca="1" si="9"/>
        <v>0.61</v>
      </c>
      <c r="L47" s="13">
        <f t="shared" ca="1" si="10"/>
        <v>70.8</v>
      </c>
      <c r="M47" s="15">
        <f t="shared" ca="1" si="11"/>
        <v>1.03</v>
      </c>
      <c r="N47" s="13">
        <f t="shared" ca="1" si="12"/>
        <v>70.2</v>
      </c>
      <c r="O47" s="15">
        <f t="shared" ca="1" si="13"/>
        <v>0.66</v>
      </c>
      <c r="P47" s="3">
        <f t="shared" ca="1" si="14"/>
        <v>11</v>
      </c>
      <c r="Q47" s="7">
        <f t="shared" ca="1" si="15"/>
        <v>0.81</v>
      </c>
      <c r="R47" s="3">
        <f t="shared" ca="1" si="16"/>
        <v>42</v>
      </c>
      <c r="S47" s="7">
        <f t="shared" ca="1" si="17"/>
        <v>0.94</v>
      </c>
      <c r="T47" s="3">
        <f t="shared" ca="1" si="18"/>
        <v>59</v>
      </c>
      <c r="U47" s="7">
        <f t="shared" ca="1" si="19"/>
        <v>1.01</v>
      </c>
      <c r="V47" s="7">
        <f t="shared" ca="1" si="20"/>
        <v>1.1200000000000001</v>
      </c>
      <c r="W47" s="7">
        <f t="shared" ca="1" si="21"/>
        <v>0.97</v>
      </c>
      <c r="X47" s="7">
        <f t="shared" ca="1" si="22"/>
        <v>1.25</v>
      </c>
      <c r="Y47" s="7">
        <f t="shared" ca="1" si="23"/>
        <v>0.87</v>
      </c>
      <c r="Z47" s="14">
        <f t="shared" ca="1" si="24"/>
        <v>87.8</v>
      </c>
      <c r="AA47" s="8">
        <f t="shared" ca="1" si="25"/>
        <v>0.13500000000000001</v>
      </c>
      <c r="AB47" s="8">
        <f t="shared" ca="1" si="26"/>
        <v>0.56700000000000006</v>
      </c>
      <c r="AC47" s="11">
        <f t="shared" ca="1" si="27"/>
        <v>7.6673164392462634E-2</v>
      </c>
      <c r="AD47" s="8">
        <f t="shared" ca="1" si="28"/>
        <v>0.44769330734243012</v>
      </c>
      <c r="AE47" s="8">
        <f t="shared" ca="1" si="29"/>
        <v>0.15399610136452241</v>
      </c>
      <c r="AF47" s="3">
        <f t="shared" ca="1" si="30"/>
        <v>26</v>
      </c>
      <c r="AG47" s="8">
        <f t="shared" ca="1" si="31"/>
        <v>0.73611111111111116</v>
      </c>
      <c r="AH47" s="8">
        <f t="shared" ca="1" si="32"/>
        <v>0.61111111111111116</v>
      </c>
      <c r="AI47" s="8">
        <f t="shared" ca="1" si="33"/>
        <v>0.43055555555555558</v>
      </c>
      <c r="AJ47" s="8">
        <f t="shared" ca="1" si="45"/>
        <v>0.2361111111111111</v>
      </c>
      <c r="AK47" s="8">
        <f t="shared" ca="1" si="46"/>
        <v>0.1111111111111111</v>
      </c>
      <c r="AL47" s="3">
        <f t="shared" ca="1" si="34"/>
        <v>64</v>
      </c>
      <c r="AM47" s="7">
        <f t="shared" ca="1" si="35"/>
        <v>1.02</v>
      </c>
      <c r="AN47" s="3">
        <f t="shared" ca="1" si="36"/>
        <v>52</v>
      </c>
      <c r="AO47" s="7">
        <f t="shared" ca="1" si="37"/>
        <v>1.02</v>
      </c>
      <c r="AP47" s="3">
        <f t="shared" ca="1" si="38"/>
        <v>14</v>
      </c>
      <c r="AQ47" s="7">
        <f t="shared" ca="1" si="39"/>
        <v>0.99</v>
      </c>
      <c r="AR47" s="3">
        <f t="shared" ca="1" si="40"/>
        <v>17</v>
      </c>
      <c r="AS47" s="7">
        <f t="shared" ca="1" si="41"/>
        <v>0.97</v>
      </c>
      <c r="AT47" s="2">
        <f t="shared" ca="1" si="47"/>
        <v>17</v>
      </c>
      <c r="AU47" s="17">
        <f t="shared" ca="1" si="42"/>
        <v>0.97</v>
      </c>
      <c r="AV47" s="3">
        <f t="shared" ca="1" si="43"/>
        <v>12</v>
      </c>
      <c r="AW47" s="7">
        <f t="shared" ca="1" si="44"/>
        <v>0.91</v>
      </c>
      <c r="AX47" s="3">
        <f t="shared" ca="1" si="48"/>
        <v>0</v>
      </c>
      <c r="AY47" s="7" t="str">
        <f t="shared" ca="1" si="49"/>
        <v>-</v>
      </c>
    </row>
    <row r="48" spans="1:51" ht="19.899999999999999" customHeight="1" x14ac:dyDescent="0.2">
      <c r="A48" s="2">
        <v>44</v>
      </c>
      <c r="B48" s="9" t="str">
        <f t="shared" ca="1" si="0"/>
        <v>Lucky</v>
      </c>
      <c r="C48" s="4">
        <f t="shared" ca="1" si="1"/>
        <v>82</v>
      </c>
      <c r="D48" s="5">
        <f t="shared" ca="1" si="2"/>
        <v>1.05</v>
      </c>
      <c r="E48" s="10">
        <f t="shared" ca="1" si="3"/>
        <v>-5</v>
      </c>
      <c r="F48" s="5">
        <f t="shared" ca="1" si="4"/>
        <v>0.64</v>
      </c>
      <c r="G48" s="5">
        <f t="shared" ca="1" si="5"/>
        <v>0.65</v>
      </c>
      <c r="H48" s="6">
        <f t="shared" ca="1" si="6"/>
        <v>73.900000000000006</v>
      </c>
      <c r="I48" s="5">
        <f t="shared" ca="1" si="7"/>
        <v>0.39</v>
      </c>
      <c r="J48" s="21">
        <f t="shared" ca="1" si="8"/>
        <v>73.7</v>
      </c>
      <c r="K48" s="15">
        <f t="shared" ca="1" si="9"/>
        <v>0.66</v>
      </c>
      <c r="L48" s="13">
        <f t="shared" ca="1" si="10"/>
        <v>70.8</v>
      </c>
      <c r="M48" s="15">
        <f t="shared" ca="1" si="11"/>
        <v>1.06</v>
      </c>
      <c r="N48" s="13">
        <f t="shared" ca="1" si="12"/>
        <v>74.2</v>
      </c>
      <c r="O48" s="15">
        <f t="shared" ca="1" si="13"/>
        <v>0.65</v>
      </c>
      <c r="P48" s="3">
        <f t="shared" ca="1" si="14"/>
        <v>14</v>
      </c>
      <c r="Q48" s="7">
        <f t="shared" ca="1" si="15"/>
        <v>0.94</v>
      </c>
      <c r="R48" s="3">
        <f t="shared" ca="1" si="16"/>
        <v>31</v>
      </c>
      <c r="S48" s="7">
        <f t="shared" ca="1" si="17"/>
        <v>0.96</v>
      </c>
      <c r="T48" s="3">
        <f t="shared" ca="1" si="18"/>
        <v>47</v>
      </c>
      <c r="U48" s="7">
        <f t="shared" ca="1" si="19"/>
        <v>0.96</v>
      </c>
      <c r="V48" s="7">
        <f t="shared" ca="1" si="20"/>
        <v>1.01</v>
      </c>
      <c r="W48" s="7">
        <f t="shared" ca="1" si="21"/>
        <v>1.0900000000000001</v>
      </c>
      <c r="X48" s="7">
        <f t="shared" ca="1" si="22"/>
        <v>0.96</v>
      </c>
      <c r="Y48" s="7">
        <f t="shared" ca="1" si="23"/>
        <v>0.93</v>
      </c>
      <c r="Z48" s="14">
        <f t="shared" ca="1" si="24"/>
        <v>98.2</v>
      </c>
      <c r="AA48" s="8">
        <f t="shared" ca="1" si="25"/>
        <v>0.17799999999999999</v>
      </c>
      <c r="AB48" s="8">
        <f t="shared" ca="1" si="26"/>
        <v>0.57499999999999996</v>
      </c>
      <c r="AC48" s="11">
        <f t="shared" ca="1" si="27"/>
        <v>0.1023890784982935</v>
      </c>
      <c r="AD48" s="8">
        <f t="shared" ca="1" si="28"/>
        <v>0.44596131968145619</v>
      </c>
      <c r="AE48" s="8">
        <f t="shared" ca="1" si="29"/>
        <v>0.14505119453924911</v>
      </c>
      <c r="AF48" s="3">
        <f t="shared" ca="1" si="30"/>
        <v>21</v>
      </c>
      <c r="AG48" s="8">
        <f t="shared" ca="1" si="31"/>
        <v>0.63414634146341464</v>
      </c>
      <c r="AH48" s="8">
        <f t="shared" ca="1" si="32"/>
        <v>0.51219512195121952</v>
      </c>
      <c r="AI48" s="8">
        <f t="shared" ca="1" si="33"/>
        <v>0.42682926829268292</v>
      </c>
      <c r="AJ48" s="8">
        <f t="shared" ca="1" si="45"/>
        <v>0.31707317073170732</v>
      </c>
      <c r="AK48" s="8">
        <f t="shared" ca="1" si="46"/>
        <v>0.18292682926829268</v>
      </c>
      <c r="AL48" s="3">
        <f t="shared" ca="1" si="34"/>
        <v>29</v>
      </c>
      <c r="AM48" s="7">
        <f t="shared" ca="1" si="35"/>
        <v>1.05</v>
      </c>
      <c r="AN48" s="3">
        <f t="shared" ca="1" si="36"/>
        <v>15</v>
      </c>
      <c r="AO48" s="7">
        <f t="shared" ca="1" si="37"/>
        <v>0.91</v>
      </c>
      <c r="AP48" s="3">
        <f t="shared" ca="1" si="38"/>
        <v>6</v>
      </c>
      <c r="AQ48" s="7">
        <f t="shared" ca="1" si="39"/>
        <v>0.9</v>
      </c>
      <c r="AR48" s="3">
        <f t="shared" ca="1" si="40"/>
        <v>3</v>
      </c>
      <c r="AS48" s="7">
        <f t="shared" ca="1" si="41"/>
        <v>1.05</v>
      </c>
      <c r="AT48" s="2">
        <f t="shared" ca="1" si="47"/>
        <v>3</v>
      </c>
      <c r="AU48" s="17">
        <f t="shared" ca="1" si="42"/>
        <v>1.05</v>
      </c>
      <c r="AV48" s="3">
        <f t="shared" ca="1" si="43"/>
        <v>0</v>
      </c>
      <c r="AW48" s="7" t="str">
        <f t="shared" ca="1" si="44"/>
        <v>-</v>
      </c>
      <c r="AX48" s="3">
        <f t="shared" ca="1" si="48"/>
        <v>0</v>
      </c>
      <c r="AY48" s="7" t="str">
        <f t="shared" ca="1" si="49"/>
        <v>-</v>
      </c>
    </row>
    <row r="49" spans="1:51" ht="19.899999999999999" customHeight="1" x14ac:dyDescent="0.2">
      <c r="A49" s="2">
        <v>45</v>
      </c>
      <c r="B49" s="9" t="str">
        <f t="shared" ca="1" si="0"/>
        <v>MATYS</v>
      </c>
      <c r="C49" s="4">
        <f t="shared" ca="1" si="1"/>
        <v>127</v>
      </c>
      <c r="D49" s="5">
        <f t="shared" ca="1" si="2"/>
        <v>1.05</v>
      </c>
      <c r="E49" s="10">
        <f t="shared" ca="1" si="3"/>
        <v>1</v>
      </c>
      <c r="F49" s="5">
        <f t="shared" ca="1" si="4"/>
        <v>0.66</v>
      </c>
      <c r="G49" s="5">
        <f t="shared" ca="1" si="5"/>
        <v>0.66</v>
      </c>
      <c r="H49" s="6">
        <f t="shared" ca="1" si="6"/>
        <v>72.400000000000006</v>
      </c>
      <c r="I49" s="5">
        <f t="shared" ca="1" si="7"/>
        <v>0.19</v>
      </c>
      <c r="J49" s="21">
        <f t="shared" ca="1" si="8"/>
        <v>73.3</v>
      </c>
      <c r="K49" s="15">
        <f t="shared" ca="1" si="9"/>
        <v>0.67</v>
      </c>
      <c r="L49" s="13">
        <f t="shared" ca="1" si="10"/>
        <v>70.3</v>
      </c>
      <c r="M49" s="15">
        <f t="shared" ca="1" si="11"/>
        <v>1.1000000000000001</v>
      </c>
      <c r="N49" s="13">
        <f t="shared" ca="1" si="12"/>
        <v>72.5</v>
      </c>
      <c r="O49" s="15">
        <f t="shared" ca="1" si="13"/>
        <v>0.67</v>
      </c>
      <c r="P49" s="3">
        <f t="shared" ca="1" si="14"/>
        <v>29</v>
      </c>
      <c r="Q49" s="7">
        <f t="shared" ca="1" si="15"/>
        <v>0.99</v>
      </c>
      <c r="R49" s="3">
        <f t="shared" ca="1" si="16"/>
        <v>61</v>
      </c>
      <c r="S49" s="7">
        <f t="shared" ca="1" si="17"/>
        <v>1.02</v>
      </c>
      <c r="T49" s="3">
        <f t="shared" ca="1" si="18"/>
        <v>103</v>
      </c>
      <c r="U49" s="7">
        <f t="shared" ca="1" si="19"/>
        <v>1.02</v>
      </c>
      <c r="V49" s="7">
        <f t="shared" ca="1" si="20"/>
        <v>1.01</v>
      </c>
      <c r="W49" s="7">
        <f t="shared" ca="1" si="21"/>
        <v>1.08</v>
      </c>
      <c r="X49" s="7">
        <f t="shared" ca="1" si="22"/>
        <v>1.2</v>
      </c>
      <c r="Y49" s="7">
        <f t="shared" ca="1" si="23"/>
        <v>0.92</v>
      </c>
      <c r="Z49" s="14">
        <f t="shared" ca="1" si="24"/>
        <v>93.8</v>
      </c>
      <c r="AA49" s="8">
        <f t="shared" ca="1" si="25"/>
        <v>0.20300000000000001</v>
      </c>
      <c r="AB49" s="8">
        <f t="shared" ca="1" si="26"/>
        <v>0.44900000000000001</v>
      </c>
      <c r="AC49" s="11">
        <f t="shared" ca="1" si="27"/>
        <v>9.0876436781609199E-2</v>
      </c>
      <c r="AD49" s="8">
        <f t="shared" ca="1" si="28"/>
        <v>0.44755747126436779</v>
      </c>
      <c r="AE49" s="8">
        <f t="shared" ca="1" si="29"/>
        <v>0.15768678160919539</v>
      </c>
      <c r="AF49" s="3">
        <f t="shared" ca="1" si="30"/>
        <v>25</v>
      </c>
      <c r="AG49" s="8">
        <f t="shared" ca="1" si="31"/>
        <v>0.75590551181102361</v>
      </c>
      <c r="AH49" s="8">
        <f t="shared" ca="1" si="32"/>
        <v>0.59055118110236215</v>
      </c>
      <c r="AI49" s="8">
        <f t="shared" ca="1" si="33"/>
        <v>0.43307086614173229</v>
      </c>
      <c r="AJ49" s="8">
        <f t="shared" ca="1" si="45"/>
        <v>0.27559055118110237</v>
      </c>
      <c r="AK49" s="8">
        <f t="shared" ca="1" si="46"/>
        <v>0.14960629921259844</v>
      </c>
      <c r="AL49" s="3">
        <f t="shared" ca="1" si="34"/>
        <v>97</v>
      </c>
      <c r="AM49" s="7">
        <f t="shared" ca="1" si="35"/>
        <v>1.02</v>
      </c>
      <c r="AN49" s="3">
        <f t="shared" ca="1" si="36"/>
        <v>59</v>
      </c>
      <c r="AO49" s="7">
        <f t="shared" ca="1" si="37"/>
        <v>0.99</v>
      </c>
      <c r="AP49" s="3">
        <f t="shared" ca="1" si="38"/>
        <v>26</v>
      </c>
      <c r="AQ49" s="7">
        <f t="shared" ca="1" si="39"/>
        <v>1.04</v>
      </c>
      <c r="AR49" s="3">
        <f t="shared" ca="1" si="40"/>
        <v>15</v>
      </c>
      <c r="AS49" s="7">
        <f t="shared" ca="1" si="41"/>
        <v>0.97</v>
      </c>
      <c r="AT49" s="2">
        <f t="shared" ca="1" si="47"/>
        <v>15</v>
      </c>
      <c r="AU49" s="17">
        <f t="shared" ca="1" si="42"/>
        <v>0.97</v>
      </c>
      <c r="AV49" s="3">
        <f t="shared" ca="1" si="43"/>
        <v>13</v>
      </c>
      <c r="AW49" s="7">
        <f t="shared" ca="1" si="44"/>
        <v>0.99</v>
      </c>
      <c r="AX49" s="3">
        <f t="shared" ca="1" si="48"/>
        <v>0</v>
      </c>
      <c r="AY49" s="7" t="str">
        <f t="shared" ca="1" si="49"/>
        <v>-</v>
      </c>
    </row>
    <row r="50" spans="1:51" ht="19.899999999999999" customHeight="1" x14ac:dyDescent="0.2">
      <c r="A50" s="2">
        <v>46</v>
      </c>
      <c r="B50" s="9" t="str">
        <f t="shared" ca="1" si="0"/>
        <v>Krabeni</v>
      </c>
      <c r="C50" s="4">
        <f t="shared" ca="1" si="1"/>
        <v>133</v>
      </c>
      <c r="D50" s="5">
        <f t="shared" ca="1" si="2"/>
        <v>1.05</v>
      </c>
      <c r="E50" s="10">
        <f t="shared" ca="1" si="3"/>
        <v>9</v>
      </c>
      <c r="F50" s="5">
        <f t="shared" ca="1" si="4"/>
        <v>0.71</v>
      </c>
      <c r="G50" s="5">
        <f t="shared" ca="1" si="5"/>
        <v>0.71</v>
      </c>
      <c r="H50" s="6">
        <f t="shared" ca="1" si="6"/>
        <v>78.400000000000006</v>
      </c>
      <c r="I50" s="5">
        <f t="shared" ca="1" si="7"/>
        <v>-0.04</v>
      </c>
      <c r="J50" s="21">
        <f t="shared" ca="1" si="8"/>
        <v>69.900000000000006</v>
      </c>
      <c r="K50" s="15">
        <f t="shared" ca="1" si="9"/>
        <v>0.73</v>
      </c>
      <c r="L50" s="13">
        <f t="shared" ca="1" si="10"/>
        <v>68.400000000000006</v>
      </c>
      <c r="M50" s="15">
        <f t="shared" ca="1" si="11"/>
        <v>1.0900000000000001</v>
      </c>
      <c r="N50" s="13">
        <f t="shared" ca="1" si="12"/>
        <v>77.099999999999994</v>
      </c>
      <c r="O50" s="15">
        <f t="shared" ca="1" si="13"/>
        <v>0.71</v>
      </c>
      <c r="P50" s="3">
        <f t="shared" ca="1" si="14"/>
        <v>35</v>
      </c>
      <c r="Q50" s="7">
        <f t="shared" ca="1" si="15"/>
        <v>1</v>
      </c>
      <c r="R50" s="3">
        <f t="shared" ca="1" si="16"/>
        <v>60</v>
      </c>
      <c r="S50" s="7">
        <f t="shared" ca="1" si="17"/>
        <v>0.98</v>
      </c>
      <c r="T50" s="3">
        <f t="shared" ca="1" si="18"/>
        <v>108</v>
      </c>
      <c r="U50" s="7">
        <f t="shared" ca="1" si="19"/>
        <v>1.03</v>
      </c>
      <c r="V50" s="7">
        <f t="shared" ca="1" si="20"/>
        <v>1.0900000000000001</v>
      </c>
      <c r="W50" s="7">
        <f t="shared" ca="1" si="21"/>
        <v>1</v>
      </c>
      <c r="X50" s="7">
        <f t="shared" ca="1" si="22"/>
        <v>1.06</v>
      </c>
      <c r="Y50" s="7">
        <f t="shared" ca="1" si="23"/>
        <v>1</v>
      </c>
      <c r="Z50" s="14">
        <f t="shared" ca="1" si="24"/>
        <v>104.4</v>
      </c>
      <c r="AA50" s="8">
        <f t="shared" ca="1" si="25"/>
        <v>0.26200000000000001</v>
      </c>
      <c r="AB50" s="8">
        <f t="shared" ca="1" si="26"/>
        <v>0.5</v>
      </c>
      <c r="AC50" s="11">
        <f t="shared" ca="1" si="27"/>
        <v>0.13085399449035809</v>
      </c>
      <c r="AD50" s="8">
        <f t="shared" ca="1" si="28"/>
        <v>0.48347107438016529</v>
      </c>
      <c r="AE50" s="8">
        <f t="shared" ca="1" si="29"/>
        <v>0.16735537190082639</v>
      </c>
      <c r="AF50" s="3">
        <f t="shared" ca="1" si="30"/>
        <v>30</v>
      </c>
      <c r="AG50" s="8">
        <f t="shared" ca="1" si="31"/>
        <v>0.78195488721804507</v>
      </c>
      <c r="AH50" s="8">
        <f t="shared" ca="1" si="32"/>
        <v>0.61654135338345861</v>
      </c>
      <c r="AI50" s="8">
        <f t="shared" ca="1" si="33"/>
        <v>0.39097744360902253</v>
      </c>
      <c r="AJ50" s="8">
        <f t="shared" ca="1" si="45"/>
        <v>0.27067669172932329</v>
      </c>
      <c r="AK50" s="8">
        <f t="shared" ca="1" si="46"/>
        <v>0.10526315789473684</v>
      </c>
      <c r="AL50" s="3">
        <f t="shared" ca="1" si="34"/>
        <v>88</v>
      </c>
      <c r="AM50" s="7">
        <f t="shared" ca="1" si="35"/>
        <v>1</v>
      </c>
      <c r="AN50" s="3">
        <f t="shared" ca="1" si="36"/>
        <v>60</v>
      </c>
      <c r="AO50" s="7">
        <f t="shared" ca="1" si="37"/>
        <v>0.99</v>
      </c>
      <c r="AP50" s="3">
        <f t="shared" ca="1" si="38"/>
        <v>22</v>
      </c>
      <c r="AQ50" s="7">
        <f t="shared" ca="1" si="39"/>
        <v>1.02</v>
      </c>
      <c r="AR50" s="3">
        <f t="shared" ca="1" si="40"/>
        <v>18</v>
      </c>
      <c r="AS50" s="7">
        <f t="shared" ca="1" si="41"/>
        <v>1.01</v>
      </c>
      <c r="AT50" s="2">
        <f t="shared" ca="1" si="47"/>
        <v>18</v>
      </c>
      <c r="AU50" s="17">
        <f t="shared" ca="1" si="42"/>
        <v>1.01</v>
      </c>
      <c r="AV50" s="3">
        <f t="shared" ca="1" si="43"/>
        <v>12</v>
      </c>
      <c r="AW50" s="7">
        <f t="shared" ca="1" si="44"/>
        <v>1.03</v>
      </c>
      <c r="AX50" s="3">
        <f t="shared" ca="1" si="48"/>
        <v>4</v>
      </c>
      <c r="AY50" s="7">
        <f t="shared" ca="1" si="49"/>
        <v>0.97</v>
      </c>
    </row>
    <row r="51" spans="1:51" ht="19.899999999999999" customHeight="1" x14ac:dyDescent="0.2">
      <c r="A51" s="2">
        <v>47</v>
      </c>
      <c r="B51" s="9" t="str">
        <f t="shared" ca="1" si="0"/>
        <v>tN1R</v>
      </c>
      <c r="C51" s="4">
        <f t="shared" ca="1" si="1"/>
        <v>84</v>
      </c>
      <c r="D51" s="5">
        <f t="shared" ca="1" si="2"/>
        <v>1.05</v>
      </c>
      <c r="E51" s="10">
        <f t="shared" ca="1" si="3"/>
        <v>23</v>
      </c>
      <c r="F51" s="5">
        <f t="shared" ca="1" si="4"/>
        <v>0.65</v>
      </c>
      <c r="G51" s="5">
        <f t="shared" ca="1" si="5"/>
        <v>0.64</v>
      </c>
      <c r="H51" s="6">
        <f t="shared" ca="1" si="6"/>
        <v>71.7</v>
      </c>
      <c r="I51" s="5">
        <f t="shared" ca="1" si="7"/>
        <v>-0.02</v>
      </c>
      <c r="J51" s="21">
        <f t="shared" ca="1" si="8"/>
        <v>74.099999999999994</v>
      </c>
      <c r="K51" s="15">
        <f t="shared" ca="1" si="9"/>
        <v>0.66</v>
      </c>
      <c r="L51" s="13">
        <f t="shared" ca="1" si="10"/>
        <v>71.7</v>
      </c>
      <c r="M51" s="15">
        <f t="shared" ca="1" si="11"/>
        <v>1.0900000000000001</v>
      </c>
      <c r="N51" s="13">
        <f t="shared" ca="1" si="12"/>
        <v>71.3</v>
      </c>
      <c r="O51" s="15">
        <f t="shared" ca="1" si="13"/>
        <v>0.66</v>
      </c>
      <c r="P51" s="3">
        <f t="shared" ca="1" si="14"/>
        <v>25</v>
      </c>
      <c r="Q51" s="7">
        <f t="shared" ca="1" si="15"/>
        <v>0.98</v>
      </c>
      <c r="R51" s="3">
        <f t="shared" ca="1" si="16"/>
        <v>41</v>
      </c>
      <c r="S51" s="7">
        <f t="shared" ca="1" si="17"/>
        <v>1</v>
      </c>
      <c r="T51" s="3">
        <f t="shared" ca="1" si="18"/>
        <v>67</v>
      </c>
      <c r="U51" s="7">
        <f t="shared" ca="1" si="19"/>
        <v>1.03</v>
      </c>
      <c r="V51" s="7">
        <f t="shared" ca="1" si="20"/>
        <v>1.03</v>
      </c>
      <c r="W51" s="7">
        <f t="shared" ca="1" si="21"/>
        <v>1.06</v>
      </c>
      <c r="X51" s="7">
        <f t="shared" ca="1" si="22"/>
        <v>0.96</v>
      </c>
      <c r="Y51" s="7">
        <f t="shared" ca="1" si="23"/>
        <v>0.87</v>
      </c>
      <c r="Z51" s="14">
        <f t="shared" ca="1" si="24"/>
        <v>90.3</v>
      </c>
      <c r="AA51" s="8">
        <f t="shared" ca="1" si="25"/>
        <v>0.215</v>
      </c>
      <c r="AB51" s="8">
        <f t="shared" ca="1" si="26"/>
        <v>0.435</v>
      </c>
      <c r="AC51" s="11">
        <f t="shared" ca="1" si="27"/>
        <v>9.3406593406593408E-2</v>
      </c>
      <c r="AD51" s="8">
        <f t="shared" ca="1" si="28"/>
        <v>0.44615384615384618</v>
      </c>
      <c r="AE51" s="8">
        <f t="shared" ca="1" si="29"/>
        <v>0.15879120879120881</v>
      </c>
      <c r="AF51" s="3">
        <f t="shared" ca="1" si="30"/>
        <v>18</v>
      </c>
      <c r="AG51" s="8">
        <f t="shared" ca="1" si="31"/>
        <v>0.77380952380952384</v>
      </c>
      <c r="AH51" s="8">
        <f t="shared" ca="1" si="32"/>
        <v>0.5714285714285714</v>
      </c>
      <c r="AI51" s="8">
        <f t="shared" ca="1" si="33"/>
        <v>0.45238095238095238</v>
      </c>
      <c r="AJ51" s="8">
        <f t="shared" ca="1" si="45"/>
        <v>0.27380952380952384</v>
      </c>
      <c r="AK51" s="8">
        <f t="shared" ca="1" si="46"/>
        <v>0.21428571428571427</v>
      </c>
      <c r="AL51" s="3">
        <f t="shared" ca="1" si="34"/>
        <v>69</v>
      </c>
      <c r="AM51" s="7">
        <f t="shared" ca="1" si="35"/>
        <v>1.04</v>
      </c>
      <c r="AN51" s="3">
        <f t="shared" ca="1" si="36"/>
        <v>34</v>
      </c>
      <c r="AO51" s="7">
        <f t="shared" ca="1" si="37"/>
        <v>0.97</v>
      </c>
      <c r="AP51" s="3">
        <f t="shared" ca="1" si="38"/>
        <v>26</v>
      </c>
      <c r="AQ51" s="7">
        <f t="shared" ca="1" si="39"/>
        <v>1</v>
      </c>
      <c r="AR51" s="3">
        <f t="shared" ca="1" si="40"/>
        <v>28</v>
      </c>
      <c r="AS51" s="7">
        <f t="shared" ca="1" si="41"/>
        <v>1.1000000000000001</v>
      </c>
      <c r="AT51" s="2">
        <f t="shared" ca="1" si="47"/>
        <v>25</v>
      </c>
      <c r="AU51" s="17">
        <f t="shared" ca="1" si="42"/>
        <v>1.1100000000000001</v>
      </c>
      <c r="AV51" s="3">
        <f t="shared" ca="1" si="43"/>
        <v>9</v>
      </c>
      <c r="AW51" s="7">
        <f t="shared" ca="1" si="44"/>
        <v>1.01</v>
      </c>
      <c r="AX51" s="3">
        <f t="shared" ca="1" si="48"/>
        <v>6</v>
      </c>
      <c r="AY51" s="7">
        <f t="shared" ca="1" si="49"/>
        <v>1.05</v>
      </c>
    </row>
    <row r="52" spans="1:51" ht="19.899999999999999" customHeight="1" x14ac:dyDescent="0.2">
      <c r="A52" s="2">
        <v>48</v>
      </c>
      <c r="B52" s="9"/>
      <c r="C52" s="4"/>
      <c r="D52" s="5"/>
      <c r="E52" s="10"/>
      <c r="F52" s="5"/>
      <c r="G52" s="5"/>
      <c r="H52" s="6"/>
      <c r="I52" s="5"/>
      <c r="J52" s="21"/>
      <c r="K52" s="15"/>
      <c r="L52" s="13"/>
      <c r="M52" s="15"/>
      <c r="N52" s="13"/>
      <c r="O52" s="15"/>
      <c r="P52" s="3"/>
      <c r="Q52" s="7"/>
      <c r="R52" s="3"/>
      <c r="S52" s="7"/>
      <c r="T52" s="3"/>
      <c r="U52" s="7"/>
      <c r="V52" s="7"/>
      <c r="W52" s="7"/>
      <c r="X52" s="7"/>
      <c r="Y52" s="7"/>
      <c r="Z52" s="14"/>
      <c r="AA52" s="8"/>
      <c r="AB52" s="8"/>
      <c r="AC52" s="11"/>
      <c r="AD52" s="8"/>
      <c r="AE52" s="8"/>
      <c r="AF52" s="3"/>
      <c r="AG52" s="8"/>
      <c r="AH52" s="8"/>
      <c r="AI52" s="8"/>
      <c r="AJ52" s="8"/>
      <c r="AK52" s="8"/>
      <c r="AL52" s="3"/>
      <c r="AM52" s="7"/>
      <c r="AN52" s="3"/>
      <c r="AO52" s="7"/>
      <c r="AP52" s="3"/>
      <c r="AQ52" s="7"/>
      <c r="AR52" s="3"/>
      <c r="AS52" s="7"/>
      <c r="AT52" s="2"/>
      <c r="AU52" s="17"/>
      <c r="AV52" s="3"/>
      <c r="AW52" s="7"/>
      <c r="AX52" s="3"/>
      <c r="AY52" s="7"/>
    </row>
    <row r="53" spans="1:51" ht="19.899999999999999" customHeight="1" x14ac:dyDescent="0.2">
      <c r="A53" s="2">
        <v>49</v>
      </c>
      <c r="B53" s="9"/>
      <c r="C53" s="4"/>
      <c r="D53" s="5"/>
      <c r="E53" s="10"/>
      <c r="F53" s="5"/>
      <c r="G53" s="5"/>
      <c r="H53" s="6"/>
      <c r="I53" s="5"/>
      <c r="J53" s="21"/>
      <c r="K53" s="15"/>
      <c r="L53" s="13"/>
      <c r="M53" s="15"/>
      <c r="N53" s="13"/>
      <c r="O53" s="15"/>
      <c r="P53" s="3"/>
      <c r="Q53" s="7"/>
      <c r="R53" s="3"/>
      <c r="S53" s="7"/>
      <c r="T53" s="3"/>
      <c r="U53" s="7"/>
      <c r="V53" s="7"/>
      <c r="W53" s="7"/>
      <c r="X53" s="7"/>
      <c r="Y53" s="7"/>
      <c r="Z53" s="14"/>
      <c r="AA53" s="8"/>
      <c r="AB53" s="8"/>
      <c r="AC53" s="11"/>
      <c r="AD53" s="8"/>
      <c r="AE53" s="8"/>
      <c r="AF53" s="3"/>
      <c r="AG53" s="8"/>
      <c r="AH53" s="8"/>
      <c r="AI53" s="8"/>
      <c r="AJ53" s="8"/>
      <c r="AK53" s="8"/>
      <c r="AL53" s="3"/>
      <c r="AM53" s="7"/>
      <c r="AN53" s="3"/>
      <c r="AO53" s="7"/>
      <c r="AP53" s="3"/>
      <c r="AQ53" s="7"/>
      <c r="AR53" s="3"/>
      <c r="AS53" s="7"/>
      <c r="AT53" s="2"/>
      <c r="AU53" s="17"/>
      <c r="AV53" s="3"/>
      <c r="AW53" s="7"/>
      <c r="AX53" s="3"/>
      <c r="AY53" s="7"/>
    </row>
    <row r="54" spans="1:51" ht="19.899999999999999" customHeight="1" x14ac:dyDescent="0.2">
      <c r="A54" s="2">
        <v>50</v>
      </c>
      <c r="B54" s="9"/>
      <c r="C54" s="4"/>
      <c r="D54" s="5"/>
      <c r="E54" s="10"/>
      <c r="F54" s="5"/>
      <c r="G54" s="5"/>
      <c r="H54" s="6"/>
      <c r="I54" s="5"/>
      <c r="J54" s="21"/>
      <c r="K54" s="15"/>
      <c r="L54" s="13"/>
      <c r="M54" s="15"/>
      <c r="N54" s="13"/>
      <c r="O54" s="15"/>
      <c r="P54" s="3"/>
      <c r="Q54" s="7"/>
      <c r="R54" s="3"/>
      <c r="S54" s="7"/>
      <c r="T54" s="3"/>
      <c r="U54" s="7"/>
      <c r="V54" s="7"/>
      <c r="W54" s="7"/>
      <c r="X54" s="7"/>
      <c r="Y54" s="7"/>
      <c r="Z54" s="14"/>
      <c r="AA54" s="8"/>
      <c r="AB54" s="8"/>
      <c r="AC54" s="11"/>
      <c r="AD54" s="8"/>
      <c r="AE54" s="8"/>
      <c r="AF54" s="3"/>
      <c r="AG54" s="8"/>
      <c r="AH54" s="8"/>
      <c r="AI54" s="8"/>
      <c r="AJ54" s="8"/>
      <c r="AK54" s="8"/>
      <c r="AL54" s="3"/>
      <c r="AM54" s="7"/>
      <c r="AN54" s="3"/>
      <c r="AO54" s="7"/>
      <c r="AP54" s="3"/>
      <c r="AQ54" s="7"/>
      <c r="AR54" s="3"/>
      <c r="AS54" s="7"/>
      <c r="AT54" s="2"/>
      <c r="AU54" s="17"/>
      <c r="AV54" s="3"/>
      <c r="AW54" s="7"/>
      <c r="AX54" s="3"/>
      <c r="AY54" s="7"/>
    </row>
    <row r="55" spans="1:51" ht="19.899999999999999" customHeight="1" x14ac:dyDescent="0.2">
      <c r="A55" s="2">
        <v>51</v>
      </c>
      <c r="B55" s="9"/>
      <c r="C55" s="4"/>
      <c r="D55" s="5"/>
      <c r="E55" s="10"/>
      <c r="F55" s="5"/>
      <c r="G55" s="5"/>
      <c r="H55" s="6"/>
      <c r="I55" s="5"/>
      <c r="J55" s="21"/>
      <c r="K55" s="15"/>
      <c r="L55" s="13"/>
      <c r="M55" s="15"/>
      <c r="N55" s="13"/>
      <c r="O55" s="15"/>
      <c r="P55" s="3"/>
      <c r="Q55" s="7"/>
      <c r="R55" s="3"/>
      <c r="S55" s="7"/>
      <c r="T55" s="3"/>
      <c r="U55" s="7"/>
      <c r="V55" s="7"/>
      <c r="W55" s="7"/>
      <c r="X55" s="7"/>
      <c r="Y55" s="7"/>
      <c r="Z55" s="14"/>
      <c r="AA55" s="8"/>
      <c r="AB55" s="8"/>
      <c r="AC55" s="11"/>
      <c r="AD55" s="8"/>
      <c r="AE55" s="8"/>
      <c r="AF55" s="3"/>
      <c r="AG55" s="8"/>
      <c r="AH55" s="8"/>
      <c r="AI55" s="8"/>
      <c r="AJ55" s="8"/>
      <c r="AK55" s="8"/>
      <c r="AL55" s="3"/>
      <c r="AM55" s="7"/>
      <c r="AN55" s="3"/>
      <c r="AO55" s="7"/>
      <c r="AP55" s="3"/>
      <c r="AQ55" s="7"/>
      <c r="AR55" s="3"/>
      <c r="AS55" s="7"/>
      <c r="AT55" s="2"/>
      <c r="AU55" s="17"/>
      <c r="AV55" s="3"/>
      <c r="AW55" s="7"/>
      <c r="AX55" s="3"/>
      <c r="AY55" s="7"/>
    </row>
    <row r="56" spans="1:51" ht="19.899999999999999" customHeight="1" x14ac:dyDescent="0.2">
      <c r="A56" s="2">
        <v>52</v>
      </c>
      <c r="B56" s="9"/>
      <c r="C56" s="4"/>
      <c r="D56" s="5"/>
      <c r="E56" s="10"/>
      <c r="F56" s="5"/>
      <c r="G56" s="5"/>
      <c r="H56" s="6"/>
      <c r="I56" s="5"/>
      <c r="J56" s="21"/>
      <c r="K56" s="15"/>
      <c r="L56" s="13"/>
      <c r="M56" s="15"/>
      <c r="N56" s="13"/>
      <c r="O56" s="15"/>
      <c r="P56" s="3"/>
      <c r="Q56" s="7"/>
      <c r="R56" s="3"/>
      <c r="S56" s="7"/>
      <c r="T56" s="3"/>
      <c r="U56" s="7"/>
      <c r="V56" s="7"/>
      <c r="W56" s="7"/>
      <c r="X56" s="7"/>
      <c r="Y56" s="7"/>
      <c r="Z56" s="14"/>
      <c r="AA56" s="8"/>
      <c r="AB56" s="8"/>
      <c r="AC56" s="11"/>
      <c r="AD56" s="8"/>
      <c r="AE56" s="8"/>
      <c r="AF56" s="3"/>
      <c r="AG56" s="8"/>
      <c r="AH56" s="8"/>
      <c r="AI56" s="8"/>
      <c r="AJ56" s="8"/>
      <c r="AK56" s="8"/>
      <c r="AL56" s="3"/>
      <c r="AM56" s="7"/>
      <c r="AN56" s="3"/>
      <c r="AO56" s="7"/>
      <c r="AP56" s="3"/>
      <c r="AQ56" s="7"/>
      <c r="AR56" s="3"/>
      <c r="AS56" s="7"/>
      <c r="AT56" s="2"/>
      <c r="AU56" s="17"/>
      <c r="AV56" s="3"/>
      <c r="AW56" s="7"/>
      <c r="AX56" s="3"/>
      <c r="AY56" s="7"/>
    </row>
    <row r="57" spans="1:51" ht="19.899999999999999" customHeight="1" x14ac:dyDescent="0.2">
      <c r="A57" s="2">
        <v>53</v>
      </c>
      <c r="B57" s="9"/>
      <c r="C57" s="4"/>
      <c r="D57" s="5"/>
      <c r="E57" s="10"/>
      <c r="F57" s="5"/>
      <c r="G57" s="5"/>
      <c r="H57" s="6"/>
      <c r="I57" s="5"/>
      <c r="J57" s="21"/>
      <c r="K57" s="15"/>
      <c r="L57" s="13"/>
      <c r="M57" s="15"/>
      <c r="N57" s="13"/>
      <c r="O57" s="15"/>
      <c r="P57" s="3"/>
      <c r="Q57" s="7"/>
      <c r="R57" s="3"/>
      <c r="S57" s="7"/>
      <c r="T57" s="3"/>
      <c r="U57" s="7"/>
      <c r="V57" s="7"/>
      <c r="W57" s="7"/>
      <c r="X57" s="7"/>
      <c r="Y57" s="7"/>
      <c r="Z57" s="14"/>
      <c r="AA57" s="8"/>
      <c r="AB57" s="8"/>
      <c r="AC57" s="11"/>
      <c r="AD57" s="8"/>
      <c r="AE57" s="8"/>
      <c r="AF57" s="3"/>
      <c r="AG57" s="8"/>
      <c r="AH57" s="8"/>
      <c r="AI57" s="8"/>
      <c r="AJ57" s="8"/>
      <c r="AK57" s="8"/>
      <c r="AL57" s="3"/>
      <c r="AM57" s="7"/>
      <c r="AN57" s="3"/>
      <c r="AO57" s="7"/>
      <c r="AP57" s="3"/>
      <c r="AQ57" s="7"/>
      <c r="AR57" s="3"/>
      <c r="AS57" s="7"/>
      <c r="AT57" s="2"/>
      <c r="AU57" s="17"/>
      <c r="AV57" s="3"/>
      <c r="AW57" s="7"/>
      <c r="AX57" s="3"/>
      <c r="AY57" s="7"/>
    </row>
    <row r="58" spans="1:51" ht="19.899999999999999" customHeight="1" x14ac:dyDescent="0.2">
      <c r="A58" s="2">
        <v>54</v>
      </c>
      <c r="B58" s="9"/>
      <c r="C58" s="4"/>
      <c r="D58" s="5"/>
      <c r="E58" s="10"/>
      <c r="F58" s="5"/>
      <c r="G58" s="5"/>
      <c r="H58" s="6"/>
      <c r="I58" s="5"/>
      <c r="J58" s="21"/>
      <c r="K58" s="15"/>
      <c r="L58" s="13"/>
      <c r="M58" s="15"/>
      <c r="N58" s="13"/>
      <c r="O58" s="15"/>
      <c r="P58" s="3"/>
      <c r="Q58" s="7"/>
      <c r="R58" s="3"/>
      <c r="S58" s="7"/>
      <c r="T58" s="3"/>
      <c r="U58" s="7"/>
      <c r="V58" s="7"/>
      <c r="W58" s="7"/>
      <c r="X58" s="7"/>
      <c r="Y58" s="7"/>
      <c r="Z58" s="14"/>
      <c r="AA58" s="8"/>
      <c r="AB58" s="8"/>
      <c r="AC58" s="11"/>
      <c r="AD58" s="8"/>
      <c r="AE58" s="8"/>
      <c r="AF58" s="3"/>
      <c r="AG58" s="8"/>
      <c r="AH58" s="8"/>
      <c r="AI58" s="8"/>
      <c r="AJ58" s="8"/>
      <c r="AK58" s="8"/>
      <c r="AL58" s="3"/>
      <c r="AM58" s="7"/>
      <c r="AN58" s="3"/>
      <c r="AO58" s="7"/>
      <c r="AP58" s="3"/>
      <c r="AQ58" s="7"/>
      <c r="AR58" s="3"/>
      <c r="AS58" s="7"/>
      <c r="AT58" s="2"/>
      <c r="AU58" s="17"/>
      <c r="AV58" s="3"/>
      <c r="AW58" s="7"/>
      <c r="AX58" s="3"/>
      <c r="AY58" s="7"/>
    </row>
    <row r="59" spans="1:51" ht="19.899999999999999" customHeight="1" x14ac:dyDescent="0.2">
      <c r="A59" s="2">
        <v>55</v>
      </c>
      <c r="B59" s="9"/>
      <c r="C59" s="4"/>
      <c r="D59" s="5"/>
      <c r="E59" s="10"/>
      <c r="F59" s="5"/>
      <c r="G59" s="5"/>
      <c r="H59" s="6"/>
      <c r="I59" s="5"/>
      <c r="J59" s="21"/>
      <c r="K59" s="15"/>
      <c r="L59" s="13"/>
      <c r="M59" s="15"/>
      <c r="N59" s="13"/>
      <c r="O59" s="15"/>
      <c r="P59" s="3"/>
      <c r="Q59" s="7"/>
      <c r="R59" s="3"/>
      <c r="S59" s="7"/>
      <c r="T59" s="3"/>
      <c r="U59" s="7"/>
      <c r="V59" s="7"/>
      <c r="W59" s="7"/>
      <c r="X59" s="7"/>
      <c r="Y59" s="7"/>
      <c r="Z59" s="14"/>
      <c r="AA59" s="8"/>
      <c r="AB59" s="8"/>
      <c r="AC59" s="11"/>
      <c r="AD59" s="8"/>
      <c r="AE59" s="8"/>
      <c r="AF59" s="3"/>
      <c r="AG59" s="8"/>
      <c r="AH59" s="8"/>
      <c r="AI59" s="8"/>
      <c r="AJ59" s="8"/>
      <c r="AK59" s="8"/>
      <c r="AL59" s="3"/>
      <c r="AM59" s="7"/>
      <c r="AN59" s="3"/>
      <c r="AO59" s="7"/>
      <c r="AP59" s="3"/>
      <c r="AQ59" s="7"/>
      <c r="AR59" s="3"/>
      <c r="AS59" s="7"/>
      <c r="AT59" s="2"/>
      <c r="AU59" s="17"/>
      <c r="AV59" s="3"/>
      <c r="AW59" s="7"/>
      <c r="AX59" s="3"/>
      <c r="AY59" s="7"/>
    </row>
    <row r="60" spans="1:51" ht="19.899999999999999" customHeight="1" x14ac:dyDescent="0.2">
      <c r="A60" s="2">
        <v>56</v>
      </c>
      <c r="B60" s="9"/>
      <c r="C60" s="4"/>
      <c r="D60" s="5"/>
      <c r="E60" s="10"/>
      <c r="F60" s="5"/>
      <c r="G60" s="5"/>
      <c r="H60" s="6"/>
      <c r="I60" s="5"/>
      <c r="J60" s="21"/>
      <c r="K60" s="15"/>
      <c r="L60" s="13"/>
      <c r="M60" s="15"/>
      <c r="N60" s="13"/>
      <c r="O60" s="15"/>
      <c r="P60" s="3"/>
      <c r="Q60" s="7"/>
      <c r="R60" s="3"/>
      <c r="S60" s="7"/>
      <c r="T60" s="3"/>
      <c r="U60" s="7"/>
      <c r="V60" s="7"/>
      <c r="W60" s="7"/>
      <c r="X60" s="7"/>
      <c r="Y60" s="7"/>
      <c r="Z60" s="14"/>
      <c r="AA60" s="8"/>
      <c r="AB60" s="8"/>
      <c r="AC60" s="11"/>
      <c r="AD60" s="8"/>
      <c r="AE60" s="8"/>
      <c r="AF60" s="3"/>
      <c r="AG60" s="8"/>
      <c r="AH60" s="8"/>
      <c r="AI60" s="8"/>
      <c r="AJ60" s="8"/>
      <c r="AK60" s="8"/>
      <c r="AL60" s="3"/>
      <c r="AM60" s="7"/>
      <c r="AN60" s="3"/>
      <c r="AO60" s="7"/>
      <c r="AP60" s="3"/>
      <c r="AQ60" s="7"/>
      <c r="AR60" s="3"/>
      <c r="AS60" s="7"/>
      <c r="AT60" s="2"/>
      <c r="AU60" s="17"/>
      <c r="AV60" s="3"/>
      <c r="AW60" s="7"/>
      <c r="AX60" s="3"/>
      <c r="AY60" s="7"/>
    </row>
    <row r="61" spans="1:51" ht="21" customHeight="1" x14ac:dyDescent="0.2">
      <c r="A61" s="2">
        <v>57</v>
      </c>
      <c r="B61" s="9"/>
      <c r="C61" s="4"/>
      <c r="D61" s="5"/>
      <c r="E61" s="10"/>
      <c r="F61" s="5"/>
      <c r="G61" s="5"/>
      <c r="H61" s="6"/>
      <c r="I61" s="5"/>
      <c r="J61" s="21"/>
      <c r="K61" s="15"/>
      <c r="L61" s="13"/>
      <c r="M61" s="15"/>
      <c r="N61" s="13"/>
      <c r="O61" s="15"/>
      <c r="P61" s="3"/>
      <c r="Q61" s="7"/>
      <c r="R61" s="3"/>
      <c r="S61" s="7"/>
      <c r="T61" s="3"/>
      <c r="U61" s="7"/>
      <c r="V61" s="7"/>
      <c r="W61" s="7"/>
      <c r="X61" s="7"/>
      <c r="Y61" s="7"/>
      <c r="Z61" s="14"/>
      <c r="AA61" s="8"/>
      <c r="AB61" s="8"/>
      <c r="AC61" s="11"/>
      <c r="AD61" s="8"/>
      <c r="AE61" s="8"/>
      <c r="AF61" s="3"/>
      <c r="AG61" s="8"/>
      <c r="AH61" s="8"/>
      <c r="AI61" s="8"/>
      <c r="AJ61" s="8"/>
      <c r="AK61" s="8"/>
      <c r="AL61" s="3"/>
      <c r="AM61" s="7"/>
      <c r="AN61" s="3"/>
      <c r="AO61" s="7"/>
      <c r="AP61" s="3"/>
      <c r="AQ61" s="7"/>
      <c r="AR61" s="3"/>
      <c r="AS61" s="7"/>
      <c r="AT61" s="2"/>
      <c r="AU61" s="17"/>
      <c r="AV61" s="3"/>
      <c r="AW61" s="7"/>
      <c r="AX61" s="3"/>
      <c r="AY61" s="7"/>
    </row>
    <row r="62" spans="1:51" ht="21.75" customHeight="1" x14ac:dyDescent="0.2">
      <c r="A62" s="2">
        <v>58</v>
      </c>
      <c r="B62" s="9"/>
      <c r="C62" s="4"/>
      <c r="D62" s="5"/>
      <c r="E62" s="10"/>
      <c r="F62" s="5"/>
      <c r="G62" s="5"/>
      <c r="H62" s="6"/>
      <c r="I62" s="5"/>
      <c r="J62" s="21"/>
      <c r="K62" s="15"/>
      <c r="L62" s="13"/>
      <c r="M62" s="15"/>
      <c r="N62" s="13"/>
      <c r="O62" s="15"/>
      <c r="P62" s="3"/>
      <c r="Q62" s="7"/>
      <c r="R62" s="3"/>
      <c r="S62" s="7"/>
      <c r="T62" s="3"/>
      <c r="U62" s="7"/>
      <c r="V62" s="7"/>
      <c r="W62" s="7"/>
      <c r="X62" s="7"/>
      <c r="Y62" s="7"/>
      <c r="Z62" s="14"/>
      <c r="AA62" s="8"/>
      <c r="AB62" s="8"/>
      <c r="AC62" s="11"/>
      <c r="AD62" s="8"/>
      <c r="AE62" s="8"/>
      <c r="AF62" s="3"/>
      <c r="AG62" s="8"/>
      <c r="AH62" s="8"/>
      <c r="AI62" s="8"/>
      <c r="AJ62" s="8"/>
      <c r="AK62" s="8"/>
      <c r="AL62" s="3"/>
      <c r="AM62" s="7"/>
      <c r="AN62" s="3"/>
      <c r="AO62" s="7"/>
      <c r="AP62" s="3"/>
      <c r="AQ62" s="7"/>
      <c r="AR62" s="3"/>
      <c r="AS62" s="7"/>
      <c r="AT62" s="2"/>
      <c r="AU62" s="17"/>
      <c r="AV62" s="3"/>
      <c r="AW62" s="7"/>
      <c r="AX62" s="3"/>
      <c r="AY62" s="7"/>
    </row>
    <row r="63" spans="1:51" ht="19.899999999999999" customHeight="1" x14ac:dyDescent="0.2">
      <c r="A63" s="2">
        <v>59</v>
      </c>
      <c r="B63" s="9"/>
      <c r="C63" s="4"/>
      <c r="D63" s="5"/>
      <c r="E63" s="10"/>
      <c r="F63" s="5"/>
      <c r="G63" s="5"/>
      <c r="H63" s="6"/>
      <c r="I63" s="5"/>
      <c r="J63" s="21"/>
      <c r="K63" s="15"/>
      <c r="L63" s="13"/>
      <c r="M63" s="15"/>
      <c r="N63" s="13"/>
      <c r="O63" s="15"/>
      <c r="P63" s="3"/>
      <c r="Q63" s="7"/>
      <c r="R63" s="3"/>
      <c r="S63" s="7"/>
      <c r="T63" s="3"/>
      <c r="U63" s="7"/>
      <c r="V63" s="7"/>
      <c r="W63" s="7"/>
      <c r="X63" s="7"/>
      <c r="Y63" s="7"/>
      <c r="Z63" s="14"/>
      <c r="AA63" s="8"/>
      <c r="AB63" s="8"/>
      <c r="AC63" s="11"/>
      <c r="AD63" s="8"/>
      <c r="AE63" s="8"/>
      <c r="AF63" s="3"/>
      <c r="AG63" s="8"/>
      <c r="AH63" s="8"/>
      <c r="AI63" s="8"/>
      <c r="AJ63" s="8"/>
      <c r="AK63" s="8"/>
      <c r="AL63" s="3"/>
      <c r="AM63" s="7"/>
      <c r="AN63" s="3"/>
      <c r="AO63" s="7"/>
      <c r="AP63" s="3"/>
      <c r="AQ63" s="7"/>
      <c r="AR63" s="3"/>
      <c r="AS63" s="7"/>
      <c r="AT63" s="2"/>
      <c r="AU63" s="17"/>
      <c r="AV63" s="3"/>
      <c r="AW63" s="7"/>
      <c r="AX63" s="3"/>
      <c r="AY63" s="7"/>
    </row>
    <row r="64" spans="1:51" ht="19.899999999999999" customHeight="1" x14ac:dyDescent="0.2">
      <c r="A64" s="2">
        <v>60</v>
      </c>
      <c r="B64" s="9"/>
      <c r="C64" s="4"/>
      <c r="D64" s="5"/>
      <c r="E64" s="10"/>
      <c r="F64" s="5"/>
      <c r="G64" s="5"/>
      <c r="H64" s="6"/>
      <c r="I64" s="5"/>
      <c r="J64" s="21"/>
      <c r="K64" s="15"/>
      <c r="L64" s="13"/>
      <c r="M64" s="15"/>
      <c r="N64" s="13"/>
      <c r="O64" s="15"/>
      <c r="P64" s="3"/>
      <c r="Q64" s="7"/>
      <c r="R64" s="3"/>
      <c r="S64" s="7"/>
      <c r="T64" s="3"/>
      <c r="U64" s="7"/>
      <c r="V64" s="7"/>
      <c r="W64" s="7"/>
      <c r="X64" s="7"/>
      <c r="Y64" s="7"/>
      <c r="Z64" s="14"/>
      <c r="AA64" s="8"/>
      <c r="AB64" s="8"/>
      <c r="AC64" s="11"/>
      <c r="AD64" s="8"/>
      <c r="AE64" s="8"/>
      <c r="AF64" s="3"/>
      <c r="AG64" s="8"/>
      <c r="AH64" s="8"/>
      <c r="AI64" s="8"/>
      <c r="AJ64" s="8"/>
      <c r="AK64" s="8"/>
      <c r="AL64" s="3"/>
      <c r="AM64" s="7"/>
      <c r="AN64" s="3"/>
      <c r="AO64" s="7"/>
      <c r="AP64" s="3"/>
      <c r="AQ64" s="7"/>
      <c r="AR64" s="3"/>
      <c r="AS64" s="7"/>
      <c r="AT64" s="2"/>
      <c r="AU64" s="17"/>
      <c r="AV64" s="3"/>
      <c r="AW64" s="7"/>
      <c r="AX64" s="3"/>
      <c r="AY64" s="7"/>
    </row>
    <row r="65" spans="1:51" ht="19.899999999999999" customHeight="1" x14ac:dyDescent="0.2">
      <c r="A65" s="2"/>
      <c r="B65" s="9"/>
      <c r="C65" s="4"/>
      <c r="D65" s="5"/>
      <c r="E65" s="10"/>
      <c r="F65" s="5"/>
      <c r="G65" s="5"/>
      <c r="H65" s="6"/>
      <c r="I65" s="5"/>
      <c r="J65" s="21"/>
      <c r="K65" s="15"/>
      <c r="L65" s="13"/>
      <c r="M65" s="15"/>
      <c r="N65" s="13"/>
      <c r="O65" s="15"/>
      <c r="P65" s="3"/>
      <c r="Q65" s="7"/>
      <c r="R65" s="3"/>
      <c r="S65" s="7"/>
      <c r="T65" s="3"/>
      <c r="U65" s="7"/>
      <c r="V65" s="7"/>
      <c r="W65" s="7"/>
      <c r="X65" s="7"/>
      <c r="Y65" s="7"/>
      <c r="Z65" s="14"/>
      <c r="AA65" s="8"/>
      <c r="AB65" s="8"/>
      <c r="AC65" s="11"/>
      <c r="AD65" s="8"/>
      <c r="AE65" s="8"/>
      <c r="AF65" s="3"/>
      <c r="AG65" s="8"/>
      <c r="AH65" s="8"/>
      <c r="AI65" s="8"/>
      <c r="AJ65" s="8"/>
      <c r="AK65" s="8"/>
      <c r="AL65" s="3"/>
      <c r="AM65" s="7"/>
      <c r="AN65" s="3"/>
      <c r="AO65" s="7"/>
      <c r="AP65" s="3"/>
      <c r="AQ65" s="7"/>
      <c r="AR65" s="3"/>
      <c r="AS65" s="7"/>
      <c r="AT65" s="2"/>
      <c r="AU65" s="17"/>
      <c r="AV65" s="3"/>
      <c r="AW65" s="7"/>
      <c r="AX65" s="3"/>
      <c r="AY65" s="7"/>
    </row>
    <row r="66" spans="1:51" ht="19.899999999999999" customHeight="1" x14ac:dyDescent="0.2">
      <c r="A66" s="2"/>
      <c r="B66" s="9"/>
      <c r="C66" s="4"/>
      <c r="D66" s="5"/>
      <c r="E66" s="10"/>
      <c r="F66" s="5"/>
      <c r="G66" s="5"/>
      <c r="H66" s="6"/>
      <c r="I66" s="5"/>
      <c r="J66" s="21"/>
      <c r="K66" s="15"/>
      <c r="L66" s="13"/>
      <c r="M66" s="15"/>
      <c r="N66" s="13"/>
      <c r="O66" s="15"/>
      <c r="P66" s="3"/>
      <c r="Q66" s="7"/>
      <c r="R66" s="3"/>
      <c r="S66" s="7"/>
      <c r="T66" s="3"/>
      <c r="U66" s="7"/>
      <c r="V66" s="7"/>
      <c r="W66" s="7"/>
      <c r="X66" s="7"/>
      <c r="Y66" s="7"/>
      <c r="Z66" s="14"/>
      <c r="AA66" s="8"/>
      <c r="AB66" s="8"/>
      <c r="AC66" s="11"/>
      <c r="AD66" s="8"/>
      <c r="AE66" s="8"/>
      <c r="AF66" s="3"/>
      <c r="AG66" s="8"/>
      <c r="AH66" s="8"/>
      <c r="AI66" s="8"/>
      <c r="AJ66" s="8"/>
      <c r="AK66" s="8"/>
      <c r="AL66" s="3"/>
      <c r="AM66" s="7"/>
      <c r="AN66" s="3"/>
      <c r="AO66" s="7"/>
      <c r="AP66" s="3"/>
      <c r="AQ66" s="7"/>
      <c r="AR66" s="3"/>
      <c r="AS66" s="7"/>
      <c r="AT66" s="2"/>
      <c r="AU66" s="17"/>
      <c r="AV66" s="3"/>
      <c r="AW66" s="7"/>
      <c r="AX66" s="3"/>
      <c r="AY66" s="7"/>
    </row>
    <row r="67" spans="1:51" ht="19.899999999999999" customHeight="1" x14ac:dyDescent="0.2">
      <c r="A67" s="2"/>
      <c r="B67" s="9"/>
      <c r="C67" s="4"/>
      <c r="D67" s="5"/>
      <c r="E67" s="10"/>
      <c r="F67" s="5"/>
      <c r="G67" s="5"/>
      <c r="H67" s="6"/>
      <c r="I67" s="5"/>
      <c r="J67" s="21"/>
      <c r="K67" s="15"/>
      <c r="L67" s="13"/>
      <c r="M67" s="15"/>
      <c r="N67" s="13"/>
      <c r="O67" s="15"/>
      <c r="P67" s="3"/>
      <c r="Q67" s="7"/>
      <c r="R67" s="3"/>
      <c r="S67" s="7"/>
      <c r="T67" s="3"/>
      <c r="U67" s="7"/>
      <c r="V67" s="7"/>
      <c r="W67" s="7"/>
      <c r="X67" s="7"/>
      <c r="Y67" s="7"/>
      <c r="Z67" s="14"/>
      <c r="AA67" s="8"/>
      <c r="AB67" s="8"/>
      <c r="AC67" s="11"/>
      <c r="AD67" s="8"/>
      <c r="AE67" s="8"/>
      <c r="AF67" s="3"/>
      <c r="AG67" s="8"/>
      <c r="AH67" s="8"/>
      <c r="AI67" s="8"/>
      <c r="AJ67" s="8"/>
      <c r="AK67" s="8"/>
      <c r="AL67" s="3"/>
      <c r="AM67" s="7"/>
      <c r="AN67" s="3"/>
      <c r="AO67" s="7"/>
      <c r="AP67" s="3"/>
      <c r="AQ67" s="7"/>
      <c r="AR67" s="3"/>
      <c r="AS67" s="7"/>
      <c r="AT67" s="2"/>
      <c r="AU67" s="17"/>
      <c r="AV67" s="3"/>
      <c r="AW67" s="7"/>
      <c r="AX67" s="3"/>
      <c r="AY67" s="7"/>
    </row>
    <row r="68" spans="1:51" ht="19.899999999999999" customHeight="1" x14ac:dyDescent="0.2">
      <c r="A68" s="2"/>
      <c r="B68" s="9"/>
      <c r="C68" s="4"/>
      <c r="D68" s="5"/>
      <c r="E68" s="10"/>
      <c r="F68" s="5"/>
      <c r="G68" s="5"/>
      <c r="H68" s="6"/>
      <c r="I68" s="5"/>
      <c r="J68" s="21"/>
      <c r="K68" s="15"/>
      <c r="L68" s="13"/>
      <c r="M68" s="15"/>
      <c r="N68" s="13"/>
      <c r="O68" s="15"/>
      <c r="P68" s="3"/>
      <c r="Q68" s="7"/>
      <c r="R68" s="3"/>
      <c r="S68" s="7"/>
      <c r="T68" s="3"/>
      <c r="U68" s="7"/>
      <c r="V68" s="7"/>
      <c r="W68" s="7"/>
      <c r="X68" s="7"/>
      <c r="Y68" s="7"/>
      <c r="Z68" s="14"/>
      <c r="AA68" s="8"/>
      <c r="AB68" s="8"/>
      <c r="AC68" s="11"/>
      <c r="AD68" s="8"/>
      <c r="AE68" s="8"/>
      <c r="AF68" s="3"/>
      <c r="AG68" s="8"/>
      <c r="AH68" s="8"/>
      <c r="AI68" s="8"/>
      <c r="AJ68" s="8"/>
      <c r="AK68" s="8"/>
      <c r="AL68" s="3"/>
      <c r="AM68" s="7"/>
      <c r="AN68" s="3"/>
      <c r="AO68" s="7"/>
      <c r="AP68" s="3"/>
      <c r="AQ68" s="7"/>
      <c r="AR68" s="3"/>
      <c r="AS68" s="7"/>
      <c r="AT68" s="2"/>
      <c r="AU68" s="17"/>
      <c r="AV68" s="3"/>
      <c r="AW68" s="7"/>
      <c r="AX68" s="3"/>
      <c r="AY68" s="7"/>
    </row>
    <row r="69" spans="1:51" ht="19.899999999999999" customHeight="1" x14ac:dyDescent="0.2">
      <c r="A69" s="2"/>
      <c r="B69" s="9"/>
      <c r="C69" s="4"/>
      <c r="D69" s="5"/>
      <c r="E69" s="10"/>
      <c r="F69" s="5"/>
      <c r="G69" s="5"/>
      <c r="H69" s="6"/>
      <c r="I69" s="5"/>
      <c r="J69" s="21"/>
      <c r="K69" s="15"/>
      <c r="L69" s="13"/>
      <c r="M69" s="15"/>
      <c r="N69" s="13"/>
      <c r="O69" s="15"/>
      <c r="P69" s="3"/>
      <c r="Q69" s="7"/>
      <c r="R69" s="3"/>
      <c r="S69" s="7"/>
      <c r="T69" s="3"/>
      <c r="U69" s="7"/>
      <c r="V69" s="7"/>
      <c r="W69" s="7"/>
      <c r="X69" s="7"/>
      <c r="Y69" s="7"/>
      <c r="Z69" s="14"/>
      <c r="AA69" s="8"/>
      <c r="AB69" s="8"/>
      <c r="AC69" s="11"/>
      <c r="AD69" s="8"/>
      <c r="AE69" s="8"/>
      <c r="AF69" s="3"/>
      <c r="AG69" s="8"/>
      <c r="AH69" s="8"/>
      <c r="AI69" s="8"/>
      <c r="AJ69" s="8"/>
      <c r="AK69" s="8"/>
      <c r="AL69" s="3"/>
      <c r="AM69" s="7"/>
      <c r="AN69" s="3"/>
      <c r="AO69" s="7"/>
      <c r="AP69" s="3"/>
      <c r="AQ69" s="7"/>
      <c r="AR69" s="3"/>
      <c r="AS69" s="7"/>
      <c r="AT69" s="2"/>
      <c r="AU69" s="17"/>
      <c r="AV69" s="3"/>
      <c r="AW69" s="7"/>
      <c r="AX69" s="3"/>
      <c r="AY69" s="7"/>
    </row>
    <row r="70" spans="1:51" ht="19.899999999999999" customHeight="1" x14ac:dyDescent="0.2">
      <c r="A70" s="2"/>
      <c r="B70" s="9"/>
      <c r="C70" s="4"/>
      <c r="D70" s="5"/>
      <c r="E70" s="10"/>
      <c r="F70" s="5"/>
      <c r="G70" s="5"/>
      <c r="H70" s="6"/>
      <c r="I70" s="5"/>
      <c r="J70" s="21"/>
      <c r="K70" s="15"/>
      <c r="L70" s="13"/>
      <c r="M70" s="15"/>
      <c r="N70" s="13"/>
      <c r="O70" s="15"/>
      <c r="P70" s="3"/>
      <c r="Q70" s="7"/>
      <c r="R70" s="3"/>
      <c r="S70" s="7"/>
      <c r="T70" s="3"/>
      <c r="U70" s="7"/>
      <c r="V70" s="7"/>
      <c r="W70" s="7"/>
      <c r="X70" s="7"/>
      <c r="Y70" s="7"/>
      <c r="Z70" s="14"/>
      <c r="AA70" s="8"/>
      <c r="AB70" s="8"/>
      <c r="AC70" s="11"/>
      <c r="AD70" s="8"/>
      <c r="AE70" s="8"/>
      <c r="AF70" s="3"/>
      <c r="AG70" s="8"/>
      <c r="AH70" s="8"/>
      <c r="AI70" s="8"/>
      <c r="AJ70" s="8"/>
      <c r="AK70" s="8"/>
      <c r="AL70" s="3"/>
      <c r="AM70" s="7"/>
      <c r="AN70" s="3"/>
      <c r="AO70" s="7"/>
      <c r="AP70" s="3"/>
      <c r="AQ70" s="7"/>
      <c r="AR70" s="3"/>
      <c r="AS70" s="7"/>
      <c r="AT70" s="2"/>
      <c r="AU70" s="17"/>
      <c r="AV70" s="3"/>
      <c r="AW70" s="7"/>
      <c r="AX70" s="3"/>
      <c r="AY70" s="7"/>
    </row>
    <row r="71" spans="1:51" ht="19.899999999999999" customHeight="1" x14ac:dyDescent="0.2">
      <c r="A71" s="2"/>
      <c r="B71" s="9"/>
      <c r="C71" s="4"/>
      <c r="D71" s="5"/>
      <c r="E71" s="10"/>
      <c r="F71" s="5"/>
      <c r="G71" s="5"/>
      <c r="H71" s="6"/>
      <c r="I71" s="5"/>
      <c r="J71" s="21"/>
      <c r="K71" s="15"/>
      <c r="L71" s="13"/>
      <c r="M71" s="15"/>
      <c r="N71" s="13"/>
      <c r="O71" s="15"/>
      <c r="P71" s="3"/>
      <c r="Q71" s="7"/>
      <c r="R71" s="3"/>
      <c r="S71" s="7"/>
      <c r="T71" s="3"/>
      <c r="U71" s="7"/>
      <c r="V71" s="7"/>
      <c r="W71" s="7"/>
      <c r="X71" s="7"/>
      <c r="Y71" s="7"/>
      <c r="Z71" s="14"/>
      <c r="AA71" s="8"/>
      <c r="AB71" s="8"/>
      <c r="AC71" s="11"/>
      <c r="AD71" s="8"/>
      <c r="AE71" s="8"/>
      <c r="AF71" s="3"/>
      <c r="AG71" s="8"/>
      <c r="AH71" s="8"/>
      <c r="AI71" s="8"/>
      <c r="AJ71" s="8"/>
      <c r="AK71" s="8"/>
      <c r="AL71" s="3"/>
      <c r="AM71" s="7"/>
      <c r="AN71" s="3"/>
      <c r="AO71" s="7"/>
      <c r="AP71" s="3"/>
      <c r="AQ71" s="7"/>
      <c r="AR71" s="3"/>
      <c r="AS71" s="7"/>
      <c r="AT71" s="2"/>
      <c r="AU71" s="17"/>
      <c r="AV71" s="3"/>
      <c r="AW71" s="7"/>
      <c r="AX71" s="3"/>
      <c r="AY71" s="7"/>
    </row>
    <row r="72" spans="1:51" ht="19.899999999999999" customHeight="1" x14ac:dyDescent="0.2">
      <c r="A72" s="2"/>
      <c r="B72" s="9"/>
      <c r="C72" s="4"/>
      <c r="D72" s="5"/>
      <c r="E72" s="10"/>
      <c r="F72" s="5"/>
      <c r="G72" s="5"/>
      <c r="H72" s="6"/>
      <c r="I72" s="5"/>
      <c r="J72" s="21"/>
      <c r="K72" s="15"/>
      <c r="L72" s="13"/>
      <c r="M72" s="15"/>
      <c r="N72" s="13"/>
      <c r="O72" s="15"/>
      <c r="P72" s="3"/>
      <c r="Q72" s="7"/>
      <c r="R72" s="3"/>
      <c r="S72" s="7"/>
      <c r="T72" s="3"/>
      <c r="U72" s="7"/>
      <c r="V72" s="7"/>
      <c r="W72" s="7"/>
      <c r="X72" s="7"/>
      <c r="Y72" s="7"/>
      <c r="Z72" s="14"/>
      <c r="AA72" s="8"/>
      <c r="AB72" s="8"/>
      <c r="AC72" s="11"/>
      <c r="AD72" s="8"/>
      <c r="AE72" s="8"/>
      <c r="AF72" s="3"/>
      <c r="AG72" s="8"/>
      <c r="AH72" s="8"/>
      <c r="AI72" s="8"/>
      <c r="AJ72" s="8"/>
      <c r="AK72" s="8"/>
      <c r="AL72" s="3"/>
      <c r="AM72" s="7"/>
      <c r="AN72" s="3"/>
      <c r="AO72" s="7"/>
      <c r="AP72" s="3"/>
      <c r="AQ72" s="7"/>
      <c r="AR72" s="3"/>
      <c r="AS72" s="7"/>
      <c r="AT72" s="2"/>
      <c r="AU72" s="17"/>
      <c r="AV72" s="3"/>
      <c r="AW72" s="7"/>
      <c r="AX72" s="3"/>
      <c r="AY72" s="7"/>
    </row>
    <row r="73" spans="1:51" ht="19.899999999999999" customHeight="1" x14ac:dyDescent="0.2">
      <c r="A73" s="2"/>
      <c r="B73" s="9"/>
      <c r="C73" s="4"/>
      <c r="D73" s="5"/>
      <c r="E73" s="10"/>
      <c r="F73" s="5"/>
      <c r="G73" s="5"/>
      <c r="H73" s="6"/>
      <c r="I73" s="5"/>
      <c r="J73" s="21"/>
      <c r="K73" s="15"/>
      <c r="L73" s="13"/>
      <c r="M73" s="15"/>
      <c r="N73" s="13"/>
      <c r="O73" s="15"/>
      <c r="P73" s="3"/>
      <c r="Q73" s="7"/>
      <c r="R73" s="3"/>
      <c r="S73" s="7"/>
      <c r="T73" s="3"/>
      <c r="U73" s="7"/>
      <c r="V73" s="7"/>
      <c r="W73" s="7"/>
      <c r="X73" s="7"/>
      <c r="Y73" s="7"/>
      <c r="Z73" s="14"/>
      <c r="AA73" s="8"/>
      <c r="AB73" s="8"/>
      <c r="AC73" s="11"/>
      <c r="AD73" s="8"/>
      <c r="AE73" s="8"/>
      <c r="AF73" s="3"/>
      <c r="AG73" s="8"/>
      <c r="AH73" s="8"/>
      <c r="AI73" s="8"/>
      <c r="AJ73" s="8"/>
      <c r="AK73" s="8"/>
      <c r="AL73" s="3"/>
      <c r="AM73" s="7"/>
      <c r="AN73" s="3"/>
      <c r="AO73" s="7"/>
      <c r="AP73" s="3"/>
      <c r="AQ73" s="7"/>
      <c r="AR73" s="3"/>
      <c r="AS73" s="7"/>
      <c r="AT73" s="2"/>
      <c r="AU73" s="17"/>
      <c r="AV73" s="3"/>
      <c r="AW73" s="7"/>
      <c r="AX73" s="3"/>
      <c r="AY73" s="7"/>
    </row>
    <row r="74" spans="1:51" ht="19.899999999999999" customHeight="1" x14ac:dyDescent="0.2">
      <c r="A74" s="2"/>
      <c r="B74" s="9"/>
      <c r="C74" s="4"/>
      <c r="D74" s="5"/>
      <c r="E74" s="10"/>
      <c r="F74" s="5"/>
      <c r="G74" s="5"/>
      <c r="H74" s="6"/>
      <c r="I74" s="5"/>
      <c r="J74" s="21"/>
      <c r="K74" s="15"/>
      <c r="L74" s="13"/>
      <c r="M74" s="15"/>
      <c r="N74" s="13"/>
      <c r="O74" s="15"/>
      <c r="P74" s="3"/>
      <c r="Q74" s="7"/>
      <c r="R74" s="3"/>
      <c r="S74" s="7"/>
      <c r="T74" s="3"/>
      <c r="U74" s="7"/>
      <c r="V74" s="7"/>
      <c r="W74" s="7"/>
      <c r="X74" s="7"/>
      <c r="Y74" s="7"/>
      <c r="Z74" s="14"/>
      <c r="AA74" s="8"/>
      <c r="AB74" s="8"/>
      <c r="AC74" s="11"/>
      <c r="AD74" s="8"/>
      <c r="AE74" s="8"/>
      <c r="AF74" s="3"/>
      <c r="AG74" s="8"/>
      <c r="AH74" s="8"/>
      <c r="AI74" s="8"/>
      <c r="AJ74" s="8"/>
      <c r="AK74" s="8"/>
      <c r="AL74" s="3"/>
      <c r="AM74" s="7"/>
      <c r="AN74" s="3"/>
      <c r="AO74" s="7"/>
      <c r="AP74" s="3"/>
      <c r="AQ74" s="7"/>
      <c r="AR74" s="3"/>
      <c r="AS74" s="7"/>
      <c r="AT74" s="2"/>
      <c r="AU74" s="17"/>
      <c r="AV74" s="3"/>
      <c r="AW74" s="7"/>
      <c r="AX74" s="3"/>
      <c r="AY74" s="7"/>
    </row>
    <row r="75" spans="1:51" ht="19.899999999999999" customHeight="1" x14ac:dyDescent="0.2">
      <c r="A75" s="2"/>
      <c r="B75" s="9"/>
      <c r="C75" s="4"/>
      <c r="D75" s="5"/>
      <c r="E75" s="10"/>
      <c r="F75" s="5"/>
      <c r="G75" s="5"/>
      <c r="H75" s="6"/>
      <c r="I75" s="5"/>
      <c r="J75" s="21"/>
      <c r="K75" s="15"/>
      <c r="L75" s="13"/>
      <c r="M75" s="15"/>
      <c r="N75" s="13"/>
      <c r="O75" s="15"/>
      <c r="P75" s="3"/>
      <c r="Q75" s="7"/>
      <c r="R75" s="3"/>
      <c r="S75" s="7"/>
      <c r="T75" s="3"/>
      <c r="U75" s="7"/>
      <c r="V75" s="7"/>
      <c r="W75" s="7"/>
      <c r="X75" s="7"/>
      <c r="Y75" s="7"/>
      <c r="Z75" s="14"/>
      <c r="AA75" s="8"/>
      <c r="AB75" s="8"/>
      <c r="AC75" s="11"/>
      <c r="AD75" s="8"/>
      <c r="AE75" s="8"/>
      <c r="AF75" s="3"/>
      <c r="AG75" s="8"/>
      <c r="AH75" s="8"/>
      <c r="AI75" s="8"/>
      <c r="AJ75" s="8"/>
      <c r="AK75" s="8"/>
      <c r="AL75" s="3"/>
      <c r="AM75" s="7"/>
      <c r="AN75" s="3"/>
      <c r="AO75" s="7"/>
      <c r="AP75" s="3"/>
      <c r="AQ75" s="7"/>
      <c r="AR75" s="3"/>
      <c r="AS75" s="7"/>
      <c r="AT75" s="2"/>
      <c r="AU75" s="17"/>
      <c r="AV75" s="3"/>
      <c r="AW75" s="7"/>
      <c r="AX75" s="3"/>
      <c r="AY75" s="7"/>
    </row>
    <row r="76" spans="1:51" ht="19.899999999999999" customHeight="1" x14ac:dyDescent="0.2">
      <c r="A76" s="2"/>
      <c r="B76" s="9"/>
      <c r="C76" s="4"/>
      <c r="D76" s="5"/>
      <c r="E76" s="10"/>
      <c r="F76" s="5"/>
      <c r="G76" s="5"/>
      <c r="H76" s="6"/>
      <c r="I76" s="5"/>
      <c r="J76" s="21"/>
      <c r="K76" s="15"/>
      <c r="L76" s="13"/>
      <c r="M76" s="15"/>
      <c r="N76" s="13"/>
      <c r="O76" s="15"/>
      <c r="P76" s="3"/>
      <c r="Q76" s="7"/>
      <c r="R76" s="3"/>
      <c r="S76" s="7"/>
      <c r="T76" s="3"/>
      <c r="U76" s="7"/>
      <c r="V76" s="7"/>
      <c r="W76" s="7"/>
      <c r="X76" s="7"/>
      <c r="Y76" s="7"/>
      <c r="Z76" s="14"/>
      <c r="AA76" s="8"/>
      <c r="AB76" s="8"/>
      <c r="AC76" s="11"/>
      <c r="AD76" s="8"/>
      <c r="AE76" s="8"/>
      <c r="AF76" s="3"/>
      <c r="AG76" s="8"/>
      <c r="AH76" s="8"/>
      <c r="AI76" s="8"/>
      <c r="AJ76" s="8"/>
      <c r="AK76" s="8"/>
      <c r="AL76" s="3"/>
      <c r="AM76" s="7"/>
      <c r="AN76" s="3"/>
      <c r="AO76" s="7"/>
      <c r="AP76" s="3"/>
      <c r="AQ76" s="7"/>
      <c r="AR76" s="3"/>
      <c r="AS76" s="7"/>
      <c r="AT76" s="2"/>
      <c r="AU76" s="17"/>
      <c r="AV76" s="3"/>
      <c r="AW76" s="7"/>
      <c r="AX76" s="3"/>
      <c r="AY76" s="7"/>
    </row>
    <row r="77" spans="1:51" ht="19.899999999999999" customHeight="1" x14ac:dyDescent="0.2">
      <c r="A77" s="2">
        <v>73</v>
      </c>
      <c r="B77" s="9"/>
      <c r="C77" s="4"/>
      <c r="D77" s="5"/>
      <c r="E77" s="10"/>
      <c r="F77" s="5"/>
      <c r="G77" s="5"/>
      <c r="H77" s="6"/>
      <c r="I77" s="5"/>
      <c r="J77" s="21"/>
      <c r="K77" s="15"/>
      <c r="L77" s="13"/>
      <c r="M77" s="15"/>
      <c r="N77" s="13"/>
      <c r="O77" s="15"/>
      <c r="P77" s="3"/>
      <c r="Q77" s="7"/>
      <c r="R77" s="3"/>
      <c r="S77" s="7"/>
      <c r="T77" s="3"/>
      <c r="U77" s="7"/>
      <c r="V77" s="7"/>
      <c r="W77" s="7"/>
      <c r="X77" s="7"/>
      <c r="Y77" s="7"/>
      <c r="Z77" s="14"/>
      <c r="AA77" s="8"/>
      <c r="AB77" s="8"/>
      <c r="AC77" s="11"/>
      <c r="AD77" s="8"/>
      <c r="AE77" s="8"/>
      <c r="AF77" s="3"/>
      <c r="AG77" s="8"/>
      <c r="AH77" s="8"/>
      <c r="AI77" s="8"/>
      <c r="AJ77" s="8"/>
      <c r="AK77" s="8"/>
      <c r="AL77" s="3"/>
      <c r="AM77" s="7"/>
      <c r="AN77" s="3"/>
      <c r="AO77" s="7"/>
      <c r="AP77" s="3"/>
      <c r="AQ77" s="7"/>
      <c r="AR77" s="3"/>
      <c r="AS77" s="7"/>
      <c r="AT77" s="2"/>
      <c r="AU77" s="17"/>
      <c r="AV77" s="3"/>
      <c r="AW77" s="7"/>
      <c r="AX77" s="3"/>
      <c r="AY77" s="7"/>
    </row>
    <row r="78" spans="1:51" ht="19.899999999999999" customHeight="1" x14ac:dyDescent="0.2">
      <c r="A78" s="2">
        <v>74</v>
      </c>
      <c r="B78" s="9"/>
      <c r="C78" s="4"/>
      <c r="D78" s="5"/>
      <c r="E78" s="10"/>
      <c r="F78" s="5"/>
      <c r="G78" s="5"/>
      <c r="H78" s="6"/>
      <c r="I78" s="5"/>
      <c r="J78" s="21"/>
      <c r="K78" s="15"/>
      <c r="L78" s="13"/>
      <c r="M78" s="15"/>
      <c r="N78" s="13"/>
      <c r="O78" s="15"/>
      <c r="P78" s="3"/>
      <c r="Q78" s="7"/>
      <c r="R78" s="3"/>
      <c r="S78" s="7"/>
      <c r="T78" s="3"/>
      <c r="U78" s="7"/>
      <c r="V78" s="7"/>
      <c r="W78" s="7"/>
      <c r="X78" s="7"/>
      <c r="Y78" s="7"/>
      <c r="Z78" s="14"/>
      <c r="AA78" s="8"/>
      <c r="AB78" s="8"/>
      <c r="AC78" s="11"/>
      <c r="AD78" s="8"/>
      <c r="AE78" s="8"/>
      <c r="AF78" s="3"/>
      <c r="AG78" s="8"/>
      <c r="AH78" s="8"/>
      <c r="AI78" s="8"/>
      <c r="AJ78" s="8"/>
      <c r="AK78" s="8"/>
      <c r="AL78" s="3"/>
      <c r="AM78" s="7"/>
      <c r="AN78" s="3"/>
      <c r="AO78" s="7"/>
      <c r="AP78" s="3"/>
      <c r="AQ78" s="7"/>
      <c r="AR78" s="3"/>
      <c r="AS78" s="7"/>
      <c r="AT78" s="2"/>
      <c r="AU78" s="17"/>
      <c r="AV78" s="3"/>
      <c r="AW78" s="7"/>
      <c r="AX78" s="3"/>
      <c r="AY78" s="7"/>
    </row>
    <row r="79" spans="1:51" ht="19.899999999999999" customHeight="1" x14ac:dyDescent="0.2">
      <c r="A79" s="2">
        <v>75</v>
      </c>
      <c r="B79" s="9"/>
      <c r="C79" s="4"/>
      <c r="D79" s="5"/>
      <c r="E79" s="10"/>
      <c r="F79" s="5"/>
      <c r="G79" s="5"/>
      <c r="H79" s="6"/>
      <c r="I79" s="5"/>
      <c r="J79" s="21"/>
      <c r="K79" s="15"/>
      <c r="L79" s="13"/>
      <c r="M79" s="15"/>
      <c r="N79" s="13"/>
      <c r="O79" s="15"/>
      <c r="P79" s="3"/>
      <c r="Q79" s="7"/>
      <c r="R79" s="3"/>
      <c r="S79" s="7"/>
      <c r="T79" s="3"/>
      <c r="U79" s="7"/>
      <c r="V79" s="7"/>
      <c r="W79" s="7"/>
      <c r="X79" s="7"/>
      <c r="Y79" s="7"/>
      <c r="Z79" s="14"/>
      <c r="AA79" s="8"/>
      <c r="AB79" s="8"/>
      <c r="AC79" s="11"/>
      <c r="AD79" s="8"/>
      <c r="AE79" s="8"/>
      <c r="AF79" s="3"/>
      <c r="AG79" s="8"/>
      <c r="AH79" s="8"/>
      <c r="AI79" s="8"/>
      <c r="AJ79" s="8"/>
      <c r="AK79" s="8"/>
      <c r="AL79" s="3"/>
      <c r="AM79" s="7"/>
      <c r="AN79" s="3"/>
      <c r="AO79" s="7"/>
      <c r="AP79" s="3"/>
      <c r="AQ79" s="7"/>
      <c r="AR79" s="3"/>
      <c r="AS79" s="7"/>
      <c r="AT79" s="2"/>
      <c r="AU79" s="17"/>
      <c r="AV79" s="3"/>
      <c r="AW79" s="7"/>
      <c r="AX79" s="3"/>
      <c r="AY79" s="7"/>
    </row>
    <row r="80" spans="1:51" ht="19.899999999999999" customHeight="1" x14ac:dyDescent="0.2">
      <c r="A80" s="2">
        <v>76</v>
      </c>
      <c r="B80" s="9"/>
      <c r="C80" s="4"/>
      <c r="D80" s="5"/>
      <c r="E80" s="10"/>
      <c r="F80" s="5"/>
      <c r="G80" s="5"/>
      <c r="H80" s="6"/>
      <c r="I80" s="5"/>
      <c r="J80" s="21"/>
      <c r="K80" s="15"/>
      <c r="L80" s="13"/>
      <c r="M80" s="15"/>
      <c r="N80" s="13"/>
      <c r="O80" s="15"/>
      <c r="P80" s="3"/>
      <c r="Q80" s="7"/>
      <c r="R80" s="3"/>
      <c r="S80" s="7"/>
      <c r="T80" s="3"/>
      <c r="U80" s="7"/>
      <c r="V80" s="7"/>
      <c r="W80" s="7"/>
      <c r="X80" s="7"/>
      <c r="Y80" s="7"/>
      <c r="Z80" s="14"/>
      <c r="AA80" s="8"/>
      <c r="AB80" s="8"/>
      <c r="AC80" s="11"/>
      <c r="AD80" s="8"/>
      <c r="AE80" s="8"/>
      <c r="AF80" s="3"/>
      <c r="AG80" s="8"/>
      <c r="AH80" s="8"/>
      <c r="AI80" s="8"/>
      <c r="AJ80" s="8"/>
      <c r="AK80" s="8"/>
      <c r="AL80" s="3"/>
      <c r="AM80" s="7"/>
      <c r="AN80" s="3"/>
      <c r="AO80" s="7"/>
      <c r="AP80" s="3"/>
      <c r="AQ80" s="7"/>
      <c r="AR80" s="3"/>
      <c r="AS80" s="7"/>
      <c r="AT80" s="2"/>
      <c r="AU80" s="17"/>
      <c r="AV80" s="3"/>
      <c r="AW80" s="7"/>
      <c r="AX80" s="3"/>
      <c r="AY80" s="7"/>
    </row>
    <row r="81" spans="1:57" ht="19.899999999999999" customHeight="1" x14ac:dyDescent="0.2">
      <c r="A81" s="2">
        <v>77</v>
      </c>
      <c r="B81" s="9"/>
      <c r="C81" s="4"/>
      <c r="D81" s="5"/>
      <c r="E81" s="10"/>
      <c r="F81" s="5"/>
      <c r="G81" s="5"/>
      <c r="H81" s="6"/>
      <c r="I81" s="5"/>
      <c r="J81" s="21"/>
      <c r="K81" s="15"/>
      <c r="L81" s="13"/>
      <c r="M81" s="15"/>
      <c r="N81" s="13"/>
      <c r="O81" s="15"/>
      <c r="P81" s="3"/>
      <c r="Q81" s="7"/>
      <c r="R81" s="3"/>
      <c r="S81" s="7"/>
      <c r="T81" s="3"/>
      <c r="U81" s="7"/>
      <c r="V81" s="7"/>
      <c r="W81" s="7"/>
      <c r="X81" s="7"/>
      <c r="Y81" s="7"/>
      <c r="Z81" s="14"/>
      <c r="AA81" s="8"/>
      <c r="AB81" s="8"/>
      <c r="AC81" s="11"/>
      <c r="AD81" s="8"/>
      <c r="AE81" s="8"/>
      <c r="AF81" s="3"/>
      <c r="AG81" s="8"/>
      <c r="AH81" s="8"/>
      <c r="AI81" s="8"/>
      <c r="AJ81" s="8"/>
      <c r="AK81" s="8"/>
      <c r="AL81" s="3"/>
      <c r="AM81" s="7"/>
      <c r="AN81" s="3"/>
      <c r="AO81" s="7"/>
      <c r="AP81" s="3"/>
      <c r="AQ81" s="7"/>
      <c r="AR81" s="3"/>
      <c r="AS81" s="7"/>
      <c r="AT81" s="2"/>
      <c r="AU81" s="17"/>
      <c r="AV81" s="3"/>
      <c r="AW81" s="7"/>
      <c r="AX81" s="3"/>
      <c r="AY81" s="7"/>
    </row>
    <row r="82" spans="1:57" ht="19.899999999999999" customHeight="1" x14ac:dyDescent="0.2">
      <c r="A82" s="2">
        <v>78</v>
      </c>
      <c r="B82" s="9"/>
      <c r="C82" s="4"/>
      <c r="D82" s="5"/>
      <c r="E82" s="10"/>
      <c r="F82" s="5"/>
      <c r="G82" s="5"/>
      <c r="H82" s="6"/>
      <c r="I82" s="5"/>
      <c r="J82" s="21"/>
      <c r="K82" s="15"/>
      <c r="L82" s="13"/>
      <c r="M82" s="15"/>
      <c r="N82" s="13"/>
      <c r="O82" s="15"/>
      <c r="P82" s="3"/>
      <c r="Q82" s="7"/>
      <c r="R82" s="3"/>
      <c r="S82" s="7"/>
      <c r="T82" s="3"/>
      <c r="U82" s="7"/>
      <c r="V82" s="7"/>
      <c r="W82" s="7"/>
      <c r="X82" s="7"/>
      <c r="Y82" s="7"/>
      <c r="Z82" s="14"/>
      <c r="AA82" s="8"/>
      <c r="AB82" s="8"/>
      <c r="AC82" s="11"/>
      <c r="AD82" s="8"/>
      <c r="AE82" s="8"/>
      <c r="AF82" s="3"/>
      <c r="AG82" s="8"/>
      <c r="AH82" s="8"/>
      <c r="AI82" s="8"/>
      <c r="AJ82" s="8"/>
      <c r="AK82" s="8"/>
      <c r="AL82" s="3"/>
      <c r="AM82" s="7"/>
      <c r="AN82" s="3"/>
      <c r="AO82" s="7"/>
      <c r="AP82" s="3"/>
      <c r="AQ82" s="7"/>
      <c r="AR82" s="3"/>
      <c r="AS82" s="7"/>
      <c r="AT82" s="2"/>
      <c r="AU82" s="17"/>
      <c r="AV82" s="3"/>
      <c r="AW82" s="7"/>
      <c r="AX82" s="3"/>
      <c r="AY82" s="7"/>
    </row>
    <row r="83" spans="1:57" ht="19.899999999999999" customHeight="1" x14ac:dyDescent="0.2">
      <c r="A83" s="2">
        <v>79</v>
      </c>
      <c r="B83" s="9"/>
      <c r="C83" s="4"/>
      <c r="D83" s="5"/>
      <c r="E83" s="10"/>
      <c r="F83" s="5"/>
      <c r="G83" s="5"/>
      <c r="H83" s="6"/>
      <c r="I83" s="5"/>
      <c r="J83" s="21"/>
      <c r="K83" s="15"/>
      <c r="L83" s="13"/>
      <c r="M83" s="15"/>
      <c r="N83" s="13"/>
      <c r="O83" s="15"/>
      <c r="P83" s="3"/>
      <c r="Q83" s="7"/>
      <c r="R83" s="3"/>
      <c r="S83" s="7"/>
      <c r="T83" s="3"/>
      <c r="U83" s="7"/>
      <c r="V83" s="7"/>
      <c r="W83" s="7"/>
      <c r="X83" s="7"/>
      <c r="Y83" s="7"/>
      <c r="Z83" s="14"/>
      <c r="AA83" s="8"/>
      <c r="AB83" s="8"/>
      <c r="AC83" s="11"/>
      <c r="AD83" s="8"/>
      <c r="AE83" s="8"/>
      <c r="AF83" s="3"/>
      <c r="AG83" s="8"/>
      <c r="AH83" s="8"/>
      <c r="AI83" s="8"/>
      <c r="AJ83" s="8"/>
      <c r="AK83" s="8"/>
      <c r="AL83" s="3"/>
      <c r="AM83" s="7"/>
      <c r="AN83" s="3"/>
      <c r="AO83" s="7"/>
      <c r="AP83" s="3"/>
      <c r="AQ83" s="7"/>
      <c r="AR83" s="3"/>
      <c r="AS83" s="7"/>
      <c r="AT83" s="2"/>
      <c r="AU83" s="17"/>
      <c r="AV83" s="3"/>
      <c r="AW83" s="7"/>
      <c r="AX83" s="3"/>
      <c r="AY83" s="7"/>
    </row>
    <row r="84" spans="1:57" ht="19.899999999999999" customHeight="1" x14ac:dyDescent="0.2">
      <c r="A84" s="2">
        <v>80</v>
      </c>
      <c r="B84" s="9"/>
      <c r="C84" s="4"/>
      <c r="D84" s="5"/>
      <c r="E84" s="10"/>
      <c r="F84" s="5"/>
      <c r="G84" s="5"/>
      <c r="H84" s="6"/>
      <c r="I84" s="5"/>
      <c r="J84" s="21"/>
      <c r="K84" s="15"/>
      <c r="L84" s="13"/>
      <c r="M84" s="15"/>
      <c r="N84" s="13"/>
      <c r="O84" s="15"/>
      <c r="P84" s="3"/>
      <c r="Q84" s="7"/>
      <c r="R84" s="3"/>
      <c r="S84" s="7"/>
      <c r="T84" s="3"/>
      <c r="U84" s="7"/>
      <c r="V84" s="7"/>
      <c r="W84" s="7"/>
      <c r="X84" s="7"/>
      <c r="Y84" s="7"/>
      <c r="Z84" s="14"/>
      <c r="AA84" s="8"/>
      <c r="AB84" s="8"/>
      <c r="AC84" s="11"/>
      <c r="AD84" s="8"/>
      <c r="AE84" s="8"/>
      <c r="AF84" s="3"/>
      <c r="AG84" s="8"/>
      <c r="AH84" s="8"/>
      <c r="AI84" s="8"/>
      <c r="AJ84" s="8"/>
      <c r="AK84" s="8"/>
      <c r="AL84" s="3"/>
      <c r="AM84" s="7"/>
      <c r="AN84" s="3"/>
      <c r="AO84" s="7"/>
      <c r="AP84" s="3"/>
      <c r="AQ84" s="7"/>
      <c r="AR84" s="3"/>
      <c r="AS84" s="7"/>
      <c r="AT84" s="2"/>
      <c r="AU84" s="17"/>
      <c r="AV84" s="3"/>
      <c r="AW84" s="7"/>
      <c r="AX84" s="3"/>
      <c r="AY84" s="7"/>
    </row>
    <row r="85" spans="1:57" ht="19.899999999999999" customHeight="1" x14ac:dyDescent="0.2">
      <c r="A85" s="2">
        <v>81</v>
      </c>
      <c r="B85" s="9"/>
      <c r="C85" s="4"/>
      <c r="D85" s="5"/>
      <c r="E85" s="10"/>
      <c r="F85" s="5"/>
      <c r="G85" s="5"/>
      <c r="H85" s="6"/>
      <c r="I85" s="5"/>
      <c r="J85" s="21"/>
      <c r="K85" s="15"/>
      <c r="L85" s="13"/>
      <c r="M85" s="15"/>
      <c r="N85" s="13"/>
      <c r="O85" s="15"/>
      <c r="P85" s="3"/>
      <c r="Q85" s="7"/>
      <c r="R85" s="3"/>
      <c r="S85" s="7"/>
      <c r="T85" s="3"/>
      <c r="U85" s="7"/>
      <c r="V85" s="7"/>
      <c r="W85" s="7"/>
      <c r="X85" s="7"/>
      <c r="Y85" s="7"/>
      <c r="Z85" s="14"/>
      <c r="AA85" s="8"/>
      <c r="AB85" s="8"/>
      <c r="AC85" s="11"/>
      <c r="AD85" s="8"/>
      <c r="AE85" s="8"/>
      <c r="AF85" s="3"/>
      <c r="AG85" s="8"/>
      <c r="AH85" s="8"/>
      <c r="AI85" s="8"/>
      <c r="AJ85" s="8"/>
      <c r="AK85" s="8"/>
      <c r="AL85" s="3"/>
      <c r="AM85" s="7"/>
      <c r="AN85" s="3"/>
      <c r="AO85" s="7"/>
      <c r="AP85" s="3"/>
      <c r="AQ85" s="7"/>
      <c r="AR85" s="3"/>
      <c r="AS85" s="7"/>
      <c r="AT85" s="2"/>
      <c r="AU85" s="17"/>
      <c r="AV85" s="3"/>
      <c r="AW85" s="7"/>
      <c r="AX85" s="3"/>
      <c r="AY85" s="7"/>
    </row>
    <row r="86" spans="1:57" ht="19.899999999999999" customHeight="1" x14ac:dyDescent="0.2">
      <c r="A86" s="2">
        <v>82</v>
      </c>
      <c r="B86" s="9"/>
      <c r="C86" s="4"/>
      <c r="D86" s="5"/>
      <c r="E86" s="10"/>
      <c r="F86" s="5"/>
      <c r="G86" s="5"/>
      <c r="H86" s="6"/>
      <c r="I86" s="5"/>
      <c r="J86" s="21"/>
      <c r="K86" s="15"/>
      <c r="L86" s="13"/>
      <c r="M86" s="15"/>
      <c r="N86" s="13"/>
      <c r="O86" s="15"/>
      <c r="P86" s="3"/>
      <c r="Q86" s="7"/>
      <c r="R86" s="3"/>
      <c r="S86" s="7"/>
      <c r="T86" s="3"/>
      <c r="U86" s="7"/>
      <c r="V86" s="7"/>
      <c r="W86" s="7"/>
      <c r="X86" s="7"/>
      <c r="Y86" s="7"/>
      <c r="Z86" s="14"/>
      <c r="AA86" s="8"/>
      <c r="AB86" s="8"/>
      <c r="AC86" s="11"/>
      <c r="AD86" s="8"/>
      <c r="AE86" s="8"/>
      <c r="AF86" s="3"/>
      <c r="AG86" s="8"/>
      <c r="AH86" s="8"/>
      <c r="AI86" s="8"/>
      <c r="AJ86" s="8"/>
      <c r="AK86" s="8"/>
      <c r="AL86" s="3"/>
      <c r="AM86" s="7"/>
      <c r="AN86" s="3"/>
      <c r="AO86" s="7"/>
      <c r="AP86" s="3"/>
      <c r="AQ86" s="7"/>
      <c r="AR86" s="3"/>
      <c r="AS86" s="7"/>
      <c r="AT86" s="2"/>
      <c r="AU86" s="17"/>
      <c r="AV86" s="3"/>
      <c r="AW86" s="7"/>
      <c r="AX86" s="3"/>
      <c r="AY86" s="7"/>
    </row>
    <row r="87" spans="1:57" ht="19.899999999999999" customHeight="1" x14ac:dyDescent="0.2">
      <c r="A87" s="2">
        <v>83</v>
      </c>
      <c r="B87" s="9"/>
      <c r="C87" s="4"/>
      <c r="D87" s="5"/>
      <c r="E87" s="10"/>
      <c r="F87" s="5"/>
      <c r="G87" s="5"/>
      <c r="H87" s="6"/>
      <c r="I87" s="5"/>
      <c r="J87" s="21"/>
      <c r="K87" s="15"/>
      <c r="L87" s="13"/>
      <c r="M87" s="15"/>
      <c r="N87" s="13"/>
      <c r="O87" s="15"/>
      <c r="P87" s="3"/>
      <c r="Q87" s="7"/>
      <c r="R87" s="3"/>
      <c r="S87" s="7"/>
      <c r="T87" s="3"/>
      <c r="U87" s="7"/>
      <c r="V87" s="7"/>
      <c r="W87" s="7"/>
      <c r="X87" s="7"/>
      <c r="Y87" s="7"/>
      <c r="Z87" s="14"/>
      <c r="AA87" s="8"/>
      <c r="AB87" s="8"/>
      <c r="AC87" s="11"/>
      <c r="AD87" s="8"/>
      <c r="AE87" s="8"/>
      <c r="AF87" s="3"/>
      <c r="AG87" s="8"/>
      <c r="AH87" s="8"/>
      <c r="AI87" s="8"/>
      <c r="AJ87" s="8"/>
      <c r="AK87" s="8"/>
      <c r="AL87" s="3"/>
      <c r="AM87" s="7"/>
      <c r="AN87" s="3"/>
      <c r="AO87" s="7"/>
      <c r="AP87" s="3"/>
      <c r="AQ87" s="7"/>
      <c r="AR87" s="3"/>
      <c r="AS87" s="7"/>
      <c r="AT87" s="2"/>
      <c r="AU87" s="17"/>
      <c r="AV87" s="3"/>
      <c r="AW87" s="7"/>
      <c r="AX87" s="3"/>
      <c r="AY87" s="7"/>
    </row>
    <row r="88" spans="1:57" ht="19.899999999999999" customHeight="1" x14ac:dyDescent="0.2">
      <c r="A88" s="2">
        <v>84</v>
      </c>
      <c r="B88" s="9"/>
      <c r="C88" s="4"/>
      <c r="D88" s="5"/>
      <c r="E88" s="10"/>
      <c r="F88" s="5"/>
      <c r="G88" s="5"/>
      <c r="H88" s="6"/>
      <c r="I88" s="5"/>
      <c r="J88" s="21"/>
      <c r="K88" s="15"/>
      <c r="L88" s="13"/>
      <c r="M88" s="15"/>
      <c r="N88" s="13"/>
      <c r="O88" s="15"/>
      <c r="P88" s="3"/>
      <c r="Q88" s="7"/>
      <c r="R88" s="3"/>
      <c r="S88" s="7"/>
      <c r="T88" s="3"/>
      <c r="U88" s="7"/>
      <c r="V88" s="7"/>
      <c r="W88" s="7"/>
      <c r="X88" s="7"/>
      <c r="Y88" s="7"/>
      <c r="Z88" s="14"/>
      <c r="AA88" s="8"/>
      <c r="AB88" s="8"/>
      <c r="AC88" s="11"/>
      <c r="AD88" s="8"/>
      <c r="AE88" s="8"/>
      <c r="AF88" s="3"/>
      <c r="AG88" s="8"/>
      <c r="AH88" s="8"/>
      <c r="AI88" s="8"/>
      <c r="AJ88" s="8"/>
      <c r="AK88" s="8"/>
      <c r="AL88" s="3"/>
      <c r="AM88" s="7"/>
      <c r="AN88" s="3"/>
      <c r="AO88" s="7"/>
      <c r="AP88" s="3"/>
      <c r="AQ88" s="7"/>
      <c r="AR88" s="3"/>
      <c r="AS88" s="7"/>
      <c r="AT88" s="2"/>
      <c r="AU88" s="17"/>
      <c r="AV88" s="3"/>
      <c r="AW88" s="7"/>
      <c r="AX88" s="3"/>
      <c r="AY88" s="7"/>
    </row>
    <row r="89" spans="1:57" ht="19.899999999999999" customHeight="1" x14ac:dyDescent="0.2">
      <c r="A89" s="2">
        <v>85</v>
      </c>
      <c r="B89" s="9"/>
      <c r="C89" s="4"/>
      <c r="D89" s="5"/>
      <c r="E89" s="10"/>
      <c r="F89" s="5"/>
      <c r="G89" s="5"/>
      <c r="H89" s="6"/>
      <c r="I89" s="5"/>
      <c r="J89" s="21"/>
      <c r="K89" s="15"/>
      <c r="L89" s="13"/>
      <c r="M89" s="15"/>
      <c r="N89" s="13"/>
      <c r="O89" s="15"/>
      <c r="P89" s="3"/>
      <c r="Q89" s="7"/>
      <c r="R89" s="3"/>
      <c r="S89" s="7"/>
      <c r="T89" s="3"/>
      <c r="U89" s="7"/>
      <c r="V89" s="7"/>
      <c r="W89" s="7"/>
      <c r="X89" s="7"/>
      <c r="Y89" s="7"/>
      <c r="Z89" s="14"/>
      <c r="AA89" s="8"/>
      <c r="AB89" s="8"/>
      <c r="AC89" s="11"/>
      <c r="AD89" s="8"/>
      <c r="AE89" s="8"/>
      <c r="AF89" s="3"/>
      <c r="AG89" s="8"/>
      <c r="AH89" s="8"/>
      <c r="AI89" s="8"/>
      <c r="AJ89" s="8"/>
      <c r="AK89" s="8"/>
      <c r="AL89" s="3"/>
      <c r="AM89" s="7"/>
      <c r="AN89" s="3"/>
      <c r="AO89" s="7"/>
      <c r="AP89" s="3"/>
      <c r="AQ89" s="7"/>
      <c r="AR89" s="3"/>
      <c r="AS89" s="7"/>
      <c r="AT89" s="2"/>
      <c r="AU89" s="17"/>
      <c r="AV89" s="3"/>
      <c r="AW89" s="7"/>
      <c r="AX89" s="3"/>
      <c r="AY89" s="7"/>
    </row>
    <row r="90" spans="1:57" ht="19.899999999999999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22"/>
      <c r="K90" s="23"/>
      <c r="L90" s="24"/>
      <c r="M90" s="23"/>
      <c r="N90" s="24"/>
      <c r="O90" s="23"/>
      <c r="P90" s="3"/>
      <c r="Q90" s="3"/>
      <c r="R90" s="3"/>
      <c r="S90" s="3"/>
      <c r="T90" s="3"/>
      <c r="U90" s="3"/>
      <c r="V90" s="3"/>
      <c r="W90" s="3"/>
      <c r="X90" s="3"/>
      <c r="Y90" s="3"/>
      <c r="Z90" s="14"/>
      <c r="AA90" s="3"/>
      <c r="AB90" s="3"/>
      <c r="AC90" s="3"/>
      <c r="AD90" s="3"/>
      <c r="AE90" s="8"/>
      <c r="AF90" s="3"/>
      <c r="AG90" s="8"/>
      <c r="AH90" s="8"/>
      <c r="AI90" s="8"/>
      <c r="AJ90" s="8"/>
      <c r="AK90" s="8"/>
      <c r="AL90" s="8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7"/>
      <c r="AX90" s="3"/>
      <c r="AY90" s="7"/>
      <c r="AZ90" s="3"/>
      <c r="BA90" s="3"/>
      <c r="BB90" s="3"/>
      <c r="BC90" s="3"/>
      <c r="BD90" s="3"/>
      <c r="BE90" s="3"/>
    </row>
    <row r="91" spans="1:57" ht="19.899999999999999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22"/>
      <c r="K91" s="23"/>
      <c r="L91" s="24"/>
      <c r="M91" s="23"/>
      <c r="N91" s="24"/>
      <c r="O91" s="23"/>
      <c r="P91" s="3"/>
      <c r="Q91" s="3"/>
      <c r="R91" s="3"/>
      <c r="S91" s="3"/>
      <c r="T91" s="3"/>
      <c r="U91" s="3"/>
      <c r="V91" s="3"/>
      <c r="W91" s="3"/>
      <c r="X91" s="3"/>
      <c r="Y91" s="3"/>
      <c r="Z91" s="14"/>
      <c r="AA91" s="3"/>
      <c r="AB91" s="3"/>
      <c r="AC91" s="3"/>
      <c r="AD91" s="3"/>
      <c r="AE91" s="8"/>
      <c r="AF91" s="3"/>
      <c r="AG91" s="8"/>
      <c r="AH91" s="8"/>
      <c r="AI91" s="8"/>
      <c r="AJ91" s="8"/>
      <c r="AK91" s="8"/>
      <c r="AL91" s="8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7"/>
      <c r="AX91" s="3"/>
      <c r="AY91" s="7"/>
      <c r="AZ91" s="3"/>
      <c r="BA91" s="3"/>
      <c r="BB91" s="3"/>
      <c r="BC91" s="3"/>
      <c r="BD91" s="3"/>
      <c r="BE91" s="3"/>
    </row>
    <row r="92" spans="1:57" ht="19.899999999999999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22"/>
      <c r="K92" s="23"/>
      <c r="L92" s="24"/>
      <c r="M92" s="23"/>
      <c r="N92" s="24"/>
      <c r="O92" s="23"/>
      <c r="P92" s="3"/>
      <c r="Q92" s="3"/>
      <c r="R92" s="3"/>
      <c r="S92" s="3"/>
      <c r="T92" s="3"/>
      <c r="U92" s="3"/>
      <c r="V92" s="3"/>
      <c r="W92" s="3"/>
      <c r="X92" s="3"/>
      <c r="Y92" s="3"/>
      <c r="Z92" s="14"/>
      <c r="AA92" s="3"/>
      <c r="AB92" s="3"/>
      <c r="AC92" s="3"/>
      <c r="AD92" s="3"/>
      <c r="AE92" s="8"/>
      <c r="AF92" s="3"/>
      <c r="AG92" s="8"/>
      <c r="AH92" s="8"/>
      <c r="AI92" s="8"/>
      <c r="AJ92" s="8"/>
      <c r="AK92" s="8"/>
      <c r="AL92" s="8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7"/>
      <c r="AX92" s="3"/>
      <c r="AY92" s="7"/>
      <c r="AZ92" s="3"/>
      <c r="BA92" s="3"/>
      <c r="BB92" s="3"/>
      <c r="BC92" s="3"/>
      <c r="BD92" s="3"/>
      <c r="BE92" s="3"/>
    </row>
    <row r="93" spans="1:57" ht="19.899999999999999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22"/>
      <c r="K93" s="23"/>
      <c r="L93" s="24"/>
      <c r="M93" s="23"/>
      <c r="N93" s="24"/>
      <c r="O93" s="23"/>
      <c r="P93" s="3"/>
      <c r="Q93" s="3"/>
      <c r="R93" s="3"/>
      <c r="S93" s="3"/>
      <c r="T93" s="3"/>
      <c r="U93" s="3"/>
      <c r="V93" s="3"/>
      <c r="W93" s="3"/>
      <c r="X93" s="3"/>
      <c r="Y93" s="3"/>
      <c r="Z93" s="14"/>
      <c r="AA93" s="3"/>
      <c r="AB93" s="3"/>
      <c r="AC93" s="3"/>
      <c r="AD93" s="3"/>
      <c r="AE93" s="8"/>
      <c r="AF93" s="3"/>
      <c r="AG93" s="8"/>
      <c r="AH93" s="8"/>
      <c r="AI93" s="8"/>
      <c r="AJ93" s="8"/>
      <c r="AK93" s="8"/>
      <c r="AL93" s="8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7"/>
      <c r="AX93" s="3"/>
      <c r="AY93" s="7"/>
      <c r="AZ93" s="3"/>
      <c r="BA93" s="3"/>
      <c r="BB93" s="3"/>
      <c r="BC93" s="3"/>
      <c r="BD93" s="3"/>
      <c r="BE93" s="3"/>
    </row>
    <row r="94" spans="1:57" ht="19.899999999999999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22"/>
      <c r="K94" s="23"/>
      <c r="L94" s="24"/>
      <c r="M94" s="23"/>
      <c r="N94" s="24"/>
      <c r="O94" s="23"/>
      <c r="P94" s="3"/>
      <c r="Q94" s="3"/>
      <c r="R94" s="3"/>
      <c r="S94" s="3"/>
      <c r="T94" s="3"/>
      <c r="U94" s="3"/>
      <c r="V94" s="3"/>
      <c r="W94" s="3"/>
      <c r="X94" s="3"/>
      <c r="Y94" s="3"/>
      <c r="Z94" s="14"/>
      <c r="AA94" s="3"/>
      <c r="AB94" s="3"/>
      <c r="AC94" s="3"/>
      <c r="AD94" s="3"/>
      <c r="AE94" s="8"/>
      <c r="AF94" s="3"/>
      <c r="AG94" s="8"/>
      <c r="AH94" s="8"/>
      <c r="AI94" s="8"/>
      <c r="AJ94" s="8"/>
      <c r="AK94" s="8"/>
      <c r="AL94" s="8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7"/>
      <c r="AX94" s="3"/>
      <c r="AY94" s="7"/>
      <c r="AZ94" s="3"/>
      <c r="BA94" s="3"/>
      <c r="BB94" s="3"/>
      <c r="BC94" s="3"/>
      <c r="BD94" s="3"/>
      <c r="BE94" s="3"/>
    </row>
    <row r="95" spans="1:57" ht="19.899999999999999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22"/>
      <c r="K95" s="23"/>
      <c r="L95" s="24"/>
      <c r="M95" s="23"/>
      <c r="N95" s="24"/>
      <c r="O95" s="23"/>
      <c r="P95" s="3"/>
      <c r="Q95" s="3"/>
      <c r="R95" s="3"/>
      <c r="S95" s="3"/>
      <c r="T95" s="3"/>
      <c r="U95" s="3"/>
      <c r="V95" s="3"/>
      <c r="W95" s="3"/>
      <c r="X95" s="3"/>
      <c r="Y95" s="3"/>
      <c r="Z95" s="14"/>
      <c r="AA95" s="3"/>
      <c r="AB95" s="3"/>
      <c r="AC95" s="3"/>
      <c r="AD95" s="3"/>
      <c r="AE95" s="8"/>
      <c r="AF95" s="3"/>
      <c r="AG95" s="8"/>
      <c r="AH95" s="8"/>
      <c r="AI95" s="8"/>
      <c r="AJ95" s="8"/>
      <c r="AK95" s="8"/>
      <c r="AL95" s="8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7"/>
      <c r="AX95" s="3"/>
      <c r="AY95" s="7"/>
      <c r="AZ95" s="3"/>
      <c r="BA95" s="3"/>
      <c r="BB95" s="3"/>
      <c r="BC95" s="3"/>
      <c r="BD95" s="3"/>
      <c r="BE95" s="3"/>
    </row>
    <row r="96" spans="1:57" ht="19.899999999999999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22"/>
      <c r="K96" s="23"/>
      <c r="L96" s="24"/>
      <c r="M96" s="23"/>
      <c r="N96" s="24"/>
      <c r="O96" s="23"/>
      <c r="P96" s="3"/>
      <c r="Q96" s="3"/>
      <c r="R96" s="3"/>
      <c r="S96" s="3"/>
      <c r="T96" s="3"/>
      <c r="U96" s="3"/>
      <c r="V96" s="3"/>
      <c r="W96" s="3"/>
      <c r="X96" s="3"/>
      <c r="Y96" s="3"/>
      <c r="Z96" s="14"/>
      <c r="AA96" s="3"/>
      <c r="AB96" s="3"/>
      <c r="AC96" s="3"/>
      <c r="AD96" s="3"/>
      <c r="AE96" s="8"/>
      <c r="AF96" s="3"/>
      <c r="AG96" s="8"/>
      <c r="AH96" s="8"/>
      <c r="AI96" s="8"/>
      <c r="AJ96" s="8"/>
      <c r="AK96" s="8"/>
      <c r="AL96" s="8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7"/>
      <c r="AX96" s="3"/>
      <c r="AY96" s="7"/>
      <c r="AZ96" s="3"/>
      <c r="BA96" s="3"/>
      <c r="BB96" s="3"/>
      <c r="BC96" s="3"/>
      <c r="BD96" s="3"/>
      <c r="BE96" s="3"/>
    </row>
    <row r="97" spans="1:93" ht="19.899999999999999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22"/>
      <c r="K97" s="23"/>
      <c r="L97" s="24"/>
      <c r="M97" s="23"/>
      <c r="N97" s="24"/>
      <c r="O97" s="23"/>
      <c r="P97" s="3"/>
      <c r="Q97" s="3"/>
      <c r="R97" s="3"/>
      <c r="S97" s="3"/>
      <c r="T97" s="3"/>
      <c r="U97" s="3"/>
      <c r="V97" s="3"/>
      <c r="W97" s="3"/>
      <c r="X97" s="3"/>
      <c r="Y97" s="3"/>
      <c r="Z97" s="14"/>
      <c r="AA97" s="3"/>
      <c r="AB97" s="3"/>
      <c r="AC97" s="3"/>
      <c r="AD97" s="3"/>
      <c r="AE97" s="8"/>
      <c r="AF97" s="3"/>
      <c r="AG97" s="8"/>
      <c r="AH97" s="8"/>
      <c r="AI97" s="8"/>
      <c r="AJ97" s="8"/>
      <c r="AK97" s="8"/>
      <c r="AL97" s="8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7"/>
      <c r="AX97" s="3"/>
      <c r="AY97" s="7"/>
      <c r="AZ97" s="3"/>
      <c r="BA97" s="3"/>
      <c r="BB97" s="3"/>
      <c r="BC97" s="3"/>
      <c r="BD97" s="3"/>
      <c r="BE97" s="3"/>
    </row>
    <row r="98" spans="1:93" ht="19.899999999999999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22"/>
      <c r="K98" s="23"/>
      <c r="L98" s="24"/>
      <c r="M98" s="23"/>
      <c r="N98" s="24"/>
      <c r="O98" s="23"/>
      <c r="P98" s="3"/>
      <c r="Q98" s="3"/>
      <c r="R98" s="3"/>
      <c r="S98" s="3"/>
      <c r="T98" s="3"/>
      <c r="U98" s="3"/>
      <c r="V98" s="3"/>
      <c r="W98" s="3"/>
      <c r="X98" s="3"/>
      <c r="Y98" s="3"/>
      <c r="Z98" s="14"/>
      <c r="AA98" s="3"/>
      <c r="AB98" s="3"/>
      <c r="AC98" s="3"/>
      <c r="AD98" s="3"/>
      <c r="AE98" s="8"/>
      <c r="AF98" s="3"/>
      <c r="AG98" s="8"/>
      <c r="AH98" s="8"/>
      <c r="AI98" s="8"/>
      <c r="AJ98" s="8"/>
      <c r="AK98" s="8"/>
      <c r="AL98" s="8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7"/>
      <c r="AX98" s="3"/>
      <c r="AY98" s="7"/>
      <c r="AZ98" s="3"/>
      <c r="BA98" s="3"/>
      <c r="BB98" s="3"/>
      <c r="BC98" s="3"/>
      <c r="BD98" s="3"/>
      <c r="BE98" s="3"/>
    </row>
    <row r="99" spans="1:93" ht="19.899999999999999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22"/>
      <c r="K99" s="23"/>
      <c r="L99" s="24"/>
      <c r="M99" s="23"/>
      <c r="N99" s="24"/>
      <c r="O99" s="23"/>
      <c r="P99" s="3"/>
      <c r="Q99" s="3"/>
      <c r="R99" s="3"/>
      <c r="S99" s="3"/>
      <c r="T99" s="3"/>
      <c r="U99" s="3"/>
      <c r="V99" s="3"/>
      <c r="W99" s="3"/>
      <c r="X99" s="3"/>
      <c r="Y99" s="3"/>
      <c r="Z99" s="14"/>
      <c r="AA99" s="3"/>
      <c r="AB99" s="3"/>
      <c r="AC99" s="3"/>
      <c r="AD99" s="3"/>
      <c r="AE99" s="8"/>
      <c r="AF99" s="3"/>
      <c r="AG99" s="8"/>
      <c r="AH99" s="8"/>
      <c r="AI99" s="8"/>
      <c r="AJ99" s="8"/>
      <c r="AK99" s="8"/>
      <c r="AL99" s="8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7"/>
      <c r="AX99" s="3"/>
      <c r="AY99" s="7"/>
      <c r="AZ99" s="3"/>
      <c r="BA99" s="3"/>
      <c r="BB99" s="3"/>
      <c r="BC99" s="3"/>
      <c r="BD99" s="3"/>
      <c r="BE99" s="3"/>
    </row>
    <row r="100" spans="1:93" ht="19.899999999999999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22"/>
      <c r="K100" s="23"/>
      <c r="L100" s="24"/>
      <c r="M100" s="23"/>
      <c r="N100" s="24"/>
      <c r="O100" s="2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14"/>
      <c r="AA100" s="3"/>
      <c r="AB100" s="3"/>
      <c r="AC100" s="3"/>
      <c r="AD100" s="3"/>
      <c r="AE100" s="8"/>
      <c r="AF100" s="3"/>
      <c r="AG100" s="8"/>
      <c r="AH100" s="8"/>
      <c r="AI100" s="8"/>
      <c r="AJ100" s="8"/>
      <c r="AK100" s="8"/>
      <c r="AL100" s="8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7"/>
      <c r="AX100" s="3"/>
      <c r="AY100" s="7"/>
      <c r="AZ100" s="3"/>
      <c r="BA100" s="3"/>
      <c r="BB100" s="3"/>
      <c r="BC100" s="3"/>
      <c r="BD100" s="3"/>
      <c r="BE100" s="3"/>
    </row>
    <row r="101" spans="1:93" ht="19.899999999999999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22"/>
      <c r="K101" s="23"/>
      <c r="L101" s="24"/>
      <c r="M101" s="23"/>
      <c r="N101" s="24"/>
      <c r="O101" s="2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14"/>
      <c r="AA101" s="3"/>
      <c r="AB101" s="3"/>
      <c r="AC101" s="3"/>
      <c r="AD101" s="3"/>
      <c r="AE101" s="8"/>
      <c r="AF101" s="3"/>
      <c r="AG101" s="8"/>
      <c r="AH101" s="8"/>
      <c r="AI101" s="8"/>
      <c r="AJ101" s="8"/>
      <c r="AK101" s="8"/>
      <c r="AL101" s="8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7"/>
      <c r="AX101" s="3"/>
      <c r="AY101" s="7"/>
      <c r="AZ101" s="3"/>
      <c r="BA101" s="3"/>
      <c r="BB101" s="3"/>
      <c r="BC101" s="3"/>
      <c r="BD101" s="3"/>
      <c r="BE101" s="3"/>
    </row>
    <row r="103" spans="1:93" ht="19.899999999999999" customHeight="1" x14ac:dyDescent="0.2">
      <c r="B103" s="30" t="s">
        <v>12</v>
      </c>
      <c r="C103" s="30" t="s">
        <v>13</v>
      </c>
      <c r="D103" s="30" t="s">
        <v>14</v>
      </c>
      <c r="E103" s="30" t="s">
        <v>15</v>
      </c>
      <c r="F103" s="30" t="s">
        <v>16</v>
      </c>
      <c r="G103" s="30" t="s">
        <v>17</v>
      </c>
      <c r="H103" s="30" t="s">
        <v>130</v>
      </c>
      <c r="I103" s="30" t="s">
        <v>131</v>
      </c>
      <c r="J103" s="30" t="s">
        <v>132</v>
      </c>
      <c r="K103" s="30" t="s">
        <v>133</v>
      </c>
      <c r="L103" s="30" t="s">
        <v>18</v>
      </c>
      <c r="M103" s="30" t="s">
        <v>19</v>
      </c>
      <c r="N103" s="30" t="s">
        <v>112</v>
      </c>
      <c r="O103" s="30" t="s">
        <v>128</v>
      </c>
      <c r="P103" s="30" t="s">
        <v>20</v>
      </c>
      <c r="Q103" s="30" t="s">
        <v>113</v>
      </c>
      <c r="R103" s="30" t="s">
        <v>114</v>
      </c>
      <c r="S103" s="30" t="s">
        <v>115</v>
      </c>
      <c r="T103" s="30" t="s">
        <v>116</v>
      </c>
      <c r="U103" s="30" t="s">
        <v>117</v>
      </c>
      <c r="V103" s="30" t="s">
        <v>59</v>
      </c>
      <c r="W103" s="30" t="s">
        <v>21</v>
      </c>
      <c r="X103" s="30" t="s">
        <v>22</v>
      </c>
      <c r="Y103" s="30" t="s">
        <v>23</v>
      </c>
      <c r="Z103" s="30" t="s">
        <v>24</v>
      </c>
      <c r="AA103" s="30" t="s">
        <v>60</v>
      </c>
      <c r="AB103" s="30" t="s">
        <v>61</v>
      </c>
      <c r="AC103" s="30" t="s">
        <v>62</v>
      </c>
      <c r="AD103" s="30" t="s">
        <v>63</v>
      </c>
      <c r="AE103" s="30" t="s">
        <v>64</v>
      </c>
      <c r="AF103" s="30" t="s">
        <v>65</v>
      </c>
      <c r="AG103" s="30" t="s">
        <v>25</v>
      </c>
      <c r="AH103" s="30" t="s">
        <v>26</v>
      </c>
      <c r="AI103" s="30" t="s">
        <v>27</v>
      </c>
      <c r="AJ103" s="30" t="s">
        <v>28</v>
      </c>
      <c r="AK103" s="30" t="s">
        <v>137</v>
      </c>
      <c r="AL103" s="30" t="s">
        <v>66</v>
      </c>
      <c r="AM103" s="30" t="s">
        <v>67</v>
      </c>
      <c r="AN103" s="30" t="s">
        <v>31</v>
      </c>
      <c r="AO103" s="30" t="s">
        <v>32</v>
      </c>
      <c r="AP103" s="30" t="s">
        <v>33</v>
      </c>
      <c r="AQ103" s="30" t="s">
        <v>34</v>
      </c>
      <c r="AR103" s="30" t="s">
        <v>35</v>
      </c>
      <c r="AS103" s="30" t="s">
        <v>36</v>
      </c>
      <c r="AT103" s="30" t="s">
        <v>37</v>
      </c>
      <c r="AU103" s="30" t="s">
        <v>38</v>
      </c>
      <c r="AV103" s="30" t="s">
        <v>109</v>
      </c>
      <c r="AW103" s="30" t="s">
        <v>110</v>
      </c>
      <c r="AX103" s="30" t="s">
        <v>39</v>
      </c>
      <c r="AY103" s="30" t="s">
        <v>40</v>
      </c>
      <c r="AZ103" s="30" t="s">
        <v>49</v>
      </c>
      <c r="BA103" s="30" t="s">
        <v>50</v>
      </c>
      <c r="BB103" s="30" t="s">
        <v>51</v>
      </c>
      <c r="BC103" s="30" t="s">
        <v>52</v>
      </c>
      <c r="BD103" s="30" t="s">
        <v>57</v>
      </c>
      <c r="BE103" s="30" t="s">
        <v>53</v>
      </c>
      <c r="BF103" s="30" t="s">
        <v>54</v>
      </c>
      <c r="BG103" s="30" t="s">
        <v>55</v>
      </c>
      <c r="BH103" s="30" t="s">
        <v>56</v>
      </c>
      <c r="BI103" s="30" t="s">
        <v>68</v>
      </c>
      <c r="BJ103" s="30" t="s">
        <v>84</v>
      </c>
      <c r="BK103" s="30" t="s">
        <v>70</v>
      </c>
      <c r="BL103" s="30" t="s">
        <v>71</v>
      </c>
      <c r="BM103" s="30" t="s">
        <v>72</v>
      </c>
      <c r="BN103" s="30" t="s">
        <v>73</v>
      </c>
      <c r="BO103" s="30" t="s">
        <v>74</v>
      </c>
      <c r="BP103" s="30" t="s">
        <v>75</v>
      </c>
      <c r="BQ103" s="30" t="s">
        <v>76</v>
      </c>
      <c r="BR103" s="30" t="s">
        <v>77</v>
      </c>
      <c r="BS103" s="30" t="s">
        <v>78</v>
      </c>
      <c r="BT103" s="30" t="s">
        <v>85</v>
      </c>
      <c r="BU103" s="30" t="s">
        <v>86</v>
      </c>
      <c r="BV103" s="30" t="s">
        <v>69</v>
      </c>
      <c r="BW103" s="30" t="s">
        <v>87</v>
      </c>
      <c r="BX103" s="30" t="s">
        <v>88</v>
      </c>
      <c r="BY103" s="30" t="s">
        <v>89</v>
      </c>
      <c r="BZ103" s="30" t="s">
        <v>90</v>
      </c>
      <c r="CA103" s="30" t="s">
        <v>91</v>
      </c>
      <c r="CB103" s="30" t="s">
        <v>92</v>
      </c>
      <c r="CC103" s="30" t="s">
        <v>93</v>
      </c>
      <c r="CD103" s="30" t="s">
        <v>94</v>
      </c>
      <c r="CE103" s="30" t="s">
        <v>95</v>
      </c>
      <c r="CF103" s="30" t="s">
        <v>96</v>
      </c>
      <c r="CG103" s="30" t="s">
        <v>97</v>
      </c>
      <c r="CH103" s="30" t="s">
        <v>98</v>
      </c>
      <c r="CI103" s="30" t="s">
        <v>84</v>
      </c>
      <c r="CJ103" s="30" t="s">
        <v>100</v>
      </c>
      <c r="CK103" s="30" t="s">
        <v>138</v>
      </c>
      <c r="CL103" s="30" t="s">
        <v>125</v>
      </c>
      <c r="CM103" s="30" t="s">
        <v>139</v>
      </c>
      <c r="CN103" s="30" t="s">
        <v>140</v>
      </c>
      <c r="CO103" s="30" t="s">
        <v>129</v>
      </c>
    </row>
    <row r="104" spans="1:93" ht="19.899999999999999" customHeight="1" x14ac:dyDescent="0.2">
      <c r="B104" s="30" t="s">
        <v>169</v>
      </c>
      <c r="C104" s="30">
        <v>118</v>
      </c>
      <c r="D104" s="30">
        <v>1.42</v>
      </c>
      <c r="E104" s="30">
        <v>2568</v>
      </c>
      <c r="F104" s="30">
        <v>1.42</v>
      </c>
      <c r="G104" s="30">
        <v>1.42</v>
      </c>
      <c r="H104" s="30">
        <v>0.312</v>
      </c>
      <c r="I104" s="30">
        <v>0.61099999999999999</v>
      </c>
      <c r="J104" s="30">
        <v>1.42</v>
      </c>
      <c r="K104" s="30">
        <v>1.47</v>
      </c>
      <c r="L104" s="30">
        <v>0.67</v>
      </c>
      <c r="M104" s="30">
        <v>77.599999999999994</v>
      </c>
      <c r="N104" s="30">
        <v>3.81</v>
      </c>
      <c r="O104" s="30">
        <v>94.9</v>
      </c>
      <c r="P104" s="30">
        <v>0.91</v>
      </c>
      <c r="Q104" s="30">
        <v>0.72</v>
      </c>
      <c r="R104" s="30">
        <v>74.599999999999994</v>
      </c>
      <c r="S104" s="30">
        <v>1.41</v>
      </c>
      <c r="T104" s="30">
        <v>93.3</v>
      </c>
      <c r="U104" s="30">
        <v>0.91</v>
      </c>
      <c r="V104" s="30">
        <v>612</v>
      </c>
      <c r="W104" s="30">
        <v>32</v>
      </c>
      <c r="X104" s="30">
        <v>1.27</v>
      </c>
      <c r="Y104" s="30">
        <v>54</v>
      </c>
      <c r="Z104" s="30">
        <v>1.31</v>
      </c>
      <c r="AA104" s="30">
        <v>96</v>
      </c>
      <c r="AB104" s="30">
        <v>1.36</v>
      </c>
      <c r="AC104" s="30">
        <v>0.19080996884735199</v>
      </c>
      <c r="AD104" s="30">
        <v>0.56152647975077885</v>
      </c>
      <c r="AE104" s="30">
        <v>0.24610591900311529</v>
      </c>
      <c r="AF104" s="30">
        <v>8.0996884735202487E-2</v>
      </c>
      <c r="AG104" s="30">
        <v>111</v>
      </c>
      <c r="AH104" s="30">
        <v>104</v>
      </c>
      <c r="AI104" s="30">
        <v>92</v>
      </c>
      <c r="AJ104" s="30">
        <v>72</v>
      </c>
      <c r="AK104" s="30">
        <v>57</v>
      </c>
      <c r="AL104" s="30">
        <v>21</v>
      </c>
      <c r="AM104" s="30">
        <v>1.5186915887850471E-2</v>
      </c>
      <c r="AN104" s="30">
        <v>103</v>
      </c>
      <c r="AO104" s="30">
        <v>1.39</v>
      </c>
      <c r="AP104" s="30">
        <v>59</v>
      </c>
      <c r="AQ104" s="30">
        <v>1.44</v>
      </c>
      <c r="AR104" s="30">
        <v>26</v>
      </c>
      <c r="AS104" s="30">
        <v>1.36</v>
      </c>
      <c r="AT104" s="30">
        <v>50</v>
      </c>
      <c r="AU104" s="30">
        <v>1.28</v>
      </c>
      <c r="AV104" s="30">
        <v>22</v>
      </c>
      <c r="AW104" s="30">
        <v>1.34</v>
      </c>
      <c r="AX104" s="30">
        <v>9</v>
      </c>
      <c r="AY104" s="30">
        <v>1.23</v>
      </c>
      <c r="AZ104" s="30">
        <v>1.23</v>
      </c>
      <c r="BA104" s="30">
        <v>123.7</v>
      </c>
      <c r="BB104" s="30">
        <v>0.755</v>
      </c>
      <c r="BC104" s="30">
        <v>6.3E-2</v>
      </c>
      <c r="BD104" s="30">
        <v>0.23300000000000001</v>
      </c>
      <c r="BE104" s="30">
        <v>104</v>
      </c>
      <c r="BF104" s="30">
        <v>5.7000000000000002E-2</v>
      </c>
      <c r="BG104" s="30">
        <v>0.49394995531724761</v>
      </c>
      <c r="BH104" s="30">
        <v>57.606702412868628</v>
      </c>
      <c r="BI104" s="30">
        <v>0.18</v>
      </c>
      <c r="BJ104" s="30">
        <v>0.24</v>
      </c>
      <c r="BK104" s="30">
        <v>0.01</v>
      </c>
      <c r="BL104" s="30">
        <v>3.69</v>
      </c>
      <c r="BM104" s="30">
        <v>100</v>
      </c>
      <c r="BN104" s="30">
        <v>79</v>
      </c>
      <c r="BO104" s="30">
        <v>69</v>
      </c>
      <c r="BP104" s="30">
        <v>95</v>
      </c>
      <c r="BQ104" s="30">
        <v>37</v>
      </c>
      <c r="BR104" s="30">
        <v>0</v>
      </c>
      <c r="BS104" s="30">
        <v>29</v>
      </c>
      <c r="BT104" s="30">
        <v>0.61</v>
      </c>
      <c r="BU104" s="30">
        <v>1.589005942733658</v>
      </c>
      <c r="BV104" s="30">
        <v>0.16</v>
      </c>
      <c r="BW104" s="30">
        <v>0.14000000000000001</v>
      </c>
      <c r="BX104" s="30">
        <v>0.12</v>
      </c>
      <c r="BY104" s="30">
        <v>0.16500000000000001</v>
      </c>
      <c r="BZ104" s="30">
        <v>2.98</v>
      </c>
      <c r="CA104" s="30">
        <v>0.78599999999999992</v>
      </c>
      <c r="CB104" s="30">
        <v>70</v>
      </c>
      <c r="CC104" s="30">
        <v>0.01</v>
      </c>
      <c r="CD104" s="30">
        <v>1.0999999999999999E-2</v>
      </c>
      <c r="CE104" s="30">
        <v>9.0000000000000011E-3</v>
      </c>
      <c r="CF104" s="30">
        <v>0.7</v>
      </c>
      <c r="CG104" s="30">
        <v>0.42</v>
      </c>
      <c r="CH104" s="30">
        <v>1.74</v>
      </c>
      <c r="CI104" s="30">
        <v>0.19700000000000001</v>
      </c>
      <c r="CJ104" s="30">
        <v>0.23</v>
      </c>
      <c r="CK104" s="30">
        <v>47</v>
      </c>
      <c r="CL104" s="30">
        <v>1.29</v>
      </c>
      <c r="CM104" s="30">
        <v>14</v>
      </c>
      <c r="CN104" s="30">
        <v>1.24</v>
      </c>
      <c r="CO104" s="30">
        <v>2342.912205567452</v>
      </c>
    </row>
    <row r="105" spans="1:93" ht="19.899999999999999" customHeight="1" x14ac:dyDescent="0.2">
      <c r="B105" s="30" t="s">
        <v>29</v>
      </c>
      <c r="C105" s="30">
        <v>124</v>
      </c>
      <c r="D105" s="30">
        <v>1.37</v>
      </c>
      <c r="E105" s="30">
        <v>2684</v>
      </c>
      <c r="F105" s="30">
        <v>1.41</v>
      </c>
      <c r="G105" s="30">
        <v>1.33</v>
      </c>
      <c r="H105" s="30">
        <v>0.21099999999999999</v>
      </c>
      <c r="I105" s="30">
        <v>0.64700000000000002</v>
      </c>
      <c r="J105" s="30">
        <v>1.23</v>
      </c>
      <c r="K105" s="30">
        <v>1.52</v>
      </c>
      <c r="L105" s="30">
        <v>0.56000000000000005</v>
      </c>
      <c r="M105" s="30">
        <v>77.5</v>
      </c>
      <c r="N105" s="30">
        <v>4</v>
      </c>
      <c r="O105" s="30">
        <v>86.8</v>
      </c>
      <c r="P105" s="30">
        <v>0.86</v>
      </c>
      <c r="Q105" s="30">
        <v>0.6</v>
      </c>
      <c r="R105" s="30">
        <v>74.7</v>
      </c>
      <c r="S105" s="30">
        <v>1.32</v>
      </c>
      <c r="T105" s="30">
        <v>83.7</v>
      </c>
      <c r="U105" s="30">
        <v>0.81</v>
      </c>
      <c r="V105" s="30">
        <v>823</v>
      </c>
      <c r="W105" s="30">
        <v>40</v>
      </c>
      <c r="X105" s="30">
        <v>1.27</v>
      </c>
      <c r="Y105" s="30">
        <v>71</v>
      </c>
      <c r="Z105" s="30">
        <v>1.32</v>
      </c>
      <c r="AA105" s="30">
        <v>99</v>
      </c>
      <c r="AB105" s="30">
        <v>1.36</v>
      </c>
      <c r="AC105" s="30">
        <v>0.1367362146050671</v>
      </c>
      <c r="AD105" s="30">
        <v>0.54657228017883752</v>
      </c>
      <c r="AE105" s="30">
        <v>0.2235469448584203</v>
      </c>
      <c r="AF105" s="30">
        <v>7.3397913561847994E-2</v>
      </c>
      <c r="AG105" s="30">
        <v>116</v>
      </c>
      <c r="AH105" s="30">
        <v>106</v>
      </c>
      <c r="AI105" s="30">
        <v>90</v>
      </c>
      <c r="AJ105" s="30">
        <v>69</v>
      </c>
      <c r="AK105" s="30">
        <v>56</v>
      </c>
      <c r="AL105" s="30">
        <v>61</v>
      </c>
      <c r="AM105" s="30">
        <v>4.2473919523099847E-2</v>
      </c>
      <c r="AN105" s="30">
        <v>120</v>
      </c>
      <c r="AO105" s="30">
        <v>1.36</v>
      </c>
      <c r="AP105" s="30">
        <v>77</v>
      </c>
      <c r="AQ105" s="30">
        <v>1.4</v>
      </c>
      <c r="AR105" s="30">
        <v>26</v>
      </c>
      <c r="AS105" s="30">
        <v>1.5</v>
      </c>
      <c r="AT105" s="30">
        <v>51</v>
      </c>
      <c r="AU105" s="30">
        <v>1.31</v>
      </c>
      <c r="AV105" s="30">
        <v>31</v>
      </c>
      <c r="AW105" s="30">
        <v>1.34</v>
      </c>
      <c r="AX105" s="30">
        <v>9</v>
      </c>
      <c r="AY105" s="30">
        <v>1.47</v>
      </c>
      <c r="AZ105" s="30">
        <v>1.1499999999999999</v>
      </c>
      <c r="BA105" s="30">
        <v>111.5</v>
      </c>
      <c r="BB105" s="30">
        <v>0.77900000000000003</v>
      </c>
      <c r="BC105" s="30">
        <v>9.6000000000000002E-2</v>
      </c>
      <c r="BD105" s="30">
        <v>0.26400000000000001</v>
      </c>
      <c r="BE105" s="30">
        <v>101</v>
      </c>
      <c r="BF105" s="30">
        <v>0.108</v>
      </c>
      <c r="BG105" s="30">
        <v>0.47315789473684222</v>
      </c>
      <c r="BH105" s="30">
        <v>53.34666666666665</v>
      </c>
      <c r="BI105" s="30">
        <v>0.17</v>
      </c>
      <c r="BJ105" s="30">
        <v>0.20399999999999999</v>
      </c>
      <c r="BK105" s="30">
        <v>7.0000000000000007E-2</v>
      </c>
      <c r="BL105" s="30">
        <v>4.1100000000000003</v>
      </c>
      <c r="BM105" s="30">
        <v>98</v>
      </c>
      <c r="BN105" s="30">
        <v>40</v>
      </c>
      <c r="BO105" s="30">
        <v>62</v>
      </c>
      <c r="BP105" s="30">
        <v>82</v>
      </c>
      <c r="BQ105" s="30">
        <v>86</v>
      </c>
      <c r="BR105" s="30">
        <v>90</v>
      </c>
      <c r="BS105" s="30">
        <v>68</v>
      </c>
      <c r="BT105" s="30">
        <v>0.41399999999999998</v>
      </c>
      <c r="BU105" s="30">
        <v>1.544270884824519</v>
      </c>
      <c r="BV105" s="30">
        <v>0.11</v>
      </c>
      <c r="BW105" s="30">
        <v>0.12</v>
      </c>
      <c r="BX105" s="30">
        <v>0.11</v>
      </c>
      <c r="BY105" s="30">
        <v>0.19</v>
      </c>
      <c r="BZ105" s="30">
        <v>2.27</v>
      </c>
      <c r="CA105" s="30">
        <v>0.7390000000000001</v>
      </c>
      <c r="CB105" s="30">
        <v>77</v>
      </c>
      <c r="CC105" s="30">
        <v>0.35</v>
      </c>
      <c r="CD105" s="30">
        <v>0.40699999999999997</v>
      </c>
      <c r="CE105" s="30">
        <v>0.253</v>
      </c>
      <c r="CF105" s="30">
        <v>1.34</v>
      </c>
      <c r="CG105" s="30">
        <v>0.72</v>
      </c>
      <c r="CH105" s="30">
        <v>2.37</v>
      </c>
      <c r="CI105" s="30">
        <v>0.193</v>
      </c>
      <c r="CJ105" s="30">
        <v>0.16</v>
      </c>
      <c r="CK105" s="30">
        <v>46</v>
      </c>
      <c r="CL105" s="30">
        <v>1.34</v>
      </c>
      <c r="CM105" s="30">
        <v>16</v>
      </c>
      <c r="CN105" s="30">
        <v>1.36</v>
      </c>
      <c r="CO105" s="30">
        <v>2992.9157667386612</v>
      </c>
    </row>
    <row r="106" spans="1:93" ht="19.899999999999999" customHeight="1" x14ac:dyDescent="0.2">
      <c r="B106" s="30" t="s">
        <v>30</v>
      </c>
      <c r="C106" s="30">
        <v>127</v>
      </c>
      <c r="D106" s="30">
        <v>1.28</v>
      </c>
      <c r="E106" s="30">
        <v>2840</v>
      </c>
      <c r="F106" s="30">
        <v>1.36</v>
      </c>
      <c r="G106" s="30">
        <v>1.2</v>
      </c>
      <c r="H106" s="30">
        <v>0.218</v>
      </c>
      <c r="I106" s="30">
        <v>0.68500000000000005</v>
      </c>
      <c r="J106" s="30">
        <v>1.3</v>
      </c>
      <c r="K106" s="30">
        <v>1.37</v>
      </c>
      <c r="L106" s="30">
        <v>0.57999999999999996</v>
      </c>
      <c r="M106" s="30">
        <v>76</v>
      </c>
      <c r="N106" s="30">
        <v>3.41</v>
      </c>
      <c r="O106" s="30">
        <v>81.599999999999994</v>
      </c>
      <c r="P106" s="30">
        <v>0.82</v>
      </c>
      <c r="Q106" s="30">
        <v>0.63</v>
      </c>
      <c r="R106" s="30">
        <v>75.5</v>
      </c>
      <c r="S106" s="30">
        <v>1.1599999999999999</v>
      </c>
      <c r="T106" s="30">
        <v>78.900000000000006</v>
      </c>
      <c r="U106" s="30">
        <v>0.77</v>
      </c>
      <c r="V106" s="30">
        <v>676</v>
      </c>
      <c r="W106" s="30">
        <v>39</v>
      </c>
      <c r="X106" s="30">
        <v>1.22</v>
      </c>
      <c r="Y106" s="30">
        <v>65</v>
      </c>
      <c r="Z106" s="30">
        <v>1.24</v>
      </c>
      <c r="AA106" s="30">
        <v>101</v>
      </c>
      <c r="AB106" s="30">
        <v>1.25</v>
      </c>
      <c r="AC106" s="30">
        <v>0.14964788732394371</v>
      </c>
      <c r="AD106" s="30">
        <v>0.54084507042253516</v>
      </c>
      <c r="AE106" s="30">
        <v>0.21197183098591549</v>
      </c>
      <c r="AF106" s="30">
        <v>5.3873239436619723E-2</v>
      </c>
      <c r="AG106" s="30">
        <v>118</v>
      </c>
      <c r="AH106" s="30">
        <v>104</v>
      </c>
      <c r="AI106" s="30">
        <v>85</v>
      </c>
      <c r="AJ106" s="30">
        <v>67</v>
      </c>
      <c r="AK106" s="30">
        <v>46</v>
      </c>
      <c r="AL106" s="30">
        <v>37</v>
      </c>
      <c r="AM106" s="30">
        <v>2.042253521126761E-2</v>
      </c>
      <c r="AN106" s="30">
        <v>111</v>
      </c>
      <c r="AO106" s="30">
        <v>1.29</v>
      </c>
      <c r="AP106" s="30">
        <v>74</v>
      </c>
      <c r="AQ106" s="30">
        <v>1.28</v>
      </c>
      <c r="AR106" s="30">
        <v>30</v>
      </c>
      <c r="AS106" s="30">
        <v>1.23</v>
      </c>
      <c r="AT106" s="30">
        <v>40</v>
      </c>
      <c r="AU106" s="30">
        <v>1.22</v>
      </c>
      <c r="AV106" s="30">
        <v>22</v>
      </c>
      <c r="AW106" s="30">
        <v>1.26</v>
      </c>
      <c r="AX106" s="30">
        <v>9</v>
      </c>
      <c r="AY106" s="30">
        <v>1.24</v>
      </c>
      <c r="AZ106" s="30">
        <v>1.07</v>
      </c>
      <c r="BA106" s="30">
        <v>105.6</v>
      </c>
      <c r="BB106" s="30">
        <v>0.755</v>
      </c>
      <c r="BC106" s="30">
        <v>0.10299999999999999</v>
      </c>
      <c r="BD106" s="30">
        <v>0.24399999999999999</v>
      </c>
      <c r="BE106" s="30">
        <v>100</v>
      </c>
      <c r="BF106" s="30">
        <v>0.13500000000000001</v>
      </c>
      <c r="BG106" s="30">
        <v>0.53058779201205719</v>
      </c>
      <c r="BH106" s="30">
        <v>54.236021100226061</v>
      </c>
      <c r="BI106" s="30">
        <v>0.15</v>
      </c>
      <c r="BJ106" s="30">
        <v>0.184</v>
      </c>
      <c r="BK106" s="30">
        <v>0.09</v>
      </c>
      <c r="BL106" s="30">
        <v>3.1</v>
      </c>
      <c r="BM106" s="30">
        <v>94</v>
      </c>
      <c r="BN106" s="30">
        <v>25</v>
      </c>
      <c r="BO106" s="30">
        <v>48</v>
      </c>
      <c r="BP106" s="30">
        <v>85</v>
      </c>
      <c r="BQ106" s="30">
        <v>59</v>
      </c>
      <c r="BR106" s="30">
        <v>94</v>
      </c>
      <c r="BS106" s="30">
        <v>62</v>
      </c>
      <c r="BT106" s="30">
        <v>0.375</v>
      </c>
      <c r="BU106" s="30">
        <v>1.4287607081667619</v>
      </c>
      <c r="BV106" s="30">
        <v>0.11</v>
      </c>
      <c r="BW106" s="30">
        <v>0.11</v>
      </c>
      <c r="BX106" s="30">
        <v>0.09</v>
      </c>
      <c r="BY106" s="30">
        <v>0.17399999999999999</v>
      </c>
      <c r="BZ106" s="30">
        <v>1.95</v>
      </c>
      <c r="CA106" s="30">
        <v>0.629</v>
      </c>
      <c r="CB106" s="30">
        <v>78</v>
      </c>
      <c r="CC106" s="30">
        <v>0.44</v>
      </c>
      <c r="CD106" s="30">
        <v>0.53799999999999992</v>
      </c>
      <c r="CE106" s="30">
        <v>0.33200000000000002</v>
      </c>
      <c r="CF106" s="30">
        <v>0.77</v>
      </c>
      <c r="CG106" s="30">
        <v>0.81</v>
      </c>
      <c r="CH106" s="30">
        <v>2.36</v>
      </c>
      <c r="CI106" s="30">
        <v>0.182</v>
      </c>
      <c r="CJ106" s="30">
        <v>0.12</v>
      </c>
      <c r="CK106" s="30">
        <v>32</v>
      </c>
      <c r="CL106" s="30">
        <v>1.24</v>
      </c>
      <c r="CM106" s="30">
        <v>9</v>
      </c>
      <c r="CN106" s="30">
        <v>1.05</v>
      </c>
      <c r="CO106" s="30">
        <v>3311.041756349548</v>
      </c>
    </row>
    <row r="107" spans="1:93" ht="19.899999999999999" customHeight="1" x14ac:dyDescent="0.2">
      <c r="B107" s="30" t="s">
        <v>170</v>
      </c>
      <c r="C107" s="30">
        <v>118</v>
      </c>
      <c r="D107" s="30">
        <v>1.17</v>
      </c>
      <c r="E107" s="30">
        <v>2568</v>
      </c>
      <c r="F107" s="30">
        <v>1.23</v>
      </c>
      <c r="G107" s="30">
        <v>1.1100000000000001</v>
      </c>
      <c r="H107" s="30">
        <v>0.15</v>
      </c>
      <c r="I107" s="30">
        <v>0.66700000000000004</v>
      </c>
      <c r="J107" s="30">
        <v>1.08</v>
      </c>
      <c r="K107" s="30">
        <v>1.33</v>
      </c>
      <c r="L107" s="30">
        <v>0.54</v>
      </c>
      <c r="M107" s="30">
        <v>77.400000000000006</v>
      </c>
      <c r="N107" s="30">
        <v>1.78</v>
      </c>
      <c r="O107" s="30">
        <v>75.8</v>
      </c>
      <c r="P107" s="30">
        <v>0.76</v>
      </c>
      <c r="Q107" s="30">
        <v>0.57999999999999996</v>
      </c>
      <c r="R107" s="30">
        <v>74.8</v>
      </c>
      <c r="S107" s="30">
        <v>1.04</v>
      </c>
      <c r="T107" s="30">
        <v>72.599999999999994</v>
      </c>
      <c r="U107" s="30">
        <v>0.7</v>
      </c>
      <c r="V107" s="30">
        <v>571</v>
      </c>
      <c r="W107" s="30">
        <v>32</v>
      </c>
      <c r="X107" s="30">
        <v>1.17</v>
      </c>
      <c r="Y107" s="30">
        <v>54</v>
      </c>
      <c r="Z107" s="30">
        <v>1.19</v>
      </c>
      <c r="AA107" s="30">
        <v>96</v>
      </c>
      <c r="AB107" s="30">
        <v>1.17</v>
      </c>
      <c r="AC107" s="30">
        <v>9.9688473520249218E-2</v>
      </c>
      <c r="AD107" s="30">
        <v>0.51947040498442365</v>
      </c>
      <c r="AE107" s="30">
        <v>0.1884735202492212</v>
      </c>
      <c r="AF107" s="30">
        <v>4.1277258566978191E-2</v>
      </c>
      <c r="AG107" s="30">
        <v>103</v>
      </c>
      <c r="AH107" s="30">
        <v>91</v>
      </c>
      <c r="AI107" s="30">
        <v>72</v>
      </c>
      <c r="AJ107" s="30">
        <v>41</v>
      </c>
      <c r="AK107" s="30">
        <v>27</v>
      </c>
      <c r="AL107" s="30">
        <v>61</v>
      </c>
      <c r="AM107" s="30">
        <v>3.3878504672897193E-2</v>
      </c>
      <c r="AN107" s="30">
        <v>103</v>
      </c>
      <c r="AO107" s="30">
        <v>1.1499999999999999</v>
      </c>
      <c r="AP107" s="30">
        <v>59</v>
      </c>
      <c r="AQ107" s="30">
        <v>1.2</v>
      </c>
      <c r="AR107" s="30">
        <v>26</v>
      </c>
      <c r="AS107" s="30">
        <v>1.25</v>
      </c>
      <c r="AT107" s="30">
        <v>50</v>
      </c>
      <c r="AU107" s="30">
        <v>1.1000000000000001</v>
      </c>
      <c r="AV107" s="30">
        <v>22</v>
      </c>
      <c r="AW107" s="30">
        <v>1.1499999999999999</v>
      </c>
      <c r="AX107" s="30">
        <v>9</v>
      </c>
      <c r="AY107" s="30">
        <v>1.1399999999999999</v>
      </c>
      <c r="AZ107" s="30">
        <v>0.97</v>
      </c>
      <c r="BA107" s="30">
        <v>93.6</v>
      </c>
      <c r="BB107" s="30">
        <v>0.75800000000000001</v>
      </c>
      <c r="BC107" s="30">
        <v>0.13300000000000001</v>
      </c>
      <c r="BD107" s="30">
        <v>0.28699999999999998</v>
      </c>
      <c r="BE107" s="30">
        <v>100</v>
      </c>
      <c r="BF107" s="30">
        <v>0.14899999999999999</v>
      </c>
      <c r="BG107" s="30">
        <v>0.484781054512958</v>
      </c>
      <c r="BH107" s="30">
        <v>52.750670241286862</v>
      </c>
      <c r="BI107" s="30">
        <v>0.17</v>
      </c>
      <c r="BJ107" s="30">
        <v>0.192</v>
      </c>
      <c r="BK107" s="30">
        <v>7.0000000000000007E-2</v>
      </c>
      <c r="BL107" s="30">
        <v>3.5</v>
      </c>
      <c r="BM107" s="30">
        <v>79</v>
      </c>
      <c r="BN107" s="30">
        <v>24</v>
      </c>
      <c r="BO107" s="30">
        <v>69</v>
      </c>
      <c r="BP107" s="30">
        <v>48</v>
      </c>
      <c r="BQ107" s="30">
        <v>83</v>
      </c>
      <c r="BR107" s="30">
        <v>92</v>
      </c>
      <c r="BS107" s="30">
        <v>63</v>
      </c>
      <c r="BT107" s="30">
        <v>0.32900000000000001</v>
      </c>
      <c r="BU107" s="30">
        <v>1.2641977309562391</v>
      </c>
      <c r="BV107" s="30">
        <v>0.1</v>
      </c>
      <c r="BW107" s="30">
        <v>0.11</v>
      </c>
      <c r="BX107" s="30">
        <v>0.09</v>
      </c>
      <c r="BY107" s="30">
        <v>0.21199999999999999</v>
      </c>
      <c r="BZ107" s="30">
        <v>2.12</v>
      </c>
      <c r="CA107" s="30">
        <v>0.63200000000000001</v>
      </c>
      <c r="CB107" s="30">
        <v>80</v>
      </c>
      <c r="CC107" s="30">
        <v>0.36</v>
      </c>
      <c r="CD107" s="30">
        <v>0.47499999999999998</v>
      </c>
      <c r="CE107" s="30">
        <v>0.28799999999999998</v>
      </c>
      <c r="CF107" s="30">
        <v>0.82</v>
      </c>
      <c r="CG107" s="30">
        <v>0.79</v>
      </c>
      <c r="CH107" s="30">
        <v>2.2599999999999998</v>
      </c>
      <c r="CI107" s="30">
        <v>0.218</v>
      </c>
      <c r="CJ107" s="30">
        <v>0.14000000000000001</v>
      </c>
      <c r="CK107" s="30">
        <v>47</v>
      </c>
      <c r="CL107" s="30">
        <v>1.1000000000000001</v>
      </c>
      <c r="CM107" s="30">
        <v>14</v>
      </c>
      <c r="CN107" s="30">
        <v>0.95</v>
      </c>
      <c r="CO107" s="30">
        <v>3105.9804928131421</v>
      </c>
    </row>
    <row r="108" spans="1:93" ht="19.899999999999999" customHeight="1" x14ac:dyDescent="0.2">
      <c r="B108" s="30" t="s">
        <v>161</v>
      </c>
      <c r="C108" s="30">
        <v>137</v>
      </c>
      <c r="D108" s="30">
        <v>1.1599999999999999</v>
      </c>
      <c r="E108" s="30">
        <v>2958</v>
      </c>
      <c r="F108" s="30">
        <v>1.2</v>
      </c>
      <c r="G108" s="30">
        <v>1.1200000000000001</v>
      </c>
      <c r="H108" s="30">
        <v>0.189</v>
      </c>
      <c r="I108" s="30">
        <v>0.53400000000000003</v>
      </c>
      <c r="J108" s="30">
        <v>1.02</v>
      </c>
      <c r="K108" s="30">
        <v>1.1200000000000001</v>
      </c>
      <c r="L108" s="30">
        <v>0.61</v>
      </c>
      <c r="M108" s="30">
        <v>75.099999999999994</v>
      </c>
      <c r="N108" s="30">
        <v>1.39</v>
      </c>
      <c r="O108" s="30">
        <v>78.7</v>
      </c>
      <c r="P108" s="30">
        <v>0.73</v>
      </c>
      <c r="Q108" s="30">
        <v>0.63</v>
      </c>
      <c r="R108" s="30">
        <v>72.7</v>
      </c>
      <c r="S108" s="30">
        <v>1.1599999999999999</v>
      </c>
      <c r="T108" s="30">
        <v>78.2</v>
      </c>
      <c r="U108" s="30">
        <v>0.73</v>
      </c>
      <c r="V108" s="30">
        <v>342</v>
      </c>
      <c r="W108" s="30">
        <v>28</v>
      </c>
      <c r="X108" s="30">
        <v>1.0900000000000001</v>
      </c>
      <c r="Y108" s="30">
        <v>64</v>
      </c>
      <c r="Z108" s="30">
        <v>1.1200000000000001</v>
      </c>
      <c r="AA108" s="30">
        <v>112</v>
      </c>
      <c r="AB108" s="30">
        <v>1.1499999999999999</v>
      </c>
      <c r="AC108" s="30">
        <v>0.10074374577417169</v>
      </c>
      <c r="AD108" s="30">
        <v>0.49154834347532123</v>
      </c>
      <c r="AE108" s="30">
        <v>0.1764705882352941</v>
      </c>
      <c r="AF108" s="30">
        <v>4.8343475321162947E-2</v>
      </c>
      <c r="AG108" s="30">
        <v>115</v>
      </c>
      <c r="AH108" s="30">
        <v>95</v>
      </c>
      <c r="AI108" s="30">
        <v>70</v>
      </c>
      <c r="AJ108" s="30">
        <v>54</v>
      </c>
      <c r="AK108" s="30">
        <v>33</v>
      </c>
      <c r="AL108" s="30">
        <v>49</v>
      </c>
      <c r="AM108" s="30">
        <v>2.7383367139959432E-2</v>
      </c>
      <c r="AN108" s="30">
        <v>119</v>
      </c>
      <c r="AO108" s="30">
        <v>1.17</v>
      </c>
      <c r="AP108" s="30">
        <v>84</v>
      </c>
      <c r="AQ108" s="30">
        <v>1.18</v>
      </c>
      <c r="AR108" s="30">
        <v>35</v>
      </c>
      <c r="AS108" s="30">
        <v>1.1399999999999999</v>
      </c>
      <c r="AT108" s="30">
        <v>42</v>
      </c>
      <c r="AU108" s="30">
        <v>1.1100000000000001</v>
      </c>
      <c r="AV108" s="30">
        <v>32</v>
      </c>
      <c r="AW108" s="30">
        <v>1.1000000000000001</v>
      </c>
      <c r="AX108" s="30">
        <v>17</v>
      </c>
      <c r="AY108" s="30">
        <v>1.08</v>
      </c>
      <c r="AZ108" s="30">
        <v>1</v>
      </c>
      <c r="BA108" s="30">
        <v>101.2</v>
      </c>
      <c r="BB108" s="30">
        <v>0.70499999999999996</v>
      </c>
      <c r="BC108" s="30">
        <v>0.113</v>
      </c>
      <c r="BD108" s="30">
        <v>0.28299999999999997</v>
      </c>
      <c r="BE108" s="30">
        <v>108</v>
      </c>
      <c r="BF108" s="30">
        <v>0.107</v>
      </c>
      <c r="BG108" s="30">
        <v>0.43493635077793491</v>
      </c>
      <c r="BH108" s="30">
        <v>54.131400282885423</v>
      </c>
      <c r="BI108" s="30">
        <v>0.15</v>
      </c>
      <c r="BJ108" s="30">
        <v>0.20399999999999999</v>
      </c>
      <c r="BK108" s="30">
        <v>0.06</v>
      </c>
      <c r="BL108" s="30">
        <v>6.37</v>
      </c>
      <c r="BM108" s="30">
        <v>77</v>
      </c>
      <c r="BN108" s="30">
        <v>37</v>
      </c>
      <c r="BO108" s="30">
        <v>55</v>
      </c>
      <c r="BP108" s="30">
        <v>50</v>
      </c>
      <c r="BQ108" s="30">
        <v>66</v>
      </c>
      <c r="BR108" s="30">
        <v>1</v>
      </c>
      <c r="BS108" s="30">
        <v>78</v>
      </c>
      <c r="BT108" s="30">
        <v>0.49399999999999999</v>
      </c>
      <c r="BU108" s="30">
        <v>1.3233125778331249</v>
      </c>
      <c r="BV108" s="30">
        <v>0.13</v>
      </c>
      <c r="BW108" s="30">
        <v>0.11</v>
      </c>
      <c r="BX108" s="30">
        <v>0.09</v>
      </c>
      <c r="BY108" s="30">
        <v>0.219</v>
      </c>
      <c r="BZ108" s="30">
        <v>3.09</v>
      </c>
      <c r="CA108" s="30">
        <v>0.71099999999999997</v>
      </c>
      <c r="CB108" s="30">
        <v>74</v>
      </c>
      <c r="CC108" s="30">
        <v>0.01</v>
      </c>
      <c r="CD108" s="30">
        <v>1.2999999999999999E-2</v>
      </c>
      <c r="CE108" s="30">
        <v>6.9999999999999993E-3</v>
      </c>
      <c r="CF108" s="30">
        <v>1.56</v>
      </c>
      <c r="CG108" s="30">
        <v>0.61</v>
      </c>
      <c r="CH108" s="30">
        <v>2.42</v>
      </c>
      <c r="CI108" s="30">
        <v>0.20100000000000001</v>
      </c>
      <c r="CJ108" s="30">
        <v>0.21</v>
      </c>
      <c r="CK108" s="30">
        <v>37</v>
      </c>
      <c r="CL108" s="30">
        <v>1.1200000000000001</v>
      </c>
      <c r="CM108" s="30">
        <v>7</v>
      </c>
      <c r="CN108" s="30">
        <v>0.9</v>
      </c>
      <c r="CO108" s="30">
        <v>2247.7072718851318</v>
      </c>
    </row>
    <row r="109" spans="1:93" ht="19.899999999999999" customHeight="1" x14ac:dyDescent="0.2">
      <c r="B109" s="30" t="s">
        <v>144</v>
      </c>
      <c r="C109" s="30">
        <v>117</v>
      </c>
      <c r="D109" s="30">
        <v>1.1599999999999999</v>
      </c>
      <c r="E109" s="30">
        <v>2620</v>
      </c>
      <c r="F109" s="30">
        <v>1.1499999999999999</v>
      </c>
      <c r="G109" s="30">
        <v>1.18</v>
      </c>
      <c r="H109" s="30">
        <v>0.252</v>
      </c>
      <c r="I109" s="30">
        <v>0.53299999999999992</v>
      </c>
      <c r="J109" s="30">
        <v>1.1399999999999999</v>
      </c>
      <c r="K109" s="30">
        <v>1.32</v>
      </c>
      <c r="L109" s="30">
        <v>0.69</v>
      </c>
      <c r="M109" s="30">
        <v>73.599999999999994</v>
      </c>
      <c r="N109" s="30">
        <v>1.01</v>
      </c>
      <c r="O109" s="30">
        <v>82.8</v>
      </c>
      <c r="P109" s="30">
        <v>0.77</v>
      </c>
      <c r="Q109" s="30">
        <v>0.71</v>
      </c>
      <c r="R109" s="30">
        <v>72</v>
      </c>
      <c r="S109" s="30">
        <v>1.19</v>
      </c>
      <c r="T109" s="30">
        <v>81.900000000000006</v>
      </c>
      <c r="U109" s="30">
        <v>0.76</v>
      </c>
      <c r="V109" s="30">
        <v>198</v>
      </c>
      <c r="W109" s="30">
        <v>36</v>
      </c>
      <c r="X109" s="30">
        <v>1.1599999999999999</v>
      </c>
      <c r="Y109" s="30">
        <v>62</v>
      </c>
      <c r="Z109" s="30">
        <v>1.1599999999999999</v>
      </c>
      <c r="AA109" s="30">
        <v>93</v>
      </c>
      <c r="AB109" s="30">
        <v>1.1599999999999999</v>
      </c>
      <c r="AC109" s="30">
        <v>0.13396946564885501</v>
      </c>
      <c r="AD109" s="30">
        <v>0.49503816793893129</v>
      </c>
      <c r="AE109" s="30">
        <v>0.20229007633587789</v>
      </c>
      <c r="AF109" s="30">
        <v>5.7251908396946563E-2</v>
      </c>
      <c r="AG109" s="30">
        <v>96</v>
      </c>
      <c r="AH109" s="30">
        <v>88</v>
      </c>
      <c r="AI109" s="30">
        <v>70</v>
      </c>
      <c r="AJ109" s="30">
        <v>47</v>
      </c>
      <c r="AK109" s="30">
        <v>30</v>
      </c>
      <c r="AL109" s="30">
        <v>14</v>
      </c>
      <c r="AM109" s="30">
        <v>9.9236641221374048E-3</v>
      </c>
      <c r="AN109" s="30">
        <v>101</v>
      </c>
      <c r="AO109" s="30">
        <v>1.1499999999999999</v>
      </c>
      <c r="AP109" s="30">
        <v>72</v>
      </c>
      <c r="AQ109" s="30">
        <v>1.1599999999999999</v>
      </c>
      <c r="AR109" s="30">
        <v>30</v>
      </c>
      <c r="AS109" s="30">
        <v>1.18</v>
      </c>
      <c r="AT109" s="30">
        <v>32</v>
      </c>
      <c r="AU109" s="30">
        <v>1.18</v>
      </c>
      <c r="AV109" s="30">
        <v>22</v>
      </c>
      <c r="AW109" s="30">
        <v>1.19</v>
      </c>
      <c r="AX109" s="30">
        <v>9</v>
      </c>
      <c r="AY109" s="30">
        <v>1.3</v>
      </c>
      <c r="AZ109" s="30">
        <v>1.05</v>
      </c>
      <c r="BA109" s="30">
        <v>108</v>
      </c>
      <c r="BB109" s="30">
        <v>0.70700000000000007</v>
      </c>
      <c r="BC109" s="30">
        <v>5.4000000000000013E-2</v>
      </c>
      <c r="BD109" s="30">
        <v>0.25800000000000001</v>
      </c>
      <c r="BE109" s="30">
        <v>108</v>
      </c>
      <c r="BF109" s="30">
        <v>5.8000000000000003E-2</v>
      </c>
      <c r="BG109" s="30">
        <v>0.44165985282093201</v>
      </c>
      <c r="BH109" s="30">
        <v>54.014717906786593</v>
      </c>
      <c r="BI109" s="30">
        <v>0.17</v>
      </c>
      <c r="BJ109" s="30">
        <v>0.22900000000000001</v>
      </c>
      <c r="BK109" s="30">
        <v>0.02</v>
      </c>
      <c r="BL109" s="30">
        <v>3.87</v>
      </c>
      <c r="BM109" s="30">
        <v>91</v>
      </c>
      <c r="BN109" s="30">
        <v>78</v>
      </c>
      <c r="BO109" s="30">
        <v>81</v>
      </c>
      <c r="BP109" s="30">
        <v>82</v>
      </c>
      <c r="BQ109" s="30">
        <v>28</v>
      </c>
      <c r="BR109" s="30">
        <v>2</v>
      </c>
      <c r="BS109" s="30">
        <v>29</v>
      </c>
      <c r="BT109" s="30">
        <v>0.58099999999999996</v>
      </c>
      <c r="BU109" s="30">
        <v>1.327972805933251</v>
      </c>
      <c r="BV109" s="30">
        <v>0.16</v>
      </c>
      <c r="BW109" s="30">
        <v>0.15</v>
      </c>
      <c r="BX109" s="30">
        <v>0.12</v>
      </c>
      <c r="BY109" s="30">
        <v>0.183</v>
      </c>
      <c r="BZ109" s="30">
        <v>2.72</v>
      </c>
      <c r="CA109" s="30">
        <v>0.375</v>
      </c>
      <c r="CB109" s="30">
        <v>69</v>
      </c>
      <c r="CC109" s="30">
        <v>0.02</v>
      </c>
      <c r="CD109" s="30">
        <v>2.1999999999999999E-2</v>
      </c>
      <c r="CE109" s="30">
        <v>1.0999999999999999E-2</v>
      </c>
      <c r="CF109" s="30">
        <v>0.53</v>
      </c>
      <c r="CG109" s="30">
        <v>0.4</v>
      </c>
      <c r="CH109" s="30">
        <v>1.5</v>
      </c>
      <c r="CI109" s="30">
        <v>0.22800000000000001</v>
      </c>
      <c r="CJ109" s="30">
        <v>0.22</v>
      </c>
      <c r="CK109" s="30">
        <v>32</v>
      </c>
      <c r="CL109" s="30">
        <v>1.18</v>
      </c>
      <c r="CM109" s="30">
        <v>6</v>
      </c>
      <c r="CN109" s="30">
        <v>1.25</v>
      </c>
      <c r="CO109" s="30">
        <v>2331.8883906327851</v>
      </c>
    </row>
    <row r="110" spans="1:93" ht="19.899999999999999" customHeight="1" x14ac:dyDescent="0.2">
      <c r="B110" s="30" t="s">
        <v>148</v>
      </c>
      <c r="C110" s="30">
        <v>124</v>
      </c>
      <c r="D110" s="30">
        <v>1.1599999999999999</v>
      </c>
      <c r="E110" s="30">
        <v>2684</v>
      </c>
      <c r="F110" s="30">
        <v>1.18</v>
      </c>
      <c r="G110" s="30">
        <v>1.1399999999999999</v>
      </c>
      <c r="H110" s="30">
        <v>0.27200000000000002</v>
      </c>
      <c r="I110" s="30">
        <v>0.52</v>
      </c>
      <c r="J110" s="30">
        <v>1.1599999999999999</v>
      </c>
      <c r="K110" s="30">
        <v>1.02</v>
      </c>
      <c r="L110" s="30">
        <v>0.66</v>
      </c>
      <c r="M110" s="30">
        <v>75.5</v>
      </c>
      <c r="N110" s="30">
        <v>1.1100000000000001</v>
      </c>
      <c r="O110" s="30">
        <v>76.8</v>
      </c>
      <c r="P110" s="30">
        <v>0.72</v>
      </c>
      <c r="Q110" s="30">
        <v>0.67</v>
      </c>
      <c r="R110" s="30">
        <v>73.7</v>
      </c>
      <c r="S110" s="30">
        <v>1.17</v>
      </c>
      <c r="T110" s="30">
        <v>76.7</v>
      </c>
      <c r="U110" s="30">
        <v>0.73</v>
      </c>
      <c r="V110" s="30">
        <v>171</v>
      </c>
      <c r="W110" s="30">
        <v>40</v>
      </c>
      <c r="X110" s="30">
        <v>1.1200000000000001</v>
      </c>
      <c r="Y110" s="30">
        <v>71</v>
      </c>
      <c r="Z110" s="30">
        <v>1.1399999999999999</v>
      </c>
      <c r="AA110" s="30">
        <v>99</v>
      </c>
      <c r="AB110" s="30">
        <v>1.1399999999999999</v>
      </c>
      <c r="AC110" s="30">
        <v>0.14120715350223551</v>
      </c>
      <c r="AD110" s="30">
        <v>0.47690014903129663</v>
      </c>
      <c r="AE110" s="30">
        <v>0.1862891207153502</v>
      </c>
      <c r="AF110" s="30">
        <v>5.0298062593144559E-2</v>
      </c>
      <c r="AG110" s="30">
        <v>105</v>
      </c>
      <c r="AH110" s="30">
        <v>83</v>
      </c>
      <c r="AI110" s="30">
        <v>65</v>
      </c>
      <c r="AJ110" s="30">
        <v>47</v>
      </c>
      <c r="AK110" s="30">
        <v>33</v>
      </c>
      <c r="AL110" s="30">
        <v>21</v>
      </c>
      <c r="AM110" s="30">
        <v>1.341281669150522E-2</v>
      </c>
      <c r="AN110" s="30">
        <v>120</v>
      </c>
      <c r="AO110" s="30">
        <v>1.1599999999999999</v>
      </c>
      <c r="AP110" s="30">
        <v>77</v>
      </c>
      <c r="AQ110" s="30">
        <v>1.18</v>
      </c>
      <c r="AR110" s="30">
        <v>26</v>
      </c>
      <c r="AS110" s="30">
        <v>1.1499999999999999</v>
      </c>
      <c r="AT110" s="30">
        <v>51</v>
      </c>
      <c r="AU110" s="30">
        <v>1.1599999999999999</v>
      </c>
      <c r="AV110" s="30">
        <v>31</v>
      </c>
      <c r="AW110" s="30">
        <v>1.17</v>
      </c>
      <c r="AX110" s="30">
        <v>9</v>
      </c>
      <c r="AY110" s="30">
        <v>1.0900000000000001</v>
      </c>
      <c r="AZ110" s="30">
        <v>0.96</v>
      </c>
      <c r="BA110" s="30">
        <v>96.8</v>
      </c>
      <c r="BB110" s="30">
        <v>0.77800000000000002</v>
      </c>
      <c r="BC110" s="30">
        <v>0.06</v>
      </c>
      <c r="BD110" s="30">
        <v>0.26700000000000002</v>
      </c>
      <c r="BE110" s="30">
        <v>106</v>
      </c>
      <c r="BF110" s="30">
        <v>5.5999999999999987E-2</v>
      </c>
      <c r="BG110" s="30">
        <v>0.40154385964912281</v>
      </c>
      <c r="BH110" s="30">
        <v>49.712280701754388</v>
      </c>
      <c r="BI110" s="30">
        <v>0.14000000000000001</v>
      </c>
      <c r="BJ110" s="30">
        <v>0.27600000000000002</v>
      </c>
      <c r="BK110" s="30">
        <v>0.05</v>
      </c>
      <c r="BL110" s="30">
        <v>3.94</v>
      </c>
      <c r="BM110" s="30">
        <v>77</v>
      </c>
      <c r="BN110" s="30">
        <v>94</v>
      </c>
      <c r="BO110" s="30">
        <v>47</v>
      </c>
      <c r="BP110" s="30">
        <v>88</v>
      </c>
      <c r="BQ110" s="30">
        <v>34</v>
      </c>
      <c r="BR110" s="30">
        <v>0</v>
      </c>
      <c r="BS110" s="30">
        <v>63</v>
      </c>
      <c r="BT110" s="30">
        <v>0.55100000000000005</v>
      </c>
      <c r="BU110" s="30">
        <v>1.2811764705882349</v>
      </c>
      <c r="BV110" s="30">
        <v>0.18</v>
      </c>
      <c r="BW110" s="30">
        <v>0.11</v>
      </c>
      <c r="BX110" s="30">
        <v>0.13</v>
      </c>
      <c r="BY110" s="30">
        <v>0.20599999999999999</v>
      </c>
      <c r="BZ110" s="30">
        <v>2.92</v>
      </c>
      <c r="CA110" s="30">
        <v>0.75</v>
      </c>
      <c r="CB110" s="30">
        <v>71</v>
      </c>
      <c r="CC110" s="30">
        <v>0</v>
      </c>
      <c r="CD110" s="30">
        <v>3.0000000000000001E-3</v>
      </c>
      <c r="CE110" s="30">
        <v>2E-3</v>
      </c>
      <c r="CF110" s="30">
        <v>0.6</v>
      </c>
      <c r="CG110" s="30">
        <v>0.82</v>
      </c>
      <c r="CH110" s="30">
        <v>1.83</v>
      </c>
      <c r="CI110" s="30">
        <v>0.189</v>
      </c>
      <c r="CJ110" s="30">
        <v>0.2</v>
      </c>
      <c r="CK110" s="30">
        <v>46</v>
      </c>
      <c r="CL110" s="30">
        <v>1.1599999999999999</v>
      </c>
      <c r="CM110" s="30">
        <v>16</v>
      </c>
      <c r="CN110" s="30">
        <v>1.2</v>
      </c>
      <c r="CO110" s="30">
        <v>2137.2680412371128</v>
      </c>
    </row>
    <row r="111" spans="1:93" ht="19.899999999999999" customHeight="1" x14ac:dyDescent="0.2">
      <c r="B111" s="30" t="s">
        <v>157</v>
      </c>
      <c r="C111" s="30">
        <v>113</v>
      </c>
      <c r="D111" s="30">
        <v>1.1499999999999999</v>
      </c>
      <c r="E111" s="30">
        <v>2370</v>
      </c>
      <c r="F111" s="30">
        <v>1.2</v>
      </c>
      <c r="G111" s="30">
        <v>1.1100000000000001</v>
      </c>
      <c r="H111" s="30">
        <v>0.25800000000000001</v>
      </c>
      <c r="I111" s="30">
        <v>0.51</v>
      </c>
      <c r="J111" s="30">
        <v>1.1100000000000001</v>
      </c>
      <c r="K111" s="30">
        <v>1.08</v>
      </c>
      <c r="L111" s="30">
        <v>0.68</v>
      </c>
      <c r="M111" s="30">
        <v>71.599999999999994</v>
      </c>
      <c r="N111" s="30">
        <v>1.45</v>
      </c>
      <c r="O111" s="30">
        <v>81.5</v>
      </c>
      <c r="P111" s="30">
        <v>0.72</v>
      </c>
      <c r="Q111" s="30">
        <v>0.7</v>
      </c>
      <c r="R111" s="30">
        <v>70</v>
      </c>
      <c r="S111" s="30">
        <v>1.21</v>
      </c>
      <c r="T111" s="30">
        <v>81.3</v>
      </c>
      <c r="U111" s="30">
        <v>0.74</v>
      </c>
      <c r="V111" s="30">
        <v>100</v>
      </c>
      <c r="W111" s="30">
        <v>11</v>
      </c>
      <c r="X111" s="30">
        <v>1.1599999999999999</v>
      </c>
      <c r="Y111" s="30">
        <v>36</v>
      </c>
      <c r="Z111" s="30">
        <v>1.1100000000000001</v>
      </c>
      <c r="AA111" s="30">
        <v>84</v>
      </c>
      <c r="AB111" s="30">
        <v>1.1499999999999999</v>
      </c>
      <c r="AC111" s="30">
        <v>0.1316455696202532</v>
      </c>
      <c r="AD111" s="30">
        <v>0.47257383966244731</v>
      </c>
      <c r="AE111" s="30">
        <v>0.18354430379746839</v>
      </c>
      <c r="AF111" s="30">
        <v>5.6540084388185648E-2</v>
      </c>
      <c r="AG111" s="30">
        <v>93</v>
      </c>
      <c r="AH111" s="30">
        <v>77</v>
      </c>
      <c r="AI111" s="30">
        <v>60</v>
      </c>
      <c r="AJ111" s="30">
        <v>39</v>
      </c>
      <c r="AK111" s="30">
        <v>24</v>
      </c>
      <c r="AL111" s="30">
        <v>31</v>
      </c>
      <c r="AM111" s="30">
        <v>2.0675105485232069E-2</v>
      </c>
      <c r="AN111" s="30">
        <v>65</v>
      </c>
      <c r="AO111" s="30">
        <v>1.1499999999999999</v>
      </c>
      <c r="AP111" s="30">
        <v>30</v>
      </c>
      <c r="AQ111" s="30">
        <v>1.1299999999999999</v>
      </c>
      <c r="AR111" s="30">
        <v>11</v>
      </c>
      <c r="AS111" s="30">
        <v>1.01</v>
      </c>
      <c r="AT111" s="30">
        <v>14</v>
      </c>
      <c r="AU111" s="30">
        <v>1.1299999999999999</v>
      </c>
      <c r="AV111" s="30">
        <v>3</v>
      </c>
      <c r="AW111" s="30">
        <v>1.1200000000000001</v>
      </c>
      <c r="AX111" s="30">
        <v>0</v>
      </c>
      <c r="AY111" s="30" t="s">
        <v>141</v>
      </c>
      <c r="AZ111" s="30">
        <v>1.05</v>
      </c>
      <c r="BA111" s="30">
        <v>111</v>
      </c>
      <c r="BB111" s="30">
        <v>0.7340000000000001</v>
      </c>
      <c r="BC111" s="30">
        <v>6.5000000000000002E-2</v>
      </c>
      <c r="BD111" s="30">
        <v>0.23100000000000001</v>
      </c>
      <c r="BE111" s="30">
        <v>113</v>
      </c>
      <c r="BF111" s="30">
        <v>0.08</v>
      </c>
      <c r="BG111" s="30">
        <v>0.38861301369862999</v>
      </c>
      <c r="BH111" s="30">
        <v>51.141267123287669</v>
      </c>
      <c r="BI111" s="30">
        <v>0.14000000000000001</v>
      </c>
      <c r="BJ111" s="30">
        <v>0.215</v>
      </c>
      <c r="BK111" s="30">
        <v>0.04</v>
      </c>
      <c r="BL111" s="30">
        <v>6.5</v>
      </c>
      <c r="BM111" s="30">
        <v>82</v>
      </c>
      <c r="BN111" s="30">
        <v>61</v>
      </c>
      <c r="BO111" s="30">
        <v>50</v>
      </c>
      <c r="BP111" s="30">
        <v>82</v>
      </c>
      <c r="BQ111" s="30">
        <v>48</v>
      </c>
      <c r="BR111" s="30">
        <v>0</v>
      </c>
      <c r="BS111" s="30">
        <v>78</v>
      </c>
      <c r="BT111" s="30">
        <v>0.57499999999999996</v>
      </c>
      <c r="BU111" s="30">
        <v>1.3319791666666669</v>
      </c>
      <c r="BV111" s="30">
        <v>0.15</v>
      </c>
      <c r="BW111" s="30">
        <v>0.12</v>
      </c>
      <c r="BX111" s="30">
        <v>0.11</v>
      </c>
      <c r="BY111" s="30">
        <v>0.186</v>
      </c>
      <c r="BZ111" s="30">
        <v>2.93</v>
      </c>
      <c r="CA111" s="30">
        <v>0.875</v>
      </c>
      <c r="CB111" s="30">
        <v>67</v>
      </c>
      <c r="CC111" s="30">
        <v>0</v>
      </c>
      <c r="CD111" s="30">
        <v>6.0000000000000001E-3</v>
      </c>
      <c r="CE111" s="30">
        <v>4.0000000000000001E-3</v>
      </c>
      <c r="CF111" s="30">
        <v>0.8</v>
      </c>
      <c r="CG111" s="30">
        <v>0.65</v>
      </c>
      <c r="CH111" s="30">
        <v>2.37</v>
      </c>
      <c r="CI111" s="30">
        <v>0.193</v>
      </c>
      <c r="CJ111" s="30">
        <v>0.22</v>
      </c>
      <c r="CK111" s="30">
        <v>14</v>
      </c>
      <c r="CL111" s="30">
        <v>1.1299999999999999</v>
      </c>
      <c r="CM111" s="30">
        <v>0</v>
      </c>
      <c r="CN111" s="30" t="s">
        <v>141</v>
      </c>
      <c r="CO111" s="30">
        <v>2252.7097902097898</v>
      </c>
    </row>
    <row r="112" spans="1:93" ht="19.899999999999999" customHeight="1" x14ac:dyDescent="0.2">
      <c r="B112" s="30" t="s">
        <v>159</v>
      </c>
      <c r="C112" s="30">
        <v>127</v>
      </c>
      <c r="D112" s="30">
        <v>1.1399999999999999</v>
      </c>
      <c r="E112" s="30">
        <v>2784</v>
      </c>
      <c r="F112" s="30">
        <v>1.1399999999999999</v>
      </c>
      <c r="G112" s="30">
        <v>1.1499999999999999</v>
      </c>
      <c r="H112" s="30">
        <v>0.17100000000000001</v>
      </c>
      <c r="I112" s="30">
        <v>0.53299999999999992</v>
      </c>
      <c r="J112" s="30">
        <v>0.99</v>
      </c>
      <c r="K112" s="30">
        <v>1.32</v>
      </c>
      <c r="L112" s="30">
        <v>0.62</v>
      </c>
      <c r="M112" s="30">
        <v>74.599999999999994</v>
      </c>
      <c r="N112" s="30">
        <v>1.29</v>
      </c>
      <c r="O112" s="30">
        <v>75.900000000000006</v>
      </c>
      <c r="P112" s="30">
        <v>0.69</v>
      </c>
      <c r="Q112" s="30">
        <v>0.64</v>
      </c>
      <c r="R112" s="30">
        <v>72.400000000000006</v>
      </c>
      <c r="S112" s="30">
        <v>1.1499999999999999</v>
      </c>
      <c r="T112" s="30">
        <v>76.400000000000006</v>
      </c>
      <c r="U112" s="30">
        <v>0.71</v>
      </c>
      <c r="V112" s="30">
        <v>181</v>
      </c>
      <c r="W112" s="30">
        <v>29</v>
      </c>
      <c r="X112" s="30">
        <v>1.07</v>
      </c>
      <c r="Y112" s="30">
        <v>61</v>
      </c>
      <c r="Z112" s="30">
        <v>1.1100000000000001</v>
      </c>
      <c r="AA112" s="30">
        <v>103</v>
      </c>
      <c r="AB112" s="30">
        <v>1.1499999999999999</v>
      </c>
      <c r="AC112" s="30">
        <v>9.0876436781609199E-2</v>
      </c>
      <c r="AD112" s="30">
        <v>0.46587643678160923</v>
      </c>
      <c r="AE112" s="30">
        <v>0.17061781609195401</v>
      </c>
      <c r="AF112" s="30">
        <v>4.4540229885057472E-2</v>
      </c>
      <c r="AG112" s="30">
        <v>109</v>
      </c>
      <c r="AH112" s="30">
        <v>90</v>
      </c>
      <c r="AI112" s="30">
        <v>62</v>
      </c>
      <c r="AJ112" s="30">
        <v>46</v>
      </c>
      <c r="AK112" s="30">
        <v>33</v>
      </c>
      <c r="AL112" s="30">
        <v>46</v>
      </c>
      <c r="AM112" s="30">
        <v>2.5862068965517241E-2</v>
      </c>
      <c r="AN112" s="30">
        <v>97</v>
      </c>
      <c r="AO112" s="30">
        <v>1.1599999999999999</v>
      </c>
      <c r="AP112" s="30">
        <v>59</v>
      </c>
      <c r="AQ112" s="30">
        <v>1.18</v>
      </c>
      <c r="AR112" s="30">
        <v>26</v>
      </c>
      <c r="AS112" s="30">
        <v>1.2</v>
      </c>
      <c r="AT112" s="30">
        <v>15</v>
      </c>
      <c r="AU112" s="30">
        <v>0.98</v>
      </c>
      <c r="AV112" s="30">
        <v>13</v>
      </c>
      <c r="AW112" s="30">
        <v>0.97</v>
      </c>
      <c r="AX112" s="30">
        <v>5</v>
      </c>
      <c r="AY112" s="30">
        <v>1.05</v>
      </c>
      <c r="AZ112" s="30">
        <v>0.89</v>
      </c>
      <c r="BA112" s="30">
        <v>94.1</v>
      </c>
      <c r="BB112" s="30">
        <v>0.70400000000000007</v>
      </c>
      <c r="BC112" s="30">
        <v>8.5999999999999993E-2</v>
      </c>
      <c r="BD112" s="30">
        <v>0.245</v>
      </c>
      <c r="BE112" s="30">
        <v>110</v>
      </c>
      <c r="BF112" s="30">
        <v>0.126</v>
      </c>
      <c r="BG112" s="30">
        <v>0.4694864048338368</v>
      </c>
      <c r="BH112" s="30">
        <v>55.830513595166167</v>
      </c>
      <c r="BI112" s="30">
        <v>0.13</v>
      </c>
      <c r="BJ112" s="30">
        <v>0.19700000000000001</v>
      </c>
      <c r="BK112" s="30">
        <v>0.05</v>
      </c>
      <c r="BL112" s="30">
        <v>2.83</v>
      </c>
      <c r="BM112" s="30">
        <v>65</v>
      </c>
      <c r="BN112" s="30">
        <v>38</v>
      </c>
      <c r="BO112" s="30">
        <v>37</v>
      </c>
      <c r="BP112" s="30">
        <v>38</v>
      </c>
      <c r="BQ112" s="30">
        <v>67</v>
      </c>
      <c r="BR112" s="30">
        <v>2</v>
      </c>
      <c r="BS112" s="30">
        <v>54</v>
      </c>
      <c r="BT112" s="30">
        <v>0.58099999999999996</v>
      </c>
      <c r="BU112" s="30">
        <v>1.3303149606299209</v>
      </c>
      <c r="BV112" s="30">
        <v>0.12</v>
      </c>
      <c r="BW112" s="30">
        <v>0.1</v>
      </c>
      <c r="BX112" s="30">
        <v>0.1</v>
      </c>
      <c r="BY112" s="30">
        <v>0.23100000000000001</v>
      </c>
      <c r="BZ112" s="30">
        <v>2.58</v>
      </c>
      <c r="CA112" s="30">
        <v>0.82400000000000007</v>
      </c>
      <c r="CB112" s="30">
        <v>76</v>
      </c>
      <c r="CC112" s="30">
        <v>0.01</v>
      </c>
      <c r="CD112" s="30">
        <v>1.9E-2</v>
      </c>
      <c r="CE112" s="30">
        <v>9.0000000000000011E-3</v>
      </c>
      <c r="CF112" s="30">
        <v>0.11</v>
      </c>
      <c r="CG112" s="30">
        <v>0.77</v>
      </c>
      <c r="CH112" s="30">
        <v>2.15</v>
      </c>
      <c r="CI112" s="30">
        <v>0.186</v>
      </c>
      <c r="CJ112" s="30">
        <v>0.18</v>
      </c>
      <c r="CK112" s="30">
        <v>15</v>
      </c>
      <c r="CL112" s="30">
        <v>0.98</v>
      </c>
      <c r="CM112" s="30">
        <v>0</v>
      </c>
      <c r="CN112" s="30" t="s">
        <v>141</v>
      </c>
      <c r="CO112" s="30">
        <v>2166.3456533055701</v>
      </c>
    </row>
    <row r="113" spans="2:93" ht="19.899999999999999" customHeight="1" x14ac:dyDescent="0.2">
      <c r="B113" s="30" t="s">
        <v>143</v>
      </c>
      <c r="C113" s="30">
        <v>137</v>
      </c>
      <c r="D113" s="30">
        <v>1.1399999999999999</v>
      </c>
      <c r="E113" s="30">
        <v>2958</v>
      </c>
      <c r="F113" s="30">
        <v>1.1299999999999999</v>
      </c>
      <c r="G113" s="30">
        <v>1.1499999999999999</v>
      </c>
      <c r="H113" s="30">
        <v>0.20599999999999999</v>
      </c>
      <c r="I113" s="30">
        <v>0.624</v>
      </c>
      <c r="J113" s="30">
        <v>1.18</v>
      </c>
      <c r="K113" s="30">
        <v>1.31</v>
      </c>
      <c r="L113" s="30">
        <v>0.59</v>
      </c>
      <c r="M113" s="30">
        <v>73.900000000000006</v>
      </c>
      <c r="N113" s="30">
        <v>1.61</v>
      </c>
      <c r="O113" s="30">
        <v>76.900000000000006</v>
      </c>
      <c r="P113" s="30">
        <v>0.77</v>
      </c>
      <c r="Q113" s="30">
        <v>0.64</v>
      </c>
      <c r="R113" s="30">
        <v>71.5</v>
      </c>
      <c r="S113" s="30">
        <v>1.1200000000000001</v>
      </c>
      <c r="T113" s="30">
        <v>74.599999999999994</v>
      </c>
      <c r="U113" s="30">
        <v>0.72</v>
      </c>
      <c r="V113" s="30">
        <v>515</v>
      </c>
      <c r="W113" s="30">
        <v>28</v>
      </c>
      <c r="X113" s="30">
        <v>0.94</v>
      </c>
      <c r="Y113" s="30">
        <v>64</v>
      </c>
      <c r="Z113" s="30">
        <v>1.08</v>
      </c>
      <c r="AA113" s="30">
        <v>112</v>
      </c>
      <c r="AB113" s="30">
        <v>1.1200000000000001</v>
      </c>
      <c r="AC113" s="30">
        <v>0.12846517917511829</v>
      </c>
      <c r="AD113" s="30">
        <v>0.50878972278566603</v>
      </c>
      <c r="AE113" s="30">
        <v>0.1974306964164976</v>
      </c>
      <c r="AF113" s="30">
        <v>5.1724137931034482E-2</v>
      </c>
      <c r="AG113" s="30">
        <v>110</v>
      </c>
      <c r="AH113" s="30">
        <v>89</v>
      </c>
      <c r="AI113" s="30">
        <v>67</v>
      </c>
      <c r="AJ113" s="30">
        <v>53</v>
      </c>
      <c r="AK113" s="30">
        <v>32</v>
      </c>
      <c r="AL113" s="30">
        <v>43</v>
      </c>
      <c r="AM113" s="30">
        <v>2.5016903313049361E-2</v>
      </c>
      <c r="AN113" s="30">
        <v>119</v>
      </c>
      <c r="AO113" s="30">
        <v>1.1399999999999999</v>
      </c>
      <c r="AP113" s="30">
        <v>84</v>
      </c>
      <c r="AQ113" s="30">
        <v>1.1399999999999999</v>
      </c>
      <c r="AR113" s="30">
        <v>35</v>
      </c>
      <c r="AS113" s="30">
        <v>1.1299999999999999</v>
      </c>
      <c r="AT113" s="30">
        <v>42</v>
      </c>
      <c r="AU113" s="30">
        <v>1.06</v>
      </c>
      <c r="AV113" s="30">
        <v>32</v>
      </c>
      <c r="AW113" s="30">
        <v>1.08</v>
      </c>
      <c r="AX113" s="30">
        <v>17</v>
      </c>
      <c r="AY113" s="30">
        <v>1.08</v>
      </c>
      <c r="AZ113" s="30">
        <v>1.04</v>
      </c>
      <c r="BA113" s="30">
        <v>100.2</v>
      </c>
      <c r="BB113" s="30">
        <v>0.7609999999999999</v>
      </c>
      <c r="BC113" s="30">
        <v>0.123</v>
      </c>
      <c r="BD113" s="30">
        <v>0.26900000000000002</v>
      </c>
      <c r="BE113" s="30">
        <v>100</v>
      </c>
      <c r="BF113" s="30">
        <v>0.127</v>
      </c>
      <c r="BG113" s="30">
        <v>0.46975954738330977</v>
      </c>
      <c r="BH113" s="30">
        <v>51.457850070721364</v>
      </c>
      <c r="BI113" s="30">
        <v>0.14000000000000001</v>
      </c>
      <c r="BJ113" s="30">
        <v>0.16700000000000001</v>
      </c>
      <c r="BK113" s="30">
        <v>0.06</v>
      </c>
      <c r="BL113" s="30">
        <v>2.81</v>
      </c>
      <c r="BM113" s="30">
        <v>84</v>
      </c>
      <c r="BN113" s="30">
        <v>13</v>
      </c>
      <c r="BO113" s="30">
        <v>44</v>
      </c>
      <c r="BP113" s="30">
        <v>77</v>
      </c>
      <c r="BQ113" s="30">
        <v>66</v>
      </c>
      <c r="BR113" s="30">
        <v>94</v>
      </c>
      <c r="BS113" s="30">
        <v>51</v>
      </c>
      <c r="BT113" s="30">
        <v>0.35</v>
      </c>
      <c r="BU113" s="30">
        <v>1.4250560398505601</v>
      </c>
      <c r="BV113" s="30">
        <v>0.1</v>
      </c>
      <c r="BW113" s="30">
        <v>0.1</v>
      </c>
      <c r="BX113" s="30">
        <v>0.08</v>
      </c>
      <c r="BY113" s="30">
        <v>0.186</v>
      </c>
      <c r="BZ113" s="30">
        <v>1.95</v>
      </c>
      <c r="CA113" s="30">
        <v>0.51200000000000001</v>
      </c>
      <c r="CB113" s="30">
        <v>76</v>
      </c>
      <c r="CC113" s="30">
        <v>0.41</v>
      </c>
      <c r="CD113" s="30">
        <v>0.53100000000000003</v>
      </c>
      <c r="CE113" s="30">
        <v>0.313</v>
      </c>
      <c r="CF113" s="30">
        <v>0.47</v>
      </c>
      <c r="CG113" s="30">
        <v>0.65</v>
      </c>
      <c r="CH113" s="30">
        <v>2.2599999999999998</v>
      </c>
      <c r="CI113" s="30">
        <v>0.188</v>
      </c>
      <c r="CJ113" s="30">
        <v>0.13</v>
      </c>
      <c r="CK113" s="30">
        <v>37</v>
      </c>
      <c r="CL113" s="30">
        <v>1.05</v>
      </c>
      <c r="CM113" s="30">
        <v>7</v>
      </c>
      <c r="CN113" s="30">
        <v>0.96</v>
      </c>
      <c r="CO113" s="30">
        <v>3226.3215859030838</v>
      </c>
    </row>
    <row r="114" spans="2:93" ht="19.899999999999999" customHeight="1" x14ac:dyDescent="0.2">
      <c r="B114" s="30" t="s">
        <v>171</v>
      </c>
      <c r="C114" s="30">
        <v>126</v>
      </c>
      <c r="D114" s="30">
        <v>1.1299999999999999</v>
      </c>
      <c r="E114" s="30">
        <v>2667</v>
      </c>
      <c r="F114" s="30">
        <v>1.1499999999999999</v>
      </c>
      <c r="G114" s="30">
        <v>1.1100000000000001</v>
      </c>
      <c r="H114" s="30">
        <v>0.29899999999999999</v>
      </c>
      <c r="I114" s="30">
        <v>0.52100000000000002</v>
      </c>
      <c r="J114" s="30">
        <v>1.21</v>
      </c>
      <c r="K114" s="30">
        <v>1.06</v>
      </c>
      <c r="L114" s="30">
        <v>0.7</v>
      </c>
      <c r="M114" s="30">
        <v>73.599999999999994</v>
      </c>
      <c r="N114" s="30">
        <v>1.02</v>
      </c>
      <c r="O114" s="30">
        <v>80.8</v>
      </c>
      <c r="P114" s="30">
        <v>0.72</v>
      </c>
      <c r="Q114" s="30">
        <v>0.72</v>
      </c>
      <c r="R114" s="30">
        <v>71.8</v>
      </c>
      <c r="S114" s="30">
        <v>1.18</v>
      </c>
      <c r="T114" s="30">
        <v>80</v>
      </c>
      <c r="U114" s="30">
        <v>0.73</v>
      </c>
      <c r="V114" s="30">
        <v>62</v>
      </c>
      <c r="W114" s="30">
        <v>30</v>
      </c>
      <c r="X114" s="30">
        <v>0.96</v>
      </c>
      <c r="Y114" s="30">
        <v>64</v>
      </c>
      <c r="Z114" s="30">
        <v>1.0900000000000001</v>
      </c>
      <c r="AA114" s="30">
        <v>106</v>
      </c>
      <c r="AB114" s="30">
        <v>1.1200000000000001</v>
      </c>
      <c r="AC114" s="30">
        <v>0.15560554930633669</v>
      </c>
      <c r="AD114" s="30">
        <v>0.48368953880764898</v>
      </c>
      <c r="AE114" s="30">
        <v>0.17622797150356209</v>
      </c>
      <c r="AF114" s="30">
        <v>5.1368578927634037E-2</v>
      </c>
      <c r="AG114" s="30">
        <v>105</v>
      </c>
      <c r="AH114" s="30">
        <v>88</v>
      </c>
      <c r="AI114" s="30">
        <v>68</v>
      </c>
      <c r="AJ114" s="30">
        <v>41</v>
      </c>
      <c r="AK114" s="30">
        <v>27</v>
      </c>
      <c r="AL114" s="30">
        <v>27</v>
      </c>
      <c r="AM114" s="30">
        <v>1.6872890888638921E-2</v>
      </c>
      <c r="AN114" s="30">
        <v>110</v>
      </c>
      <c r="AO114" s="30">
        <v>1.1200000000000001</v>
      </c>
      <c r="AP114" s="30">
        <v>63</v>
      </c>
      <c r="AQ114" s="30">
        <v>1.06</v>
      </c>
      <c r="AR114" s="30">
        <v>21</v>
      </c>
      <c r="AS114" s="30">
        <v>0.99</v>
      </c>
      <c r="AT114" s="30">
        <v>35</v>
      </c>
      <c r="AU114" s="30">
        <v>1.1000000000000001</v>
      </c>
      <c r="AV114" s="30">
        <v>11</v>
      </c>
      <c r="AW114" s="30">
        <v>0.97</v>
      </c>
      <c r="AX114" s="30">
        <v>0</v>
      </c>
      <c r="AY114" s="30" t="s">
        <v>141</v>
      </c>
      <c r="AZ114" s="30">
        <v>1.02</v>
      </c>
      <c r="BA114" s="30">
        <v>106.4</v>
      </c>
      <c r="BB114" s="30">
        <v>0.69400000000000006</v>
      </c>
      <c r="BC114" s="30">
        <v>5.8000000000000003E-2</v>
      </c>
      <c r="BD114" s="30">
        <v>0.247</v>
      </c>
      <c r="BE114" s="30">
        <v>112</v>
      </c>
      <c r="BF114" s="30">
        <v>6.3E-2</v>
      </c>
      <c r="BG114" s="30">
        <v>0.4079347826086957</v>
      </c>
      <c r="BH114" s="30">
        <v>53.391304347826093</v>
      </c>
      <c r="BI114" s="30">
        <v>0.12</v>
      </c>
      <c r="BJ114" s="30">
        <v>0.253</v>
      </c>
      <c r="BK114" s="30">
        <v>0.02</v>
      </c>
      <c r="BL114" s="30">
        <v>5.53</v>
      </c>
      <c r="BM114" s="30">
        <v>79</v>
      </c>
      <c r="BN114" s="30">
        <v>89</v>
      </c>
      <c r="BO114" s="30">
        <v>30</v>
      </c>
      <c r="BP114" s="30">
        <v>87</v>
      </c>
      <c r="BQ114" s="30">
        <v>38</v>
      </c>
      <c r="BR114" s="30">
        <v>0</v>
      </c>
      <c r="BS114" s="30">
        <v>55</v>
      </c>
      <c r="BT114" s="30">
        <v>0.52600000000000002</v>
      </c>
      <c r="BU114" s="30">
        <v>1.3461444969615131</v>
      </c>
      <c r="BV114" s="30">
        <v>0.18</v>
      </c>
      <c r="BW114" s="30">
        <v>0.1</v>
      </c>
      <c r="BX114" s="30">
        <v>0.13</v>
      </c>
      <c r="BY114" s="30">
        <v>0.183</v>
      </c>
      <c r="BZ114" s="30">
        <v>2.95</v>
      </c>
      <c r="CA114" s="30">
        <v>0.75</v>
      </c>
      <c r="CB114" s="30">
        <v>66</v>
      </c>
      <c r="CC114" s="30">
        <v>0</v>
      </c>
      <c r="CD114" s="30">
        <v>4.0000000000000001E-3</v>
      </c>
      <c r="CE114" s="30">
        <v>3.0000000000000001E-3</v>
      </c>
      <c r="CF114" s="30">
        <v>0.79</v>
      </c>
      <c r="CG114" s="30">
        <v>0.5</v>
      </c>
      <c r="CH114" s="30">
        <v>2.13</v>
      </c>
      <c r="CI114" s="30">
        <v>0.16900000000000001</v>
      </c>
      <c r="CJ114" s="30">
        <v>0.22</v>
      </c>
      <c r="CK114" s="30">
        <v>35</v>
      </c>
      <c r="CL114" s="30">
        <v>1.1000000000000001</v>
      </c>
      <c r="CM114" s="30">
        <v>13</v>
      </c>
      <c r="CN114" s="30">
        <v>1.1100000000000001</v>
      </c>
      <c r="CO114" s="30">
        <v>2233.7991718426501</v>
      </c>
    </row>
    <row r="115" spans="2:93" ht="19.899999999999999" customHeight="1" x14ac:dyDescent="0.2">
      <c r="B115" s="30" t="s">
        <v>168</v>
      </c>
      <c r="C115" s="30">
        <v>129</v>
      </c>
      <c r="D115" s="30">
        <v>1.1299999999999999</v>
      </c>
      <c r="E115" s="30">
        <v>2744</v>
      </c>
      <c r="F115" s="30">
        <v>1.21</v>
      </c>
      <c r="G115" s="30">
        <v>1.04</v>
      </c>
      <c r="H115" s="30">
        <v>0.254</v>
      </c>
      <c r="I115" s="30">
        <v>0.46800000000000003</v>
      </c>
      <c r="J115" s="30">
        <v>1.04</v>
      </c>
      <c r="K115" s="30">
        <v>1.07</v>
      </c>
      <c r="L115" s="30">
        <v>0.66</v>
      </c>
      <c r="M115" s="30">
        <v>75</v>
      </c>
      <c r="N115" s="30">
        <v>0.9</v>
      </c>
      <c r="O115" s="30">
        <v>82.1</v>
      </c>
      <c r="P115" s="30">
        <v>0.71</v>
      </c>
      <c r="Q115" s="30">
        <v>0.68</v>
      </c>
      <c r="R115" s="30">
        <v>72.400000000000006</v>
      </c>
      <c r="S115" s="30">
        <v>1.07</v>
      </c>
      <c r="T115" s="30">
        <v>80.8</v>
      </c>
      <c r="U115" s="30">
        <v>0.71</v>
      </c>
      <c r="V115" s="30">
        <v>154</v>
      </c>
      <c r="W115" s="30">
        <v>28</v>
      </c>
      <c r="X115" s="30">
        <v>0.94</v>
      </c>
      <c r="Y115" s="30">
        <v>60</v>
      </c>
      <c r="Z115" s="30">
        <v>1.05</v>
      </c>
      <c r="AA115" s="30">
        <v>101</v>
      </c>
      <c r="AB115" s="30">
        <v>1.0900000000000001</v>
      </c>
      <c r="AC115" s="30">
        <v>0.11916909620991251</v>
      </c>
      <c r="AD115" s="30">
        <v>0.48979591836734693</v>
      </c>
      <c r="AE115" s="30">
        <v>0.1723760932944606</v>
      </c>
      <c r="AF115" s="30">
        <v>4.4096209912536453E-2</v>
      </c>
      <c r="AG115" s="30">
        <v>107</v>
      </c>
      <c r="AH115" s="30">
        <v>88</v>
      </c>
      <c r="AI115" s="30">
        <v>63</v>
      </c>
      <c r="AJ115" s="30">
        <v>42</v>
      </c>
      <c r="AK115" s="30">
        <v>27</v>
      </c>
      <c r="AL115" s="30">
        <v>34</v>
      </c>
      <c r="AM115" s="30">
        <v>1.639941690962099E-2</v>
      </c>
      <c r="AN115" s="30">
        <v>105</v>
      </c>
      <c r="AO115" s="30">
        <v>1.1100000000000001</v>
      </c>
      <c r="AP115" s="30">
        <v>66</v>
      </c>
      <c r="AQ115" s="30">
        <v>1.0900000000000001</v>
      </c>
      <c r="AR115" s="30">
        <v>25</v>
      </c>
      <c r="AS115" s="30">
        <v>1.03</v>
      </c>
      <c r="AT115" s="30">
        <v>35</v>
      </c>
      <c r="AU115" s="30">
        <v>1.02</v>
      </c>
      <c r="AV115" s="30">
        <v>16</v>
      </c>
      <c r="AW115" s="30">
        <v>1.04</v>
      </c>
      <c r="AX115" s="30">
        <v>4</v>
      </c>
      <c r="AY115" s="30">
        <v>0.88</v>
      </c>
      <c r="AZ115" s="30">
        <v>0.98</v>
      </c>
      <c r="BA115" s="30">
        <v>107.2</v>
      </c>
      <c r="BB115" s="30">
        <v>0.72499999999999998</v>
      </c>
      <c r="BC115" s="30">
        <v>8.1000000000000003E-2</v>
      </c>
      <c r="BD115" s="30">
        <v>0.24399999999999999</v>
      </c>
      <c r="BE115" s="30">
        <v>115</v>
      </c>
      <c r="BF115" s="30">
        <v>7.2999999999999995E-2</v>
      </c>
      <c r="BG115" s="30">
        <v>0.40577287066246048</v>
      </c>
      <c r="BH115" s="30">
        <v>52.882649842271277</v>
      </c>
      <c r="BI115" s="30">
        <v>0.14000000000000001</v>
      </c>
      <c r="BJ115" s="30">
        <v>0.245</v>
      </c>
      <c r="BK115" s="30">
        <v>0.05</v>
      </c>
      <c r="BL115" s="30">
        <v>8.11</v>
      </c>
      <c r="BM115" s="30">
        <v>78</v>
      </c>
      <c r="BN115" s="30">
        <v>79</v>
      </c>
      <c r="BO115" s="30">
        <v>40</v>
      </c>
      <c r="BP115" s="30">
        <v>72</v>
      </c>
      <c r="BQ115" s="30">
        <v>40</v>
      </c>
      <c r="BR115" s="30">
        <v>0</v>
      </c>
      <c r="BS115" s="30">
        <v>81</v>
      </c>
      <c r="BT115" s="30">
        <v>0.52500000000000002</v>
      </c>
      <c r="BU115" s="30">
        <v>1.3191069258809229</v>
      </c>
      <c r="BV115" s="30">
        <v>0.16</v>
      </c>
      <c r="BW115" s="30">
        <v>0.1</v>
      </c>
      <c r="BX115" s="30">
        <v>0.11</v>
      </c>
      <c r="BY115" s="30">
        <v>0.2</v>
      </c>
      <c r="BZ115" s="30">
        <v>3.18</v>
      </c>
      <c r="CA115" s="30">
        <v>0.78099999999999992</v>
      </c>
      <c r="CB115" s="30">
        <v>69</v>
      </c>
      <c r="CC115" s="30">
        <v>0</v>
      </c>
      <c r="CD115" s="30">
        <v>4.0000000000000001E-3</v>
      </c>
      <c r="CE115" s="30">
        <v>2E-3</v>
      </c>
      <c r="CF115" s="30">
        <v>1.68</v>
      </c>
      <c r="CG115" s="30">
        <v>0.61</v>
      </c>
      <c r="CH115" s="30">
        <v>2.5</v>
      </c>
      <c r="CI115" s="30">
        <v>0.189</v>
      </c>
      <c r="CJ115" s="30">
        <v>0.24</v>
      </c>
      <c r="CK115" s="30">
        <v>35</v>
      </c>
      <c r="CL115" s="30">
        <v>1.02</v>
      </c>
      <c r="CM115" s="30">
        <v>4</v>
      </c>
      <c r="CN115" s="30">
        <v>0.98</v>
      </c>
      <c r="CO115" s="30">
        <v>2243.5492095869449</v>
      </c>
    </row>
    <row r="116" spans="2:93" ht="19.899999999999999" customHeight="1" x14ac:dyDescent="0.2">
      <c r="B116" s="30" t="s">
        <v>181</v>
      </c>
      <c r="C116" s="30">
        <v>104</v>
      </c>
      <c r="D116" s="30">
        <v>1.1299999999999999</v>
      </c>
      <c r="E116" s="30">
        <v>2270</v>
      </c>
      <c r="F116" s="30">
        <v>1.1399999999999999</v>
      </c>
      <c r="G116" s="30">
        <v>1.1200000000000001</v>
      </c>
      <c r="H116" s="30">
        <v>0.182</v>
      </c>
      <c r="I116" s="30">
        <v>0.51800000000000002</v>
      </c>
      <c r="J116" s="30">
        <v>0.99</v>
      </c>
      <c r="K116" s="30">
        <v>1.1399999999999999</v>
      </c>
      <c r="L116" s="30">
        <v>0.62</v>
      </c>
      <c r="M116" s="30">
        <v>74.8</v>
      </c>
      <c r="N116" s="30">
        <v>0.81</v>
      </c>
      <c r="O116" s="30">
        <v>77.3</v>
      </c>
      <c r="P116" s="30">
        <v>0.72</v>
      </c>
      <c r="Q116" s="30">
        <v>0.64</v>
      </c>
      <c r="R116" s="30">
        <v>70.599999999999994</v>
      </c>
      <c r="S116" s="30">
        <v>1.2</v>
      </c>
      <c r="T116" s="30">
        <v>76.900000000000006</v>
      </c>
      <c r="U116" s="30">
        <v>0.73</v>
      </c>
      <c r="V116" s="30">
        <v>218</v>
      </c>
      <c r="W116" s="30">
        <v>29</v>
      </c>
      <c r="X116" s="30">
        <v>1.1499999999999999</v>
      </c>
      <c r="Y116" s="30">
        <v>57</v>
      </c>
      <c r="Z116" s="30">
        <v>1.1200000000000001</v>
      </c>
      <c r="AA116" s="30">
        <v>67</v>
      </c>
      <c r="AB116" s="30">
        <v>1.1000000000000001</v>
      </c>
      <c r="AC116" s="30">
        <v>9.4273127753303959E-2</v>
      </c>
      <c r="AD116" s="30">
        <v>0.48193832599118941</v>
      </c>
      <c r="AE116" s="30">
        <v>0.1700440528634361</v>
      </c>
      <c r="AF116" s="30">
        <v>5.2422907488986793E-2</v>
      </c>
      <c r="AG116" s="30">
        <v>83</v>
      </c>
      <c r="AH116" s="30">
        <v>65</v>
      </c>
      <c r="AI116" s="30">
        <v>51</v>
      </c>
      <c r="AJ116" s="30">
        <v>39</v>
      </c>
      <c r="AK116" s="30">
        <v>26</v>
      </c>
      <c r="AL116" s="30">
        <v>34</v>
      </c>
      <c r="AM116" s="30">
        <v>2.7753303964757711E-2</v>
      </c>
      <c r="AN116" s="30">
        <v>54</v>
      </c>
      <c r="AO116" s="30">
        <v>1.08</v>
      </c>
      <c r="AP116" s="30">
        <v>30</v>
      </c>
      <c r="AQ116" s="30">
        <v>1.1000000000000001</v>
      </c>
      <c r="AR116" s="30">
        <v>8</v>
      </c>
      <c r="AS116" s="30">
        <v>1.0900000000000001</v>
      </c>
      <c r="AT116" s="30">
        <v>12</v>
      </c>
      <c r="AU116" s="30">
        <v>1.1100000000000001</v>
      </c>
      <c r="AV116" s="30">
        <v>6</v>
      </c>
      <c r="AW116" s="30">
        <v>1.19</v>
      </c>
      <c r="AX116" s="30">
        <v>0</v>
      </c>
      <c r="AY116" s="30" t="s">
        <v>141</v>
      </c>
      <c r="AZ116" s="30">
        <v>0.99</v>
      </c>
      <c r="BA116" s="30">
        <v>101.4</v>
      </c>
      <c r="BB116" s="30">
        <v>0.71499999999999997</v>
      </c>
      <c r="BC116" s="30">
        <v>0.11600000000000001</v>
      </c>
      <c r="BD116" s="30">
        <v>0.26900000000000002</v>
      </c>
      <c r="BE116" s="30">
        <v>108</v>
      </c>
      <c r="BF116" s="30">
        <v>9.6000000000000002E-2</v>
      </c>
      <c r="BG116" s="30">
        <v>0.42637192342752972</v>
      </c>
      <c r="BH116" s="30">
        <v>51.530355515041009</v>
      </c>
      <c r="BI116" s="30">
        <v>0.16</v>
      </c>
      <c r="BJ116" s="30">
        <v>0.21299999999999999</v>
      </c>
      <c r="BK116" s="30">
        <v>0.04</v>
      </c>
      <c r="BL116" s="30">
        <v>5.51</v>
      </c>
      <c r="BM116" s="30">
        <v>71</v>
      </c>
      <c r="BN116" s="30">
        <v>45</v>
      </c>
      <c r="BO116" s="30">
        <v>61</v>
      </c>
      <c r="BP116" s="30">
        <v>43</v>
      </c>
      <c r="BQ116" s="30">
        <v>65</v>
      </c>
      <c r="BR116" s="30">
        <v>0</v>
      </c>
      <c r="BS116" s="30">
        <v>74</v>
      </c>
      <c r="BT116" s="30">
        <v>0.52500000000000002</v>
      </c>
      <c r="BU116" s="30">
        <v>1.36974006116208</v>
      </c>
      <c r="BV116" s="30">
        <v>0.13</v>
      </c>
      <c r="BW116" s="30">
        <v>0.11</v>
      </c>
      <c r="BX116" s="30">
        <v>0.09</v>
      </c>
      <c r="BY116" s="30">
        <v>0.22500000000000001</v>
      </c>
      <c r="BZ116" s="30">
        <v>2.9</v>
      </c>
      <c r="CA116" s="30">
        <v>0.58599999999999997</v>
      </c>
      <c r="CB116" s="30">
        <v>73</v>
      </c>
      <c r="CC116" s="30">
        <v>0</v>
      </c>
      <c r="CD116" s="30">
        <v>6.9999999999999993E-3</v>
      </c>
      <c r="CE116" s="30">
        <v>5.0000000000000001E-3</v>
      </c>
      <c r="CF116" s="30">
        <v>1.32</v>
      </c>
      <c r="CG116" s="30">
        <v>0.65</v>
      </c>
      <c r="CH116" s="30">
        <v>2.2799999999999998</v>
      </c>
      <c r="CI116" s="30">
        <v>0.217</v>
      </c>
      <c r="CJ116" s="30">
        <v>0.19</v>
      </c>
      <c r="CK116" s="30">
        <v>12</v>
      </c>
      <c r="CL116" s="30">
        <v>1.1100000000000001</v>
      </c>
      <c r="CM116" s="30">
        <v>0</v>
      </c>
      <c r="CN116" s="30" t="s">
        <v>141</v>
      </c>
      <c r="CO116" s="30">
        <v>2231.5224063842852</v>
      </c>
    </row>
    <row r="117" spans="2:93" ht="19.899999999999999" customHeight="1" x14ac:dyDescent="0.2">
      <c r="B117" s="30" t="s">
        <v>185</v>
      </c>
      <c r="C117" s="30">
        <v>67</v>
      </c>
      <c r="D117" s="30">
        <v>1.1299999999999999</v>
      </c>
      <c r="E117" s="30">
        <v>1416</v>
      </c>
      <c r="F117" s="30">
        <v>1.2</v>
      </c>
      <c r="G117" s="30">
        <v>1.06</v>
      </c>
      <c r="H117" s="30">
        <v>0.24299999999999999</v>
      </c>
      <c r="I117" s="30">
        <v>0.503</v>
      </c>
      <c r="J117" s="30">
        <v>1.08</v>
      </c>
      <c r="K117" s="30">
        <v>1.17</v>
      </c>
      <c r="L117" s="30">
        <v>0.69</v>
      </c>
      <c r="M117" s="30">
        <v>70.5</v>
      </c>
      <c r="N117" s="30">
        <v>0.56999999999999995</v>
      </c>
      <c r="O117" s="30">
        <v>80.099999999999994</v>
      </c>
      <c r="P117" s="30">
        <v>0.74</v>
      </c>
      <c r="Q117" s="30">
        <v>0.71</v>
      </c>
      <c r="R117" s="30">
        <v>70.400000000000006</v>
      </c>
      <c r="S117" s="30">
        <v>1.19</v>
      </c>
      <c r="T117" s="30">
        <v>79.7</v>
      </c>
      <c r="U117" s="30">
        <v>0.75</v>
      </c>
      <c r="V117" s="30">
        <v>59</v>
      </c>
      <c r="W117" s="30">
        <v>26</v>
      </c>
      <c r="X117" s="30">
        <v>0.98</v>
      </c>
      <c r="Y117" s="30">
        <v>37</v>
      </c>
      <c r="Z117" s="30">
        <v>1.1000000000000001</v>
      </c>
      <c r="AA117" s="30">
        <v>45</v>
      </c>
      <c r="AB117" s="30">
        <v>1.1200000000000001</v>
      </c>
      <c r="AC117" s="30">
        <v>0.12217514124293791</v>
      </c>
      <c r="AD117" s="30">
        <v>0.4788135593220339</v>
      </c>
      <c r="AE117" s="30">
        <v>0.19350282485875711</v>
      </c>
      <c r="AF117" s="30">
        <v>5.2259887005649708E-2</v>
      </c>
      <c r="AG117" s="30">
        <v>54</v>
      </c>
      <c r="AH117" s="30">
        <v>40</v>
      </c>
      <c r="AI117" s="30">
        <v>31</v>
      </c>
      <c r="AJ117" s="30">
        <v>21</v>
      </c>
      <c r="AK117" s="30">
        <v>16</v>
      </c>
      <c r="AL117" s="30">
        <v>14</v>
      </c>
      <c r="AM117" s="30">
        <v>1.7655367231638418E-2</v>
      </c>
      <c r="AN117" s="30">
        <v>45</v>
      </c>
      <c r="AO117" s="30">
        <v>1.1100000000000001</v>
      </c>
      <c r="AP117" s="30">
        <v>34</v>
      </c>
      <c r="AQ117" s="30">
        <v>1.06</v>
      </c>
      <c r="AR117" s="30">
        <v>16</v>
      </c>
      <c r="AS117" s="30">
        <v>1.1599999999999999</v>
      </c>
      <c r="AT117" s="30">
        <v>6</v>
      </c>
      <c r="AU117" s="30">
        <v>1.0900000000000001</v>
      </c>
      <c r="AV117" s="30">
        <v>3</v>
      </c>
      <c r="AW117" s="30">
        <v>1.04</v>
      </c>
      <c r="AX117" s="30">
        <v>3</v>
      </c>
      <c r="AY117" s="30">
        <v>1.04</v>
      </c>
      <c r="AZ117" s="30">
        <v>1.05</v>
      </c>
      <c r="BA117" s="30">
        <v>109.5</v>
      </c>
      <c r="BB117" s="30">
        <v>0.69400000000000006</v>
      </c>
      <c r="BC117" s="30">
        <v>4.3999999999999997E-2</v>
      </c>
      <c r="BD117" s="30">
        <v>0.222</v>
      </c>
      <c r="BE117" s="30">
        <v>109</v>
      </c>
      <c r="BF117" s="30">
        <v>6.2E-2</v>
      </c>
      <c r="BG117" s="30">
        <v>0.4229957805907173</v>
      </c>
      <c r="BH117" s="30">
        <v>50.948101265822771</v>
      </c>
      <c r="BI117" s="30">
        <v>0.15</v>
      </c>
      <c r="BJ117" s="30">
        <v>0.20599999999999999</v>
      </c>
      <c r="BK117" s="30">
        <v>0.04</v>
      </c>
      <c r="BL117" s="30">
        <v>4.4800000000000004</v>
      </c>
      <c r="BM117" s="30">
        <v>84</v>
      </c>
      <c r="BN117" s="30">
        <v>57</v>
      </c>
      <c r="BO117" s="30">
        <v>63</v>
      </c>
      <c r="BP117" s="30">
        <v>74</v>
      </c>
      <c r="BQ117" s="30">
        <v>41</v>
      </c>
      <c r="BR117" s="30">
        <v>0</v>
      </c>
      <c r="BS117" s="30">
        <v>59</v>
      </c>
      <c r="BT117" s="30">
        <v>0.61599999999999999</v>
      </c>
      <c r="BU117" s="30">
        <v>1.33630081300813</v>
      </c>
      <c r="BV117" s="30">
        <v>0.14000000000000001</v>
      </c>
      <c r="BW117" s="30">
        <v>0.14000000000000001</v>
      </c>
      <c r="BX117" s="30">
        <v>0.11</v>
      </c>
      <c r="BY117" s="30">
        <v>0.17199999999999999</v>
      </c>
      <c r="BZ117" s="30">
        <v>2.8</v>
      </c>
      <c r="CA117" s="30">
        <v>0.6</v>
      </c>
      <c r="CB117" s="30">
        <v>69</v>
      </c>
      <c r="CC117" s="30">
        <v>0.01</v>
      </c>
      <c r="CD117" s="30">
        <v>0.01</v>
      </c>
      <c r="CE117" s="30">
        <v>6.0000000000000001E-3</v>
      </c>
      <c r="CF117" s="30">
        <v>0.71</v>
      </c>
      <c r="CG117" s="30">
        <v>0.61</v>
      </c>
      <c r="CH117" s="30">
        <v>2.06</v>
      </c>
      <c r="CI117" s="30">
        <v>0.20399999999999999</v>
      </c>
      <c r="CJ117" s="30">
        <v>0.19</v>
      </c>
      <c r="CK117" s="30">
        <v>6</v>
      </c>
      <c r="CL117" s="30">
        <v>1.0900000000000001</v>
      </c>
      <c r="CM117" s="30">
        <v>0</v>
      </c>
      <c r="CN117" s="30" t="s">
        <v>141</v>
      </c>
      <c r="CO117" s="30">
        <v>2205.3794428434198</v>
      </c>
    </row>
    <row r="118" spans="2:93" ht="19.899999999999999" customHeight="1" x14ac:dyDescent="0.2">
      <c r="B118" s="30" t="s">
        <v>167</v>
      </c>
      <c r="C118" s="30">
        <v>107</v>
      </c>
      <c r="D118" s="30">
        <v>1.1200000000000001</v>
      </c>
      <c r="E118" s="30">
        <v>2357</v>
      </c>
      <c r="F118" s="30">
        <v>1.1200000000000001</v>
      </c>
      <c r="G118" s="30">
        <v>1.1200000000000001</v>
      </c>
      <c r="H118" s="30">
        <v>0.187</v>
      </c>
      <c r="I118" s="30">
        <v>0.63</v>
      </c>
      <c r="J118" s="30">
        <v>1.1399999999999999</v>
      </c>
      <c r="K118" s="30">
        <v>1.1000000000000001</v>
      </c>
      <c r="L118" s="30">
        <v>0.63</v>
      </c>
      <c r="M118" s="30">
        <v>71.599999999999994</v>
      </c>
      <c r="N118" s="30">
        <v>1.66</v>
      </c>
      <c r="O118" s="30">
        <v>75.2</v>
      </c>
      <c r="P118" s="30">
        <v>0.74</v>
      </c>
      <c r="Q118" s="30">
        <v>0.67</v>
      </c>
      <c r="R118" s="30">
        <v>70.400000000000006</v>
      </c>
      <c r="S118" s="30">
        <v>1.08</v>
      </c>
      <c r="T118" s="30">
        <v>73.2</v>
      </c>
      <c r="U118" s="30">
        <v>0.7</v>
      </c>
      <c r="V118" s="30">
        <v>262</v>
      </c>
      <c r="W118" s="30">
        <v>30</v>
      </c>
      <c r="X118" s="30">
        <v>0.99</v>
      </c>
      <c r="Y118" s="30">
        <v>54</v>
      </c>
      <c r="Z118" s="30">
        <v>1.01</v>
      </c>
      <c r="AA118" s="30">
        <v>89</v>
      </c>
      <c r="AB118" s="30">
        <v>1.1000000000000001</v>
      </c>
      <c r="AC118" s="30">
        <v>0.11794654221467971</v>
      </c>
      <c r="AD118" s="30">
        <v>0.49427238014425118</v>
      </c>
      <c r="AE118" s="30">
        <v>0.1900721255833687</v>
      </c>
      <c r="AF118" s="30">
        <v>5.2184980907933817E-2</v>
      </c>
      <c r="AG118" s="30">
        <v>90</v>
      </c>
      <c r="AH118" s="30">
        <v>72</v>
      </c>
      <c r="AI118" s="30">
        <v>49</v>
      </c>
      <c r="AJ118" s="30">
        <v>39</v>
      </c>
      <c r="AK118" s="30">
        <v>23</v>
      </c>
      <c r="AL118" s="30">
        <v>31</v>
      </c>
      <c r="AM118" s="30">
        <v>2.1637675010606709E-2</v>
      </c>
      <c r="AN118" s="30">
        <v>71</v>
      </c>
      <c r="AO118" s="30">
        <v>1.1000000000000001</v>
      </c>
      <c r="AP118" s="30">
        <v>55</v>
      </c>
      <c r="AQ118" s="30">
        <v>1.0900000000000001</v>
      </c>
      <c r="AR118" s="30">
        <v>18</v>
      </c>
      <c r="AS118" s="30">
        <v>1.08</v>
      </c>
      <c r="AT118" s="30">
        <v>14</v>
      </c>
      <c r="AU118" s="30">
        <v>1.05</v>
      </c>
      <c r="AV118" s="30">
        <v>9</v>
      </c>
      <c r="AW118" s="30">
        <v>1.07</v>
      </c>
      <c r="AX118" s="30">
        <v>0</v>
      </c>
      <c r="AY118" s="30" t="s">
        <v>141</v>
      </c>
      <c r="AZ118" s="30">
        <v>1.04</v>
      </c>
      <c r="BA118" s="30">
        <v>101.4</v>
      </c>
      <c r="BB118" s="30">
        <v>0.75900000000000001</v>
      </c>
      <c r="BC118" s="30">
        <v>7.6999999999999999E-2</v>
      </c>
      <c r="BD118" s="30">
        <v>0.25600000000000001</v>
      </c>
      <c r="BE118" s="30">
        <v>101</v>
      </c>
      <c r="BF118" s="30">
        <v>0.14199999999999999</v>
      </c>
      <c r="BG118" s="30">
        <v>0.44484745762711853</v>
      </c>
      <c r="BH118" s="30">
        <v>49.066610169491518</v>
      </c>
      <c r="BI118" s="30">
        <v>0.14000000000000001</v>
      </c>
      <c r="BJ118" s="30">
        <v>0.159</v>
      </c>
      <c r="BK118" s="30">
        <v>0.08</v>
      </c>
      <c r="BL118" s="30">
        <v>2.97</v>
      </c>
      <c r="BM118" s="30">
        <v>77</v>
      </c>
      <c r="BN118" s="30">
        <v>12</v>
      </c>
      <c r="BO118" s="30">
        <v>36</v>
      </c>
      <c r="BP118" s="30">
        <v>67</v>
      </c>
      <c r="BQ118" s="30">
        <v>61</v>
      </c>
      <c r="BR118" s="30">
        <v>92</v>
      </c>
      <c r="BS118" s="30">
        <v>62</v>
      </c>
      <c r="BT118" s="30">
        <v>0.35599999999999998</v>
      </c>
      <c r="BU118" s="30">
        <v>1.3119055374592841</v>
      </c>
      <c r="BV118" s="30">
        <v>0.1</v>
      </c>
      <c r="BW118" s="30">
        <v>0.09</v>
      </c>
      <c r="BX118" s="30">
        <v>7.0000000000000007E-2</v>
      </c>
      <c r="BY118" s="30">
        <v>0.18</v>
      </c>
      <c r="BZ118" s="30">
        <v>2.0099999999999998</v>
      </c>
      <c r="CA118" s="30">
        <v>0.65500000000000003</v>
      </c>
      <c r="CB118" s="30">
        <v>71</v>
      </c>
      <c r="CC118" s="30">
        <v>0.36</v>
      </c>
      <c r="CD118" s="30">
        <v>0.49</v>
      </c>
      <c r="CE118" s="30">
        <v>0.26900000000000002</v>
      </c>
      <c r="CF118" s="30">
        <v>0.98</v>
      </c>
      <c r="CG118" s="30">
        <v>0.89</v>
      </c>
      <c r="CH118" s="30">
        <v>2.2599999999999998</v>
      </c>
      <c r="CI118" s="30">
        <v>0.184</v>
      </c>
      <c r="CJ118" s="30">
        <v>0.13</v>
      </c>
      <c r="CK118" s="30">
        <v>14</v>
      </c>
      <c r="CL118" s="30">
        <v>1.05</v>
      </c>
      <c r="CM118" s="30">
        <v>0</v>
      </c>
      <c r="CN118" s="30" t="s">
        <v>141</v>
      </c>
      <c r="CO118" s="30">
        <v>3258.061749571184</v>
      </c>
    </row>
    <row r="119" spans="2:93" ht="19.899999999999999" customHeight="1" x14ac:dyDescent="0.2">
      <c r="B119" s="30" t="s">
        <v>183</v>
      </c>
      <c r="C119" s="30">
        <v>79</v>
      </c>
      <c r="D119" s="30">
        <v>1.1200000000000001</v>
      </c>
      <c r="E119" s="30">
        <v>1702</v>
      </c>
      <c r="F119" s="30">
        <v>1.18</v>
      </c>
      <c r="G119" s="30">
        <v>1.06</v>
      </c>
      <c r="H119" s="30">
        <v>0.17699999999999999</v>
      </c>
      <c r="I119" s="30">
        <v>0.50700000000000001</v>
      </c>
      <c r="J119" s="30">
        <v>0.97</v>
      </c>
      <c r="K119" s="30">
        <v>1.21</v>
      </c>
      <c r="L119" s="30">
        <v>0.66</v>
      </c>
      <c r="M119" s="30">
        <v>73.7</v>
      </c>
      <c r="N119" s="30">
        <v>0.83</v>
      </c>
      <c r="O119" s="30">
        <v>77.900000000000006</v>
      </c>
      <c r="P119" s="30">
        <v>0.71</v>
      </c>
      <c r="Q119" s="30">
        <v>0.67</v>
      </c>
      <c r="R119" s="30">
        <v>71.2</v>
      </c>
      <c r="S119" s="30">
        <v>1.1299999999999999</v>
      </c>
      <c r="T119" s="30">
        <v>78.400000000000006</v>
      </c>
      <c r="U119" s="30">
        <v>0.73</v>
      </c>
      <c r="V119" s="30">
        <v>91</v>
      </c>
      <c r="W119" s="30">
        <v>19</v>
      </c>
      <c r="X119" s="30">
        <v>1.07</v>
      </c>
      <c r="Y119" s="30">
        <v>29</v>
      </c>
      <c r="Z119" s="30">
        <v>1.0900000000000001</v>
      </c>
      <c r="AA119" s="30">
        <v>51</v>
      </c>
      <c r="AB119" s="30">
        <v>1.0900000000000001</v>
      </c>
      <c r="AC119" s="30">
        <v>8.9894242068155106E-2</v>
      </c>
      <c r="AD119" s="30">
        <v>0.48119858989424208</v>
      </c>
      <c r="AE119" s="30">
        <v>0.17391304347826089</v>
      </c>
      <c r="AF119" s="30">
        <v>4.935370152761457E-2</v>
      </c>
      <c r="AG119" s="30">
        <v>60</v>
      </c>
      <c r="AH119" s="30">
        <v>49</v>
      </c>
      <c r="AI119" s="30">
        <v>35</v>
      </c>
      <c r="AJ119" s="30">
        <v>23</v>
      </c>
      <c r="AK119" s="30">
        <v>16</v>
      </c>
      <c r="AL119" s="30">
        <v>23</v>
      </c>
      <c r="AM119" s="30">
        <v>2.1151586368977671E-2</v>
      </c>
      <c r="AN119" s="30">
        <v>50</v>
      </c>
      <c r="AO119" s="30">
        <v>1.07</v>
      </c>
      <c r="AP119" s="30">
        <v>28</v>
      </c>
      <c r="AQ119" s="30">
        <v>1.04</v>
      </c>
      <c r="AR119" s="30">
        <v>7</v>
      </c>
      <c r="AS119" s="30">
        <v>1.07</v>
      </c>
      <c r="AT119" s="30">
        <v>10</v>
      </c>
      <c r="AU119" s="30">
        <v>1</v>
      </c>
      <c r="AV119" s="30">
        <v>2</v>
      </c>
      <c r="AW119" s="30">
        <v>1.1200000000000001</v>
      </c>
      <c r="AX119" s="30">
        <v>0</v>
      </c>
      <c r="AY119" s="30" t="s">
        <v>141</v>
      </c>
      <c r="AZ119" s="30">
        <v>1</v>
      </c>
      <c r="BA119" s="30">
        <v>102.8</v>
      </c>
      <c r="BB119" s="30">
        <v>0.7390000000000001</v>
      </c>
      <c r="BC119" s="30">
        <v>9.4E-2</v>
      </c>
      <c r="BD119" s="30">
        <v>0.26200000000000001</v>
      </c>
      <c r="BE119" s="30">
        <v>109</v>
      </c>
      <c r="BF119" s="30">
        <v>0.108</v>
      </c>
      <c r="BG119" s="30">
        <v>0.43663594470046091</v>
      </c>
      <c r="BH119" s="30">
        <v>53.975345622119839</v>
      </c>
      <c r="BI119" s="30">
        <v>0.17</v>
      </c>
      <c r="BJ119" s="30">
        <v>0.19500000000000001</v>
      </c>
      <c r="BK119" s="30">
        <v>0.03</v>
      </c>
      <c r="BL119" s="30">
        <v>4.37</v>
      </c>
      <c r="BM119" s="30">
        <v>73</v>
      </c>
      <c r="BN119" s="30">
        <v>36</v>
      </c>
      <c r="BO119" s="30">
        <v>77</v>
      </c>
      <c r="BP119" s="30">
        <v>39</v>
      </c>
      <c r="BQ119" s="30">
        <v>55</v>
      </c>
      <c r="BR119" s="30">
        <v>1</v>
      </c>
      <c r="BS119" s="30">
        <v>42</v>
      </c>
      <c r="BT119" s="30">
        <v>0.501</v>
      </c>
      <c r="BU119" s="30">
        <v>1.3701697312588399</v>
      </c>
      <c r="BV119" s="30">
        <v>0.13</v>
      </c>
      <c r="BW119" s="30">
        <v>0.12</v>
      </c>
      <c r="BX119" s="30">
        <v>0.09</v>
      </c>
      <c r="BY119" s="30">
        <v>0.21</v>
      </c>
      <c r="BZ119" s="30">
        <v>2.88</v>
      </c>
      <c r="CA119" s="30">
        <v>0.60899999999999999</v>
      </c>
      <c r="CB119" s="30">
        <v>72</v>
      </c>
      <c r="CC119" s="30">
        <v>0.01</v>
      </c>
      <c r="CD119" s="30">
        <v>1.4999999999999999E-2</v>
      </c>
      <c r="CE119" s="30">
        <v>9.0000000000000011E-3</v>
      </c>
      <c r="CF119" s="30">
        <v>0.82</v>
      </c>
      <c r="CG119" s="30">
        <v>0.43</v>
      </c>
      <c r="CH119" s="30">
        <v>2.4</v>
      </c>
      <c r="CI119" s="30">
        <v>0.24099999999999999</v>
      </c>
      <c r="CJ119" s="30">
        <v>0.19</v>
      </c>
      <c r="CK119" s="30">
        <v>10</v>
      </c>
      <c r="CL119" s="30">
        <v>1</v>
      </c>
      <c r="CM119" s="30">
        <v>0</v>
      </c>
      <c r="CN119" s="30" t="s">
        <v>141</v>
      </c>
      <c r="CO119" s="30">
        <v>2232.811211871393</v>
      </c>
    </row>
    <row r="120" spans="2:93" ht="19.899999999999999" customHeight="1" x14ac:dyDescent="0.2">
      <c r="B120" s="30" t="s">
        <v>147</v>
      </c>
      <c r="C120" s="30">
        <v>126</v>
      </c>
      <c r="D120" s="30">
        <v>1.1200000000000001</v>
      </c>
      <c r="E120" s="30">
        <v>2667</v>
      </c>
      <c r="F120" s="30">
        <v>1.1200000000000001</v>
      </c>
      <c r="G120" s="30">
        <v>1.1100000000000001</v>
      </c>
      <c r="H120" s="30">
        <v>0.16600000000000001</v>
      </c>
      <c r="I120" s="30">
        <v>0.54299999999999993</v>
      </c>
      <c r="J120" s="30">
        <v>0.99</v>
      </c>
      <c r="K120" s="30">
        <v>1.33</v>
      </c>
      <c r="L120" s="30">
        <v>0.63</v>
      </c>
      <c r="M120" s="30">
        <v>75</v>
      </c>
      <c r="N120" s="30">
        <v>0.88</v>
      </c>
      <c r="O120" s="30">
        <v>76.3</v>
      </c>
      <c r="P120" s="30">
        <v>0.7</v>
      </c>
      <c r="Q120" s="30">
        <v>0.65</v>
      </c>
      <c r="R120" s="30">
        <v>72</v>
      </c>
      <c r="S120" s="30">
        <v>1.1000000000000001</v>
      </c>
      <c r="T120" s="30">
        <v>76</v>
      </c>
      <c r="U120" s="30">
        <v>0.71</v>
      </c>
      <c r="V120" s="30">
        <v>189</v>
      </c>
      <c r="W120" s="30">
        <v>30</v>
      </c>
      <c r="X120" s="30">
        <v>1.01</v>
      </c>
      <c r="Y120" s="30">
        <v>64</v>
      </c>
      <c r="Z120" s="30">
        <v>1.0900000000000001</v>
      </c>
      <c r="AA120" s="30">
        <v>106</v>
      </c>
      <c r="AB120" s="30">
        <v>1.1200000000000001</v>
      </c>
      <c r="AC120" s="30">
        <v>8.9988751406074236E-2</v>
      </c>
      <c r="AD120" s="30">
        <v>0.48031496062992118</v>
      </c>
      <c r="AE120" s="30">
        <v>0.16835395575553061</v>
      </c>
      <c r="AF120" s="30">
        <v>4.4994375703037118E-2</v>
      </c>
      <c r="AG120" s="30">
        <v>103</v>
      </c>
      <c r="AH120" s="30">
        <v>85</v>
      </c>
      <c r="AI120" s="30">
        <v>68</v>
      </c>
      <c r="AJ120" s="30">
        <v>40</v>
      </c>
      <c r="AK120" s="30">
        <v>23</v>
      </c>
      <c r="AL120" s="30">
        <v>38</v>
      </c>
      <c r="AM120" s="30">
        <v>2.0997375328083989E-2</v>
      </c>
      <c r="AN120" s="30">
        <v>110</v>
      </c>
      <c r="AO120" s="30">
        <v>1.1299999999999999</v>
      </c>
      <c r="AP120" s="30">
        <v>63</v>
      </c>
      <c r="AQ120" s="30">
        <v>1.1000000000000001</v>
      </c>
      <c r="AR120" s="30">
        <v>21</v>
      </c>
      <c r="AS120" s="30">
        <v>1.1499999999999999</v>
      </c>
      <c r="AT120" s="30">
        <v>35</v>
      </c>
      <c r="AU120" s="30">
        <v>1.1399999999999999</v>
      </c>
      <c r="AV120" s="30">
        <v>11</v>
      </c>
      <c r="AW120" s="30">
        <v>1.06</v>
      </c>
      <c r="AX120" s="30">
        <v>0</v>
      </c>
      <c r="AY120" s="30" t="s">
        <v>141</v>
      </c>
      <c r="AZ120" s="30">
        <v>0.92</v>
      </c>
      <c r="BA120" s="30">
        <v>94.5</v>
      </c>
      <c r="BB120" s="30">
        <v>0.70799999999999996</v>
      </c>
      <c r="BC120" s="30">
        <v>9.1999999999999998E-2</v>
      </c>
      <c r="BD120" s="30">
        <v>0.248</v>
      </c>
      <c r="BE120" s="30">
        <v>109</v>
      </c>
      <c r="BF120" s="30">
        <v>0.109</v>
      </c>
      <c r="BG120" s="30">
        <v>0.4691925465838509</v>
      </c>
      <c r="BH120" s="30">
        <v>56.814130434782612</v>
      </c>
      <c r="BI120" s="30">
        <v>0.16</v>
      </c>
      <c r="BJ120" s="30">
        <v>0.19900000000000001</v>
      </c>
      <c r="BK120" s="30">
        <v>0.04</v>
      </c>
      <c r="BL120" s="30">
        <v>3.34</v>
      </c>
      <c r="BM120" s="30">
        <v>67</v>
      </c>
      <c r="BN120" s="30">
        <v>39</v>
      </c>
      <c r="BO120" s="30">
        <v>72</v>
      </c>
      <c r="BP120" s="30">
        <v>37</v>
      </c>
      <c r="BQ120" s="30">
        <v>55</v>
      </c>
      <c r="BR120" s="30">
        <v>1</v>
      </c>
      <c r="BS120" s="30">
        <v>50</v>
      </c>
      <c r="BT120" s="30">
        <v>0.59599999999999997</v>
      </c>
      <c r="BU120" s="30">
        <v>1.301634031060094</v>
      </c>
      <c r="BV120" s="30">
        <v>0.13</v>
      </c>
      <c r="BW120" s="30">
        <v>0.12</v>
      </c>
      <c r="BX120" s="30">
        <v>0.1</v>
      </c>
      <c r="BY120" s="30">
        <v>0.222</v>
      </c>
      <c r="BZ120" s="30">
        <v>2.6</v>
      </c>
      <c r="CA120" s="30">
        <v>0.58499999999999996</v>
      </c>
      <c r="CB120" s="30">
        <v>73</v>
      </c>
      <c r="CC120" s="30">
        <v>0.01</v>
      </c>
      <c r="CD120" s="30">
        <v>1.7000000000000001E-2</v>
      </c>
      <c r="CE120" s="30">
        <v>9.0000000000000011E-3</v>
      </c>
      <c r="CF120" s="30">
        <v>0.45</v>
      </c>
      <c r="CG120" s="30">
        <v>0.65</v>
      </c>
      <c r="CH120" s="30">
        <v>1.98</v>
      </c>
      <c r="CI120" s="30">
        <v>0.23</v>
      </c>
      <c r="CJ120" s="30">
        <v>0.18</v>
      </c>
      <c r="CK120" s="30">
        <v>35</v>
      </c>
      <c r="CL120" s="30">
        <v>1.1399999999999999</v>
      </c>
      <c r="CM120" s="30">
        <v>13</v>
      </c>
      <c r="CN120" s="30">
        <v>1.1499999999999999</v>
      </c>
      <c r="CO120" s="30">
        <v>2207.875066737854</v>
      </c>
    </row>
    <row r="121" spans="2:93" ht="19.899999999999999" customHeight="1" x14ac:dyDescent="0.2">
      <c r="B121" s="30" t="s">
        <v>155</v>
      </c>
      <c r="C121" s="30">
        <v>124</v>
      </c>
      <c r="D121" s="30">
        <v>1.1200000000000001</v>
      </c>
      <c r="E121" s="30">
        <v>2684</v>
      </c>
      <c r="F121" s="30">
        <v>1.1499999999999999</v>
      </c>
      <c r="G121" s="30">
        <v>1.08</v>
      </c>
      <c r="H121" s="30">
        <v>0.16500000000000001</v>
      </c>
      <c r="I121" s="30">
        <v>0.56999999999999995</v>
      </c>
      <c r="J121" s="30">
        <v>1.02</v>
      </c>
      <c r="K121" s="30">
        <v>0.96</v>
      </c>
      <c r="L121" s="30">
        <v>0.57999999999999996</v>
      </c>
      <c r="M121" s="30">
        <v>76.2</v>
      </c>
      <c r="N121" s="30">
        <v>0.98</v>
      </c>
      <c r="O121" s="30">
        <v>74.3</v>
      </c>
      <c r="P121" s="30">
        <v>0.71</v>
      </c>
      <c r="Q121" s="30">
        <v>0.61</v>
      </c>
      <c r="R121" s="30">
        <v>71.7</v>
      </c>
      <c r="S121" s="30">
        <v>1.1000000000000001</v>
      </c>
      <c r="T121" s="30">
        <v>72.8</v>
      </c>
      <c r="U121" s="30">
        <v>0.71</v>
      </c>
      <c r="V121" s="30">
        <v>341</v>
      </c>
      <c r="W121" s="30">
        <v>40</v>
      </c>
      <c r="X121" s="30">
        <v>1.1399999999999999</v>
      </c>
      <c r="Y121" s="30">
        <v>71</v>
      </c>
      <c r="Z121" s="30">
        <v>1.1200000000000001</v>
      </c>
      <c r="AA121" s="30">
        <v>99</v>
      </c>
      <c r="AB121" s="30">
        <v>1.1100000000000001</v>
      </c>
      <c r="AC121" s="30">
        <v>9.4262295081967207E-2</v>
      </c>
      <c r="AD121" s="30">
        <v>0.47913561847988079</v>
      </c>
      <c r="AE121" s="30">
        <v>0.17585692995529059</v>
      </c>
      <c r="AF121" s="30">
        <v>4.4709388971684062E-2</v>
      </c>
      <c r="AG121" s="30">
        <v>104</v>
      </c>
      <c r="AH121" s="30">
        <v>88</v>
      </c>
      <c r="AI121" s="30">
        <v>69</v>
      </c>
      <c r="AJ121" s="30">
        <v>39</v>
      </c>
      <c r="AK121" s="30">
        <v>17</v>
      </c>
      <c r="AL121" s="30">
        <v>41</v>
      </c>
      <c r="AM121" s="30">
        <v>2.1609538002980631E-2</v>
      </c>
      <c r="AN121" s="30">
        <v>120</v>
      </c>
      <c r="AO121" s="30">
        <v>1.1200000000000001</v>
      </c>
      <c r="AP121" s="30">
        <v>77</v>
      </c>
      <c r="AQ121" s="30">
        <v>1.1100000000000001</v>
      </c>
      <c r="AR121" s="30">
        <v>26</v>
      </c>
      <c r="AS121" s="30">
        <v>1.1000000000000001</v>
      </c>
      <c r="AT121" s="30">
        <v>51</v>
      </c>
      <c r="AU121" s="30">
        <v>1.1599999999999999</v>
      </c>
      <c r="AV121" s="30">
        <v>31</v>
      </c>
      <c r="AW121" s="30">
        <v>1.1499999999999999</v>
      </c>
      <c r="AX121" s="30">
        <v>9</v>
      </c>
      <c r="AY121" s="30">
        <v>1.08</v>
      </c>
      <c r="AZ121" s="30">
        <v>0.92</v>
      </c>
      <c r="BA121" s="30">
        <v>92.2</v>
      </c>
      <c r="BB121" s="30">
        <v>0.747</v>
      </c>
      <c r="BC121" s="30">
        <v>0.124</v>
      </c>
      <c r="BD121" s="30">
        <v>0.26800000000000002</v>
      </c>
      <c r="BE121" s="30">
        <v>105</v>
      </c>
      <c r="BF121" s="30">
        <v>0.123</v>
      </c>
      <c r="BG121" s="30">
        <v>0.4162456140350877</v>
      </c>
      <c r="BH121" s="30">
        <v>50.056491228070144</v>
      </c>
      <c r="BI121" s="30">
        <v>0.13</v>
      </c>
      <c r="BJ121" s="30">
        <v>0.17100000000000001</v>
      </c>
      <c r="BK121" s="30">
        <v>0.02</v>
      </c>
      <c r="BL121" s="30">
        <v>4</v>
      </c>
      <c r="BM121" s="30">
        <v>67</v>
      </c>
      <c r="BN121" s="30">
        <v>9</v>
      </c>
      <c r="BO121" s="30">
        <v>44</v>
      </c>
      <c r="BP121" s="30">
        <v>44</v>
      </c>
      <c r="BQ121" s="30">
        <v>59</v>
      </c>
      <c r="BR121" s="30">
        <v>4</v>
      </c>
      <c r="BS121" s="30">
        <v>24</v>
      </c>
      <c r="BT121" s="30">
        <v>0.53</v>
      </c>
      <c r="BU121" s="30">
        <v>1.215793376173999</v>
      </c>
      <c r="BV121" s="30">
        <v>0.1</v>
      </c>
      <c r="BW121" s="30">
        <v>0.11</v>
      </c>
      <c r="BX121" s="30">
        <v>7.0000000000000007E-2</v>
      </c>
      <c r="BY121" s="30">
        <v>0.25</v>
      </c>
      <c r="BZ121" s="30">
        <v>2.5299999999999998</v>
      </c>
      <c r="CA121" s="30">
        <v>0.63400000000000001</v>
      </c>
      <c r="CB121" s="30">
        <v>76</v>
      </c>
      <c r="CC121" s="30">
        <v>0.02</v>
      </c>
      <c r="CD121" s="30">
        <v>3.4000000000000002E-2</v>
      </c>
      <c r="CE121" s="30">
        <v>1.7999999999999999E-2</v>
      </c>
      <c r="CF121" s="30">
        <v>0.63</v>
      </c>
      <c r="CG121" s="30">
        <v>0.28999999999999998</v>
      </c>
      <c r="CH121" s="30">
        <v>1.68</v>
      </c>
      <c r="CI121" s="30">
        <v>0.191</v>
      </c>
      <c r="CJ121" s="30">
        <v>0.17</v>
      </c>
      <c r="CK121" s="30">
        <v>46</v>
      </c>
      <c r="CL121" s="30">
        <v>1.18</v>
      </c>
      <c r="CM121" s="30">
        <v>16</v>
      </c>
      <c r="CN121" s="30">
        <v>1.27</v>
      </c>
      <c r="CO121" s="30">
        <v>2359.9472295514511</v>
      </c>
    </row>
    <row r="122" spans="2:93" ht="19.899999999999999" customHeight="1" x14ac:dyDescent="0.2">
      <c r="B122" s="30" t="s">
        <v>152</v>
      </c>
      <c r="C122" s="30">
        <v>127</v>
      </c>
      <c r="D122" s="30">
        <v>1.1100000000000001</v>
      </c>
      <c r="E122" s="30">
        <v>2840</v>
      </c>
      <c r="F122" s="30">
        <v>1.1299999999999999</v>
      </c>
      <c r="G122" s="30">
        <v>1.1000000000000001</v>
      </c>
      <c r="H122" s="30">
        <v>0.183</v>
      </c>
      <c r="I122" s="30">
        <v>0.54100000000000004</v>
      </c>
      <c r="J122" s="30">
        <v>1.02</v>
      </c>
      <c r="K122" s="30">
        <v>1.06</v>
      </c>
      <c r="L122" s="30">
        <v>0.63</v>
      </c>
      <c r="M122" s="30">
        <v>73.599999999999994</v>
      </c>
      <c r="N122" s="30">
        <v>0.92</v>
      </c>
      <c r="O122" s="30">
        <v>75.7</v>
      </c>
      <c r="P122" s="30">
        <v>0.69</v>
      </c>
      <c r="Q122" s="30">
        <v>0.65</v>
      </c>
      <c r="R122" s="30">
        <v>71.400000000000006</v>
      </c>
      <c r="S122" s="30">
        <v>1.1299999999999999</v>
      </c>
      <c r="T122" s="30">
        <v>75.5</v>
      </c>
      <c r="U122" s="30">
        <v>0.7</v>
      </c>
      <c r="V122" s="30">
        <v>166</v>
      </c>
      <c r="W122" s="30">
        <v>39</v>
      </c>
      <c r="X122" s="30">
        <v>1.03</v>
      </c>
      <c r="Y122" s="30">
        <v>65</v>
      </c>
      <c r="Z122" s="30">
        <v>1.07</v>
      </c>
      <c r="AA122" s="30">
        <v>101</v>
      </c>
      <c r="AB122" s="30">
        <v>1.1000000000000001</v>
      </c>
      <c r="AC122" s="30">
        <v>9.8943661971830979E-2</v>
      </c>
      <c r="AD122" s="30">
        <v>0.47605633802816899</v>
      </c>
      <c r="AE122" s="30">
        <v>0.16584507042253521</v>
      </c>
      <c r="AF122" s="30">
        <v>4.119718309859155E-2</v>
      </c>
      <c r="AG122" s="30">
        <v>105</v>
      </c>
      <c r="AH122" s="30">
        <v>83</v>
      </c>
      <c r="AI122" s="30">
        <v>59</v>
      </c>
      <c r="AJ122" s="30">
        <v>40</v>
      </c>
      <c r="AK122" s="30">
        <v>22</v>
      </c>
      <c r="AL122" s="30">
        <v>40</v>
      </c>
      <c r="AM122" s="30">
        <v>2.3591549295774651E-2</v>
      </c>
      <c r="AN122" s="30">
        <v>111</v>
      </c>
      <c r="AO122" s="30">
        <v>1.1200000000000001</v>
      </c>
      <c r="AP122" s="30">
        <v>74</v>
      </c>
      <c r="AQ122" s="30">
        <v>1.1200000000000001</v>
      </c>
      <c r="AR122" s="30">
        <v>30</v>
      </c>
      <c r="AS122" s="30">
        <v>1.19</v>
      </c>
      <c r="AT122" s="30">
        <v>40</v>
      </c>
      <c r="AU122" s="30">
        <v>1.0900000000000001</v>
      </c>
      <c r="AV122" s="30">
        <v>22</v>
      </c>
      <c r="AW122" s="30">
        <v>1.1200000000000001</v>
      </c>
      <c r="AX122" s="30">
        <v>9</v>
      </c>
      <c r="AY122" s="30">
        <v>1.21</v>
      </c>
      <c r="AZ122" s="30">
        <v>0.93</v>
      </c>
      <c r="BA122" s="30">
        <v>95.8</v>
      </c>
      <c r="BB122" s="30">
        <v>0.69</v>
      </c>
      <c r="BC122" s="30">
        <v>6.9000000000000006E-2</v>
      </c>
      <c r="BD122" s="30">
        <v>0.27600000000000002</v>
      </c>
      <c r="BE122" s="30">
        <v>109</v>
      </c>
      <c r="BF122" s="30">
        <v>0.106</v>
      </c>
      <c r="BG122" s="30">
        <v>0.41967596081386582</v>
      </c>
      <c r="BH122" s="30">
        <v>52.782667671439341</v>
      </c>
      <c r="BI122" s="30">
        <v>0.16</v>
      </c>
      <c r="BJ122" s="30">
        <v>0.19900000000000001</v>
      </c>
      <c r="BK122" s="30">
        <v>0.05</v>
      </c>
      <c r="BL122" s="30">
        <v>6.12</v>
      </c>
      <c r="BM122" s="30">
        <v>63</v>
      </c>
      <c r="BN122" s="30">
        <v>46</v>
      </c>
      <c r="BO122" s="30">
        <v>66</v>
      </c>
      <c r="BP122" s="30">
        <v>47</v>
      </c>
      <c r="BQ122" s="30">
        <v>59</v>
      </c>
      <c r="BR122" s="30">
        <v>0</v>
      </c>
      <c r="BS122" s="30">
        <v>74</v>
      </c>
      <c r="BT122" s="30">
        <v>0.55500000000000005</v>
      </c>
      <c r="BU122" s="30">
        <v>1.2851513420902341</v>
      </c>
      <c r="BV122" s="30">
        <v>0.13</v>
      </c>
      <c r="BW122" s="30">
        <v>0.11</v>
      </c>
      <c r="BX122" s="30">
        <v>0.1</v>
      </c>
      <c r="BY122" s="30">
        <v>0.215</v>
      </c>
      <c r="BZ122" s="30">
        <v>2.72</v>
      </c>
      <c r="CA122" s="30">
        <v>0.71400000000000008</v>
      </c>
      <c r="CB122" s="30">
        <v>74</v>
      </c>
      <c r="CC122" s="30">
        <v>0</v>
      </c>
      <c r="CD122" s="30">
        <v>5.0000000000000001E-3</v>
      </c>
      <c r="CE122" s="30">
        <v>3.0000000000000001E-3</v>
      </c>
      <c r="CF122" s="30">
        <v>0.88</v>
      </c>
      <c r="CG122" s="30">
        <v>0.6</v>
      </c>
      <c r="CH122" s="30">
        <v>2.23</v>
      </c>
      <c r="CI122" s="30">
        <v>0.22500000000000001</v>
      </c>
      <c r="CJ122" s="30">
        <v>0.2</v>
      </c>
      <c r="CK122" s="30">
        <v>32</v>
      </c>
      <c r="CL122" s="30">
        <v>1.07</v>
      </c>
      <c r="CM122" s="30">
        <v>9</v>
      </c>
      <c r="CN122" s="30">
        <v>1.07</v>
      </c>
      <c r="CO122" s="30">
        <v>2290.5804480651732</v>
      </c>
    </row>
    <row r="123" spans="2:93" ht="19.899999999999999" customHeight="1" x14ac:dyDescent="0.2">
      <c r="B123" s="30" t="s">
        <v>180</v>
      </c>
      <c r="C123" s="30">
        <v>104</v>
      </c>
      <c r="D123" s="30">
        <v>1.1100000000000001</v>
      </c>
      <c r="E123" s="30">
        <v>2270</v>
      </c>
      <c r="F123" s="30">
        <v>1.1100000000000001</v>
      </c>
      <c r="G123" s="30">
        <v>1.1200000000000001</v>
      </c>
      <c r="H123" s="30">
        <v>0.255</v>
      </c>
      <c r="I123" s="30">
        <v>0.52800000000000002</v>
      </c>
      <c r="J123" s="30">
        <v>1.1399999999999999</v>
      </c>
      <c r="K123" s="30">
        <v>1</v>
      </c>
      <c r="L123" s="30">
        <v>0.67</v>
      </c>
      <c r="M123" s="30">
        <v>73.900000000000006</v>
      </c>
      <c r="N123" s="30">
        <v>0.6</v>
      </c>
      <c r="O123" s="30">
        <v>81.8</v>
      </c>
      <c r="P123" s="30">
        <v>0.73</v>
      </c>
      <c r="Q123" s="30">
        <v>0.7</v>
      </c>
      <c r="R123" s="30">
        <v>70.400000000000006</v>
      </c>
      <c r="S123" s="30">
        <v>1.1499999999999999</v>
      </c>
      <c r="T123" s="30">
        <v>80.7</v>
      </c>
      <c r="U123" s="30">
        <v>0.73</v>
      </c>
      <c r="V123" s="30">
        <v>147</v>
      </c>
      <c r="W123" s="30">
        <v>29</v>
      </c>
      <c r="X123" s="30">
        <v>1.03</v>
      </c>
      <c r="Y123" s="30">
        <v>57</v>
      </c>
      <c r="Z123" s="30">
        <v>1.0900000000000001</v>
      </c>
      <c r="AA123" s="30">
        <v>67</v>
      </c>
      <c r="AB123" s="30">
        <v>1.08</v>
      </c>
      <c r="AC123" s="30">
        <v>0.13480176211453751</v>
      </c>
      <c r="AD123" s="30">
        <v>0.49074889867841409</v>
      </c>
      <c r="AE123" s="30">
        <v>0.18193832599118939</v>
      </c>
      <c r="AF123" s="30">
        <v>4.9779735682819383E-2</v>
      </c>
      <c r="AG123" s="30">
        <v>86</v>
      </c>
      <c r="AH123" s="30">
        <v>67</v>
      </c>
      <c r="AI123" s="30">
        <v>47</v>
      </c>
      <c r="AJ123" s="30">
        <v>32</v>
      </c>
      <c r="AK123" s="30">
        <v>12</v>
      </c>
      <c r="AL123" s="30">
        <v>15</v>
      </c>
      <c r="AM123" s="30">
        <v>9.2511013215859032E-3</v>
      </c>
      <c r="AN123" s="30">
        <v>54</v>
      </c>
      <c r="AO123" s="30">
        <v>1.1100000000000001</v>
      </c>
      <c r="AP123" s="30">
        <v>30</v>
      </c>
      <c r="AQ123" s="30">
        <v>1.1000000000000001</v>
      </c>
      <c r="AR123" s="30">
        <v>8</v>
      </c>
      <c r="AS123" s="30">
        <v>1.05</v>
      </c>
      <c r="AT123" s="30">
        <v>12</v>
      </c>
      <c r="AU123" s="30">
        <v>1.05</v>
      </c>
      <c r="AV123" s="30">
        <v>6</v>
      </c>
      <c r="AW123" s="30">
        <v>1.01</v>
      </c>
      <c r="AX123" s="30">
        <v>0</v>
      </c>
      <c r="AY123" s="30" t="s">
        <v>141</v>
      </c>
      <c r="AZ123" s="30">
        <v>1.03</v>
      </c>
      <c r="BA123" s="30">
        <v>105.9</v>
      </c>
      <c r="BB123" s="30">
        <v>0.70299999999999996</v>
      </c>
      <c r="BC123" s="30">
        <v>0.10100000000000001</v>
      </c>
      <c r="BD123" s="30">
        <v>0.27600000000000002</v>
      </c>
      <c r="BE123" s="30">
        <v>112</v>
      </c>
      <c r="BF123" s="30">
        <v>6.6000000000000003E-2</v>
      </c>
      <c r="BG123" s="30">
        <v>0.41641750227894248</v>
      </c>
      <c r="BH123" s="30">
        <v>56.030355515041009</v>
      </c>
      <c r="BI123" s="30">
        <v>0.15</v>
      </c>
      <c r="BJ123" s="30">
        <v>0.21099999999999999</v>
      </c>
      <c r="BK123" s="30">
        <v>0.04</v>
      </c>
      <c r="BL123" s="30">
        <v>6.76</v>
      </c>
      <c r="BM123" s="30">
        <v>83</v>
      </c>
      <c r="BN123" s="30">
        <v>50</v>
      </c>
      <c r="BO123" s="30">
        <v>54</v>
      </c>
      <c r="BP123" s="30">
        <v>82</v>
      </c>
      <c r="BQ123" s="30">
        <v>27</v>
      </c>
      <c r="BR123" s="30">
        <v>0</v>
      </c>
      <c r="BS123" s="30">
        <v>80</v>
      </c>
      <c r="BT123" s="30">
        <v>0.45800000000000002</v>
      </c>
      <c r="BU123" s="30">
        <v>1.2508486238532111</v>
      </c>
      <c r="BV123" s="30">
        <v>0.14000000000000001</v>
      </c>
      <c r="BW123" s="30">
        <v>0.11</v>
      </c>
      <c r="BX123" s="30">
        <v>0.1</v>
      </c>
      <c r="BY123" s="30">
        <v>0.20200000000000001</v>
      </c>
      <c r="BZ123" s="30">
        <v>3.26</v>
      </c>
      <c r="CA123" s="30">
        <v>0.55000000000000004</v>
      </c>
      <c r="CB123" s="30">
        <v>68</v>
      </c>
      <c r="CC123" s="30">
        <v>0</v>
      </c>
      <c r="CD123" s="30">
        <v>3.0000000000000001E-3</v>
      </c>
      <c r="CE123" s="30">
        <v>2E-3</v>
      </c>
      <c r="CF123" s="30">
        <v>0.84</v>
      </c>
      <c r="CG123" s="30">
        <v>0.72</v>
      </c>
      <c r="CH123" s="30">
        <v>2.14</v>
      </c>
      <c r="CI123" s="30">
        <v>0.19900000000000001</v>
      </c>
      <c r="CJ123" s="30">
        <v>0.23</v>
      </c>
      <c r="CK123" s="30">
        <v>12</v>
      </c>
      <c r="CL123" s="30">
        <v>1.05</v>
      </c>
      <c r="CM123" s="30">
        <v>0</v>
      </c>
      <c r="CN123" s="30" t="s">
        <v>141</v>
      </c>
      <c r="CO123" s="30">
        <v>2266.9069069069069</v>
      </c>
    </row>
    <row r="124" spans="2:93" ht="19.899999999999999" customHeight="1" x14ac:dyDescent="0.2">
      <c r="B124" s="30" t="s">
        <v>146</v>
      </c>
      <c r="C124" s="30">
        <v>118</v>
      </c>
      <c r="D124" s="30">
        <v>1.1100000000000001</v>
      </c>
      <c r="E124" s="30">
        <v>2579</v>
      </c>
      <c r="F124" s="30">
        <v>1.0900000000000001</v>
      </c>
      <c r="G124" s="30">
        <v>1.1299999999999999</v>
      </c>
      <c r="H124" s="30">
        <v>0.20799999999999999</v>
      </c>
      <c r="I124" s="30">
        <v>0.502</v>
      </c>
      <c r="J124" s="30">
        <v>1.02</v>
      </c>
      <c r="K124" s="30">
        <v>1.21</v>
      </c>
      <c r="L124" s="30">
        <v>0.68</v>
      </c>
      <c r="M124" s="30">
        <v>71.2</v>
      </c>
      <c r="N124" s="30">
        <v>0.52</v>
      </c>
      <c r="O124" s="30">
        <v>80.2</v>
      </c>
      <c r="P124" s="30">
        <v>0.76</v>
      </c>
      <c r="Q124" s="30">
        <v>0.71</v>
      </c>
      <c r="R124" s="30">
        <v>67.8</v>
      </c>
      <c r="S124" s="30">
        <v>1.24</v>
      </c>
      <c r="T124" s="30">
        <v>79.400000000000006</v>
      </c>
      <c r="U124" s="30">
        <v>0.76</v>
      </c>
      <c r="V124" s="30">
        <v>205</v>
      </c>
      <c r="W124" s="30">
        <v>26</v>
      </c>
      <c r="X124" s="30">
        <v>1.03</v>
      </c>
      <c r="Y124" s="30">
        <v>55</v>
      </c>
      <c r="Z124" s="30">
        <v>1</v>
      </c>
      <c r="AA124" s="30">
        <v>88</v>
      </c>
      <c r="AB124" s="30">
        <v>1.08</v>
      </c>
      <c r="AC124" s="30">
        <v>0.10430399379604501</v>
      </c>
      <c r="AD124" s="30">
        <v>0.49205118262892589</v>
      </c>
      <c r="AE124" s="30">
        <v>0.19581233036060491</v>
      </c>
      <c r="AF124" s="30">
        <v>5.6223342380767739E-2</v>
      </c>
      <c r="AG124" s="30">
        <v>96</v>
      </c>
      <c r="AH124" s="30">
        <v>78</v>
      </c>
      <c r="AI124" s="30">
        <v>60</v>
      </c>
      <c r="AJ124" s="30">
        <v>41</v>
      </c>
      <c r="AK124" s="30">
        <v>20</v>
      </c>
      <c r="AL124" s="30">
        <v>45</v>
      </c>
      <c r="AM124" s="30">
        <v>3.2183016673129117E-2</v>
      </c>
      <c r="AN124" s="30">
        <v>103</v>
      </c>
      <c r="AO124" s="30">
        <v>1.1000000000000001</v>
      </c>
      <c r="AP124" s="30">
        <v>65</v>
      </c>
      <c r="AQ124" s="30">
        <v>1.07</v>
      </c>
      <c r="AR124" s="30">
        <v>22</v>
      </c>
      <c r="AS124" s="30">
        <v>1.0900000000000001</v>
      </c>
      <c r="AT124" s="30">
        <v>27</v>
      </c>
      <c r="AU124" s="30">
        <v>1.1000000000000001</v>
      </c>
      <c r="AV124" s="30">
        <v>15</v>
      </c>
      <c r="AW124" s="30">
        <v>1.07</v>
      </c>
      <c r="AX124" s="30">
        <v>6</v>
      </c>
      <c r="AY124" s="30">
        <v>1.01</v>
      </c>
      <c r="AZ124" s="30">
        <v>1.05</v>
      </c>
      <c r="BA124" s="30">
        <v>106.4</v>
      </c>
      <c r="BB124" s="30">
        <v>0.68799999999999994</v>
      </c>
      <c r="BC124" s="30">
        <v>7.400000000000001E-2</v>
      </c>
      <c r="BD124" s="30">
        <v>0.25600000000000001</v>
      </c>
      <c r="BE124" s="30">
        <v>106</v>
      </c>
      <c r="BF124" s="30">
        <v>9.3000000000000013E-2</v>
      </c>
      <c r="BG124" s="30">
        <v>0.44407735697018519</v>
      </c>
      <c r="BH124" s="30">
        <v>51.952135374697832</v>
      </c>
      <c r="BI124" s="30">
        <v>0.14000000000000001</v>
      </c>
      <c r="BJ124" s="30">
        <v>0.184</v>
      </c>
      <c r="BK124" s="30">
        <v>0.02</v>
      </c>
      <c r="BL124" s="30">
        <v>4.2699999999999996</v>
      </c>
      <c r="BM124" s="30">
        <v>87</v>
      </c>
      <c r="BN124" s="30">
        <v>35</v>
      </c>
      <c r="BO124" s="30">
        <v>47</v>
      </c>
      <c r="BP124" s="30">
        <v>54</v>
      </c>
      <c r="BQ124" s="30">
        <v>71</v>
      </c>
      <c r="BR124" s="30">
        <v>4</v>
      </c>
      <c r="BS124" s="30">
        <v>34</v>
      </c>
      <c r="BT124" s="30">
        <v>0.53799999999999992</v>
      </c>
      <c r="BU124" s="30">
        <v>1.2675155279503101</v>
      </c>
      <c r="BV124" s="30">
        <v>0.12</v>
      </c>
      <c r="BW124" s="30">
        <v>0.11</v>
      </c>
      <c r="BX124" s="30">
        <v>0.1</v>
      </c>
      <c r="BY124" s="30">
        <v>0.17100000000000001</v>
      </c>
      <c r="BZ124" s="30">
        <v>2.78</v>
      </c>
      <c r="CA124" s="30">
        <v>0.59499999999999997</v>
      </c>
      <c r="CB124" s="30">
        <v>72</v>
      </c>
      <c r="CC124" s="30">
        <v>0.03</v>
      </c>
      <c r="CD124" s="30">
        <v>3.9E-2</v>
      </c>
      <c r="CE124" s="30">
        <v>2.1999999999999999E-2</v>
      </c>
      <c r="CF124" s="30">
        <v>0.89</v>
      </c>
      <c r="CG124" s="30">
        <v>0.37</v>
      </c>
      <c r="CH124" s="30">
        <v>2.2400000000000002</v>
      </c>
      <c r="CI124" s="30">
        <v>0.184</v>
      </c>
      <c r="CJ124" s="30">
        <v>0.17</v>
      </c>
      <c r="CK124" s="30">
        <v>27</v>
      </c>
      <c r="CL124" s="30">
        <v>1.1000000000000001</v>
      </c>
      <c r="CM124" s="30">
        <v>4</v>
      </c>
      <c r="CN124" s="30">
        <v>0.87</v>
      </c>
      <c r="CO124" s="30">
        <v>2257.9498977505109</v>
      </c>
    </row>
    <row r="125" spans="2:93" ht="19.899999999999999" customHeight="1" x14ac:dyDescent="0.2">
      <c r="B125" s="30" t="s">
        <v>150</v>
      </c>
      <c r="C125" s="30">
        <v>118</v>
      </c>
      <c r="D125" s="30">
        <v>1.1000000000000001</v>
      </c>
      <c r="E125" s="30">
        <v>2579</v>
      </c>
      <c r="F125" s="30">
        <v>1.05</v>
      </c>
      <c r="G125" s="30">
        <v>1.1599999999999999</v>
      </c>
      <c r="H125" s="30">
        <v>0.27600000000000002</v>
      </c>
      <c r="I125" s="30">
        <v>0.55700000000000005</v>
      </c>
      <c r="J125" s="30">
        <v>1.23</v>
      </c>
      <c r="K125" s="30">
        <v>1.25</v>
      </c>
      <c r="L125" s="30">
        <v>0.67</v>
      </c>
      <c r="M125" s="30">
        <v>73.900000000000006</v>
      </c>
      <c r="N125" s="30">
        <v>0.65</v>
      </c>
      <c r="O125" s="30">
        <v>81.7</v>
      </c>
      <c r="P125" s="30">
        <v>0.73</v>
      </c>
      <c r="Q125" s="30">
        <v>0.71</v>
      </c>
      <c r="R125" s="30">
        <v>69.400000000000006</v>
      </c>
      <c r="S125" s="30">
        <v>1.1299999999999999</v>
      </c>
      <c r="T125" s="30">
        <v>79.5</v>
      </c>
      <c r="U125" s="30">
        <v>0.72</v>
      </c>
      <c r="V125" s="30">
        <v>159</v>
      </c>
      <c r="W125" s="30">
        <v>26</v>
      </c>
      <c r="X125" s="30">
        <v>0.98</v>
      </c>
      <c r="Y125" s="30">
        <v>55</v>
      </c>
      <c r="Z125" s="30">
        <v>0.99</v>
      </c>
      <c r="AA125" s="30">
        <v>88</v>
      </c>
      <c r="AB125" s="30">
        <v>1.08</v>
      </c>
      <c r="AC125" s="30">
        <v>0.15393563396665369</v>
      </c>
      <c r="AD125" s="30">
        <v>0.49166343544009311</v>
      </c>
      <c r="AE125" s="30">
        <v>0.17603722373012801</v>
      </c>
      <c r="AF125" s="30">
        <v>5.1958123303606052E-2</v>
      </c>
      <c r="AG125" s="30">
        <v>93</v>
      </c>
      <c r="AH125" s="30">
        <v>74</v>
      </c>
      <c r="AI125" s="30">
        <v>50</v>
      </c>
      <c r="AJ125" s="30">
        <v>39</v>
      </c>
      <c r="AK125" s="30">
        <v>25</v>
      </c>
      <c r="AL125" s="30">
        <v>26</v>
      </c>
      <c r="AM125" s="30">
        <v>1.2795657231485069E-2</v>
      </c>
      <c r="AN125" s="30">
        <v>103</v>
      </c>
      <c r="AO125" s="30">
        <v>1.08</v>
      </c>
      <c r="AP125" s="30">
        <v>65</v>
      </c>
      <c r="AQ125" s="30">
        <v>1.08</v>
      </c>
      <c r="AR125" s="30">
        <v>22</v>
      </c>
      <c r="AS125" s="30">
        <v>1.04</v>
      </c>
      <c r="AT125" s="30">
        <v>27</v>
      </c>
      <c r="AU125" s="30">
        <v>0.96</v>
      </c>
      <c r="AV125" s="30">
        <v>15</v>
      </c>
      <c r="AW125" s="30">
        <v>1.02</v>
      </c>
      <c r="AX125" s="30">
        <v>6</v>
      </c>
      <c r="AY125" s="30">
        <v>1.04</v>
      </c>
      <c r="AZ125" s="30">
        <v>1.01</v>
      </c>
      <c r="BA125" s="30">
        <v>107.9</v>
      </c>
      <c r="BB125" s="30">
        <v>0.748</v>
      </c>
      <c r="BC125" s="30">
        <v>0.10100000000000001</v>
      </c>
      <c r="BD125" s="30">
        <v>0.22700000000000001</v>
      </c>
      <c r="BE125" s="30">
        <v>112</v>
      </c>
      <c r="BF125" s="30">
        <v>8.3000000000000004E-2</v>
      </c>
      <c r="BG125" s="30">
        <v>0.42838033843674439</v>
      </c>
      <c r="BH125" s="30">
        <v>53.452135374697832</v>
      </c>
      <c r="BI125" s="30">
        <v>0.14000000000000001</v>
      </c>
      <c r="BJ125" s="30">
        <v>0.21299999999999999</v>
      </c>
      <c r="BK125" s="30">
        <v>0.03</v>
      </c>
      <c r="BL125" s="30">
        <v>5.57</v>
      </c>
      <c r="BM125" s="30">
        <v>81</v>
      </c>
      <c r="BN125" s="30">
        <v>56</v>
      </c>
      <c r="BO125" s="30">
        <v>46</v>
      </c>
      <c r="BP125" s="30">
        <v>91</v>
      </c>
      <c r="BQ125" s="30">
        <v>35</v>
      </c>
      <c r="BR125" s="30">
        <v>1</v>
      </c>
      <c r="BS125" s="30">
        <v>51</v>
      </c>
      <c r="BT125" s="30">
        <v>0.58700000000000008</v>
      </c>
      <c r="BU125" s="30">
        <v>1.312215320910973</v>
      </c>
      <c r="BV125" s="30">
        <v>0.14000000000000001</v>
      </c>
      <c r="BW125" s="30">
        <v>0.11</v>
      </c>
      <c r="BX125" s="30">
        <v>0.1</v>
      </c>
      <c r="BY125" s="30">
        <v>0.19500000000000001</v>
      </c>
      <c r="BZ125" s="30">
        <v>2.8</v>
      </c>
      <c r="CA125" s="30">
        <v>0.77800000000000002</v>
      </c>
      <c r="CB125" s="30">
        <v>71</v>
      </c>
      <c r="CC125" s="30">
        <v>0.01</v>
      </c>
      <c r="CD125" s="30">
        <v>1.2999999999999999E-2</v>
      </c>
      <c r="CE125" s="30">
        <v>9.0000000000000011E-3</v>
      </c>
      <c r="CF125" s="30">
        <v>0.74</v>
      </c>
      <c r="CG125" s="30">
        <v>0.4</v>
      </c>
      <c r="CH125" s="30">
        <v>2.54</v>
      </c>
      <c r="CI125" s="30">
        <v>0.19</v>
      </c>
      <c r="CJ125" s="30">
        <v>0.22</v>
      </c>
      <c r="CK125" s="30">
        <v>27</v>
      </c>
      <c r="CL125" s="30">
        <v>0.96</v>
      </c>
      <c r="CM125" s="30">
        <v>4</v>
      </c>
      <c r="CN125" s="30">
        <v>0.76</v>
      </c>
      <c r="CO125" s="30">
        <v>2325.491237387148</v>
      </c>
    </row>
    <row r="126" spans="2:93" ht="19.899999999999999" customHeight="1" x14ac:dyDescent="0.2">
      <c r="B126" s="30" t="s">
        <v>160</v>
      </c>
      <c r="C126" s="30">
        <v>129</v>
      </c>
      <c r="D126" s="30">
        <v>1.1000000000000001</v>
      </c>
      <c r="E126" s="30">
        <v>2744</v>
      </c>
      <c r="F126" s="30">
        <v>1.1399999999999999</v>
      </c>
      <c r="G126" s="30">
        <v>1.06</v>
      </c>
      <c r="H126" s="30">
        <v>0.19</v>
      </c>
      <c r="I126" s="30">
        <v>0.56700000000000006</v>
      </c>
      <c r="J126" s="30">
        <v>1.07</v>
      </c>
      <c r="K126" s="30">
        <v>1.0900000000000001</v>
      </c>
      <c r="L126" s="30">
        <v>0.62</v>
      </c>
      <c r="M126" s="30">
        <v>74.7</v>
      </c>
      <c r="N126" s="30">
        <v>0.78</v>
      </c>
      <c r="O126" s="30">
        <v>76.099999999999994</v>
      </c>
      <c r="P126" s="30">
        <v>0.7</v>
      </c>
      <c r="Q126" s="30">
        <v>0.65</v>
      </c>
      <c r="R126" s="30">
        <v>70.099999999999994</v>
      </c>
      <c r="S126" s="30">
        <v>1.07</v>
      </c>
      <c r="T126" s="30">
        <v>75</v>
      </c>
      <c r="U126" s="30">
        <v>0.7</v>
      </c>
      <c r="V126" s="30">
        <v>204</v>
      </c>
      <c r="W126" s="30">
        <v>28</v>
      </c>
      <c r="X126" s="30">
        <v>0.96</v>
      </c>
      <c r="Y126" s="30">
        <v>60</v>
      </c>
      <c r="Z126" s="30">
        <v>1.07</v>
      </c>
      <c r="AA126" s="30">
        <v>101</v>
      </c>
      <c r="AB126" s="30">
        <v>1.1000000000000001</v>
      </c>
      <c r="AC126" s="30">
        <v>0.10787172011661809</v>
      </c>
      <c r="AD126" s="30">
        <v>0.47704081632653061</v>
      </c>
      <c r="AE126" s="30">
        <v>0.1723760932944606</v>
      </c>
      <c r="AF126" s="30">
        <v>4.1180758017492707E-2</v>
      </c>
      <c r="AG126" s="30">
        <v>99</v>
      </c>
      <c r="AH126" s="30">
        <v>84</v>
      </c>
      <c r="AI126" s="30">
        <v>64</v>
      </c>
      <c r="AJ126" s="30">
        <v>44</v>
      </c>
      <c r="AK126" s="30">
        <v>25</v>
      </c>
      <c r="AL126" s="30">
        <v>28</v>
      </c>
      <c r="AM126" s="30">
        <v>1.494169096209912E-2</v>
      </c>
      <c r="AN126" s="30">
        <v>105</v>
      </c>
      <c r="AO126" s="30">
        <v>1.08</v>
      </c>
      <c r="AP126" s="30">
        <v>66</v>
      </c>
      <c r="AQ126" s="30">
        <v>1.0900000000000001</v>
      </c>
      <c r="AR126" s="30">
        <v>25</v>
      </c>
      <c r="AS126" s="30">
        <v>1.07</v>
      </c>
      <c r="AT126" s="30">
        <v>35</v>
      </c>
      <c r="AU126" s="30">
        <v>1.1000000000000001</v>
      </c>
      <c r="AV126" s="30">
        <v>16</v>
      </c>
      <c r="AW126" s="30">
        <v>1.1100000000000001</v>
      </c>
      <c r="AX126" s="30">
        <v>4</v>
      </c>
      <c r="AY126" s="30">
        <v>1.07</v>
      </c>
      <c r="AZ126" s="30">
        <v>0.98</v>
      </c>
      <c r="BA126" s="30">
        <v>99.4</v>
      </c>
      <c r="BB126" s="30">
        <v>0.76400000000000001</v>
      </c>
      <c r="BC126" s="30">
        <v>0.115</v>
      </c>
      <c r="BD126" s="30">
        <v>0.26200000000000001</v>
      </c>
      <c r="BE126" s="30">
        <v>109</v>
      </c>
      <c r="BF126" s="30">
        <v>9.1999999999999998E-2</v>
      </c>
      <c r="BG126" s="30">
        <v>0.37186119873817031</v>
      </c>
      <c r="BH126" s="30">
        <v>48.977917981072558</v>
      </c>
      <c r="BI126" s="30">
        <v>0.13</v>
      </c>
      <c r="BJ126" s="30">
        <v>0.222</v>
      </c>
      <c r="BK126" s="30">
        <v>0.03</v>
      </c>
      <c r="BL126" s="30">
        <v>4.4400000000000004</v>
      </c>
      <c r="BM126" s="30">
        <v>68</v>
      </c>
      <c r="BN126" s="30">
        <v>63</v>
      </c>
      <c r="BO126" s="30">
        <v>39</v>
      </c>
      <c r="BP126" s="30">
        <v>60</v>
      </c>
      <c r="BQ126" s="30">
        <v>40</v>
      </c>
      <c r="BR126" s="30">
        <v>0</v>
      </c>
      <c r="BS126" s="30">
        <v>37</v>
      </c>
      <c r="BT126" s="30">
        <v>0.58099999999999996</v>
      </c>
      <c r="BU126" s="30">
        <v>1.303341433778858</v>
      </c>
      <c r="BV126" s="30">
        <v>0.14000000000000001</v>
      </c>
      <c r="BW126" s="30">
        <v>0.1</v>
      </c>
      <c r="BX126" s="30">
        <v>0.11</v>
      </c>
      <c r="BY126" s="30">
        <v>0.218</v>
      </c>
      <c r="BZ126" s="30">
        <v>2.66</v>
      </c>
      <c r="CA126" s="30">
        <v>0.65599999999999992</v>
      </c>
      <c r="CB126" s="30">
        <v>73</v>
      </c>
      <c r="CC126" s="30">
        <v>0</v>
      </c>
      <c r="CD126" s="30">
        <v>2E-3</v>
      </c>
      <c r="CE126" s="30">
        <v>1E-3</v>
      </c>
      <c r="CF126" s="30">
        <v>0.73</v>
      </c>
      <c r="CG126" s="30">
        <v>0.39</v>
      </c>
      <c r="CH126" s="30">
        <v>1.99</v>
      </c>
      <c r="CI126" s="30">
        <v>0.187</v>
      </c>
      <c r="CJ126" s="30">
        <v>0.2</v>
      </c>
      <c r="CK126" s="30">
        <v>35</v>
      </c>
      <c r="CL126" s="30">
        <v>1.1000000000000001</v>
      </c>
      <c r="CM126" s="30">
        <v>4</v>
      </c>
      <c r="CN126" s="30">
        <v>1.54</v>
      </c>
      <c r="CO126" s="30">
        <v>2291.3451511991661</v>
      </c>
    </row>
    <row r="127" spans="2:93" ht="19.899999999999999" customHeight="1" x14ac:dyDescent="0.2">
      <c r="B127" s="30" t="s">
        <v>175</v>
      </c>
      <c r="C127" s="30">
        <v>126</v>
      </c>
      <c r="D127" s="30">
        <v>1.1000000000000001</v>
      </c>
      <c r="E127" s="30">
        <v>2667</v>
      </c>
      <c r="F127" s="30">
        <v>1.07</v>
      </c>
      <c r="G127" s="30">
        <v>1.1299999999999999</v>
      </c>
      <c r="H127" s="30">
        <v>0.17899999999999999</v>
      </c>
      <c r="I127" s="30">
        <v>0.629</v>
      </c>
      <c r="J127" s="30">
        <v>1.1200000000000001</v>
      </c>
      <c r="K127" s="30">
        <v>1.1000000000000001</v>
      </c>
      <c r="L127" s="30">
        <v>0.59</v>
      </c>
      <c r="M127" s="30">
        <v>75</v>
      </c>
      <c r="N127" s="30">
        <v>0.97</v>
      </c>
      <c r="O127" s="30">
        <v>70.900000000000006</v>
      </c>
      <c r="P127" s="30">
        <v>0.73</v>
      </c>
      <c r="Q127" s="30">
        <v>0.62</v>
      </c>
      <c r="R127" s="30">
        <v>72.3</v>
      </c>
      <c r="S127" s="30">
        <v>1.1299999999999999</v>
      </c>
      <c r="T127" s="30">
        <v>69.2</v>
      </c>
      <c r="U127" s="30">
        <v>0.7</v>
      </c>
      <c r="V127" s="30">
        <v>388</v>
      </c>
      <c r="W127" s="30">
        <v>30</v>
      </c>
      <c r="X127" s="30">
        <v>1.01</v>
      </c>
      <c r="Y127" s="30">
        <v>64</v>
      </c>
      <c r="Z127" s="30">
        <v>1.05</v>
      </c>
      <c r="AA127" s="30">
        <v>106</v>
      </c>
      <c r="AB127" s="30">
        <v>1.08</v>
      </c>
      <c r="AC127" s="30">
        <v>0.1124859392575928</v>
      </c>
      <c r="AD127" s="30">
        <v>0.49493813273340831</v>
      </c>
      <c r="AE127" s="30">
        <v>0.18260217472815901</v>
      </c>
      <c r="AF127" s="30">
        <v>4.4619422572178477E-2</v>
      </c>
      <c r="AG127" s="30">
        <v>101</v>
      </c>
      <c r="AH127" s="30">
        <v>77</v>
      </c>
      <c r="AI127" s="30">
        <v>57</v>
      </c>
      <c r="AJ127" s="30">
        <v>36</v>
      </c>
      <c r="AK127" s="30">
        <v>27</v>
      </c>
      <c r="AL127" s="30">
        <v>50</v>
      </c>
      <c r="AM127" s="30">
        <v>3.59955005624297E-2</v>
      </c>
      <c r="AN127" s="30">
        <v>110</v>
      </c>
      <c r="AO127" s="30">
        <v>1.1000000000000001</v>
      </c>
      <c r="AP127" s="30">
        <v>63</v>
      </c>
      <c r="AQ127" s="30">
        <v>1</v>
      </c>
      <c r="AR127" s="30">
        <v>21</v>
      </c>
      <c r="AS127" s="30">
        <v>0.95</v>
      </c>
      <c r="AT127" s="30">
        <v>35</v>
      </c>
      <c r="AU127" s="30">
        <v>1.19</v>
      </c>
      <c r="AV127" s="30">
        <v>11</v>
      </c>
      <c r="AW127" s="30">
        <v>1.07</v>
      </c>
      <c r="AX127" s="30">
        <v>0</v>
      </c>
      <c r="AY127" s="30" t="s">
        <v>141</v>
      </c>
      <c r="AZ127" s="30">
        <v>0.97</v>
      </c>
      <c r="BA127" s="30">
        <v>91.5</v>
      </c>
      <c r="BB127" s="30">
        <v>0.72299999999999998</v>
      </c>
      <c r="BC127" s="30">
        <v>0.11600000000000001</v>
      </c>
      <c r="BD127" s="30">
        <v>0.30099999999999999</v>
      </c>
      <c r="BE127" s="30">
        <v>97</v>
      </c>
      <c r="BF127" s="30">
        <v>0.14099999999999999</v>
      </c>
      <c r="BG127" s="30">
        <v>0.47699534161490692</v>
      </c>
      <c r="BH127" s="30">
        <v>48.84456521739132</v>
      </c>
      <c r="BI127" s="30">
        <v>0.18</v>
      </c>
      <c r="BJ127" s="30">
        <v>0.186</v>
      </c>
      <c r="BK127" s="30">
        <v>0.08</v>
      </c>
      <c r="BL127" s="30">
        <v>2.5</v>
      </c>
      <c r="BM127" s="30">
        <v>67</v>
      </c>
      <c r="BN127" s="30">
        <v>30</v>
      </c>
      <c r="BO127" s="30">
        <v>86</v>
      </c>
      <c r="BP127" s="30">
        <v>60</v>
      </c>
      <c r="BQ127" s="30">
        <v>85</v>
      </c>
      <c r="BR127" s="30">
        <v>92</v>
      </c>
      <c r="BS127" s="30">
        <v>56</v>
      </c>
      <c r="BT127" s="30">
        <v>0.379</v>
      </c>
      <c r="BU127" s="30">
        <v>1.2950979068197159</v>
      </c>
      <c r="BV127" s="30">
        <v>0.11</v>
      </c>
      <c r="BW127" s="30">
        <v>0.14000000000000001</v>
      </c>
      <c r="BX127" s="30">
        <v>0.1</v>
      </c>
      <c r="BY127" s="30">
        <v>0.20300000000000001</v>
      </c>
      <c r="BZ127" s="30">
        <v>1.85</v>
      </c>
      <c r="CA127" s="30">
        <v>0.72199999999999998</v>
      </c>
      <c r="CB127" s="30">
        <v>76</v>
      </c>
      <c r="CC127" s="30">
        <v>0.34</v>
      </c>
      <c r="CD127" s="30">
        <v>0.46100000000000002</v>
      </c>
      <c r="CE127" s="30">
        <v>0.255</v>
      </c>
      <c r="CF127" s="30">
        <v>0.6</v>
      </c>
      <c r="CG127" s="30">
        <v>0.79</v>
      </c>
      <c r="CH127" s="30">
        <v>2.0699999999999998</v>
      </c>
      <c r="CI127" s="30">
        <v>0.24</v>
      </c>
      <c r="CJ127" s="30">
        <v>0.12</v>
      </c>
      <c r="CK127" s="30">
        <v>35</v>
      </c>
      <c r="CL127" s="30">
        <v>1.19</v>
      </c>
      <c r="CM127" s="30">
        <v>13</v>
      </c>
      <c r="CN127" s="30">
        <v>1.23</v>
      </c>
      <c r="CO127" s="30">
        <v>3091.8288934426232</v>
      </c>
    </row>
    <row r="128" spans="2:93" ht="19.899999999999999" customHeight="1" x14ac:dyDescent="0.2">
      <c r="B128" s="30" t="s">
        <v>142</v>
      </c>
      <c r="C128" s="30">
        <v>133</v>
      </c>
      <c r="D128" s="30">
        <v>1.0900000000000001</v>
      </c>
      <c r="E128" s="30">
        <v>2904</v>
      </c>
      <c r="F128" s="30">
        <v>1.0900000000000001</v>
      </c>
      <c r="G128" s="30">
        <v>1.1000000000000001</v>
      </c>
      <c r="H128" s="30">
        <v>0.16500000000000001</v>
      </c>
      <c r="I128" s="30">
        <v>0.54</v>
      </c>
      <c r="J128" s="30">
        <v>0.99</v>
      </c>
      <c r="K128" s="30">
        <v>1.17</v>
      </c>
      <c r="L128" s="30">
        <v>0.64</v>
      </c>
      <c r="M128" s="30">
        <v>74.8</v>
      </c>
      <c r="N128" s="30">
        <v>0.67</v>
      </c>
      <c r="O128" s="30">
        <v>74.3</v>
      </c>
      <c r="P128" s="30">
        <v>0.67</v>
      </c>
      <c r="Q128" s="30">
        <v>0.65</v>
      </c>
      <c r="R128" s="30">
        <v>72.2</v>
      </c>
      <c r="S128" s="30">
        <v>1.07</v>
      </c>
      <c r="T128" s="30">
        <v>74.8</v>
      </c>
      <c r="U128" s="30">
        <v>0.68</v>
      </c>
      <c r="V128" s="30">
        <v>91</v>
      </c>
      <c r="W128" s="30">
        <v>35</v>
      </c>
      <c r="X128" s="30">
        <v>1.04</v>
      </c>
      <c r="Y128" s="30">
        <v>60</v>
      </c>
      <c r="Z128" s="30">
        <v>1.04</v>
      </c>
      <c r="AA128" s="30">
        <v>108</v>
      </c>
      <c r="AB128" s="30">
        <v>1.06</v>
      </c>
      <c r="AC128" s="30">
        <v>8.9187327823691459E-2</v>
      </c>
      <c r="AD128" s="30">
        <v>0.46039944903581259</v>
      </c>
      <c r="AE128" s="30">
        <v>0.159435261707989</v>
      </c>
      <c r="AF128" s="30">
        <v>4.1666666666666657E-2</v>
      </c>
      <c r="AG128" s="30">
        <v>103</v>
      </c>
      <c r="AH128" s="30">
        <v>79</v>
      </c>
      <c r="AI128" s="30">
        <v>53</v>
      </c>
      <c r="AJ128" s="30">
        <v>37</v>
      </c>
      <c r="AK128" s="30">
        <v>25</v>
      </c>
      <c r="AL128" s="30">
        <v>38</v>
      </c>
      <c r="AM128" s="30">
        <v>2.0316804407713499E-2</v>
      </c>
      <c r="AN128" s="30">
        <v>88</v>
      </c>
      <c r="AO128" s="30">
        <v>1.06</v>
      </c>
      <c r="AP128" s="30">
        <v>60</v>
      </c>
      <c r="AQ128" s="30">
        <v>1.06</v>
      </c>
      <c r="AR128" s="30">
        <v>22</v>
      </c>
      <c r="AS128" s="30">
        <v>1.07</v>
      </c>
      <c r="AT128" s="30">
        <v>18</v>
      </c>
      <c r="AU128" s="30">
        <v>0.99</v>
      </c>
      <c r="AV128" s="30">
        <v>12</v>
      </c>
      <c r="AW128" s="30">
        <v>1.03</v>
      </c>
      <c r="AX128" s="30">
        <v>0</v>
      </c>
      <c r="AY128" s="30" t="s">
        <v>141</v>
      </c>
      <c r="AZ128" s="30">
        <v>0.89</v>
      </c>
      <c r="BA128" s="30">
        <v>92.9</v>
      </c>
      <c r="BB128" s="30">
        <v>0.74099999999999999</v>
      </c>
      <c r="BC128" s="30">
        <v>7.400000000000001E-2</v>
      </c>
      <c r="BD128" s="30">
        <v>0.27900000000000003</v>
      </c>
      <c r="BE128" s="30">
        <v>111</v>
      </c>
      <c r="BF128" s="30">
        <v>0.126</v>
      </c>
      <c r="BG128" s="30">
        <v>0.42965665236051509</v>
      </c>
      <c r="BH128" s="30">
        <v>54.263090128755358</v>
      </c>
      <c r="BI128" s="30">
        <v>0.15</v>
      </c>
      <c r="BJ128" s="30">
        <v>0.23</v>
      </c>
      <c r="BK128" s="30">
        <v>0.04</v>
      </c>
      <c r="BL128" s="30">
        <v>4.92</v>
      </c>
      <c r="BM128" s="30">
        <v>55</v>
      </c>
      <c r="BN128" s="30">
        <v>77</v>
      </c>
      <c r="BO128" s="30">
        <v>65</v>
      </c>
      <c r="BP128" s="30">
        <v>38</v>
      </c>
      <c r="BQ128" s="30">
        <v>56</v>
      </c>
      <c r="BR128" s="30">
        <v>0</v>
      </c>
      <c r="BS128" s="30">
        <v>50</v>
      </c>
      <c r="BT128" s="30">
        <v>0.56100000000000005</v>
      </c>
      <c r="BU128" s="30">
        <v>1.2867396745932409</v>
      </c>
      <c r="BV128" s="30">
        <v>0.15</v>
      </c>
      <c r="BW128" s="30">
        <v>0.12</v>
      </c>
      <c r="BX128" s="30">
        <v>0.12</v>
      </c>
      <c r="BY128" s="30">
        <v>0.22800000000000001</v>
      </c>
      <c r="BZ128" s="30">
        <v>2.7</v>
      </c>
      <c r="CA128" s="30">
        <v>0.71099999999999997</v>
      </c>
      <c r="CB128" s="30">
        <v>69</v>
      </c>
      <c r="CC128" s="30">
        <v>0</v>
      </c>
      <c r="CD128" s="30">
        <v>2E-3</v>
      </c>
      <c r="CE128" s="30">
        <v>1E-3</v>
      </c>
      <c r="CF128" s="30">
        <v>0.9</v>
      </c>
      <c r="CG128" s="30">
        <v>0.45</v>
      </c>
      <c r="CH128" s="30">
        <v>2.19</v>
      </c>
      <c r="CI128" s="30">
        <v>0.218</v>
      </c>
      <c r="CJ128" s="30">
        <v>0.2</v>
      </c>
      <c r="CK128" s="30">
        <v>18</v>
      </c>
      <c r="CL128" s="30">
        <v>0.99</v>
      </c>
      <c r="CM128" s="30">
        <v>4</v>
      </c>
      <c r="CN128" s="30">
        <v>1.02</v>
      </c>
      <c r="CO128" s="30">
        <v>2185.3426069036582</v>
      </c>
    </row>
    <row r="129" spans="2:93" ht="19.899999999999999" customHeight="1" x14ac:dyDescent="0.2">
      <c r="B129" s="30" t="s">
        <v>145</v>
      </c>
      <c r="C129" s="30">
        <v>128</v>
      </c>
      <c r="D129" s="30">
        <v>1.08</v>
      </c>
      <c r="E129" s="30">
        <v>2881</v>
      </c>
      <c r="F129" s="30">
        <v>1.08</v>
      </c>
      <c r="G129" s="30">
        <v>1.08</v>
      </c>
      <c r="H129" s="30">
        <v>0.16700000000000001</v>
      </c>
      <c r="I129" s="30">
        <v>0.5</v>
      </c>
      <c r="J129" s="30">
        <v>0.94</v>
      </c>
      <c r="K129" s="30">
        <v>0.96</v>
      </c>
      <c r="L129" s="30">
        <v>0.66</v>
      </c>
      <c r="M129" s="30">
        <v>72.8</v>
      </c>
      <c r="N129" s="30">
        <v>0.82</v>
      </c>
      <c r="O129" s="30">
        <v>72.2</v>
      </c>
      <c r="P129" s="30">
        <v>0.67</v>
      </c>
      <c r="Q129" s="30">
        <v>0.66</v>
      </c>
      <c r="R129" s="30">
        <v>70.599999999999994</v>
      </c>
      <c r="S129" s="30">
        <v>1.1100000000000001</v>
      </c>
      <c r="T129" s="30">
        <v>73</v>
      </c>
      <c r="U129" s="30">
        <v>0.69</v>
      </c>
      <c r="V129" s="30">
        <v>27</v>
      </c>
      <c r="W129" s="30">
        <v>30</v>
      </c>
      <c r="X129" s="30">
        <v>1.01</v>
      </c>
      <c r="Y129" s="30">
        <v>51</v>
      </c>
      <c r="Z129" s="30">
        <v>1.05</v>
      </c>
      <c r="AA129" s="30">
        <v>88</v>
      </c>
      <c r="AB129" s="30">
        <v>1.04</v>
      </c>
      <c r="AC129" s="30">
        <v>8.3304408191600135E-2</v>
      </c>
      <c r="AD129" s="30">
        <v>0.45539743144741412</v>
      </c>
      <c r="AE129" s="30">
        <v>0.15931968066643529</v>
      </c>
      <c r="AF129" s="30">
        <v>4.3387712599791739E-2</v>
      </c>
      <c r="AG129" s="30">
        <v>104</v>
      </c>
      <c r="AH129" s="30">
        <v>79</v>
      </c>
      <c r="AI129" s="30">
        <v>56</v>
      </c>
      <c r="AJ129" s="30">
        <v>33</v>
      </c>
      <c r="AK129" s="30">
        <v>23</v>
      </c>
      <c r="AL129" s="30">
        <v>38</v>
      </c>
      <c r="AM129" s="30">
        <v>2.1867407150295039E-2</v>
      </c>
      <c r="AN129" s="30">
        <v>77</v>
      </c>
      <c r="AO129" s="30">
        <v>1.03</v>
      </c>
      <c r="AP129" s="30">
        <v>54</v>
      </c>
      <c r="AQ129" s="30">
        <v>1.04</v>
      </c>
      <c r="AR129" s="30">
        <v>14</v>
      </c>
      <c r="AS129" s="30">
        <v>0.99</v>
      </c>
      <c r="AT129" s="30">
        <v>21</v>
      </c>
      <c r="AU129" s="30">
        <v>1.07</v>
      </c>
      <c r="AV129" s="30">
        <v>13</v>
      </c>
      <c r="AW129" s="30">
        <v>1.07</v>
      </c>
      <c r="AX129" s="30">
        <v>0</v>
      </c>
      <c r="AY129" s="30" t="s">
        <v>141</v>
      </c>
      <c r="AZ129" s="30">
        <v>0.94</v>
      </c>
      <c r="BA129" s="30">
        <v>96.8</v>
      </c>
      <c r="BB129" s="30">
        <v>0.70400000000000007</v>
      </c>
      <c r="BC129" s="30">
        <v>8.900000000000001E-2</v>
      </c>
      <c r="BD129" s="30">
        <v>0.255</v>
      </c>
      <c r="BE129" s="30">
        <v>108</v>
      </c>
      <c r="BF129" s="30">
        <v>0.108</v>
      </c>
      <c r="BG129" s="30">
        <v>0.39659043659043658</v>
      </c>
      <c r="BH129" s="30">
        <v>47.685239085239097</v>
      </c>
      <c r="BI129" s="30">
        <v>0.14000000000000001</v>
      </c>
      <c r="BJ129" s="30">
        <v>0.20599999999999999</v>
      </c>
      <c r="BK129" s="30">
        <v>0.05</v>
      </c>
      <c r="BL129" s="30">
        <v>4.4800000000000004</v>
      </c>
      <c r="BM129" s="30">
        <v>51</v>
      </c>
      <c r="BN129" s="30">
        <v>53</v>
      </c>
      <c r="BO129" s="30">
        <v>48</v>
      </c>
      <c r="BP129" s="30">
        <v>30</v>
      </c>
      <c r="BQ129" s="30">
        <v>57</v>
      </c>
      <c r="BR129" s="30">
        <v>2</v>
      </c>
      <c r="BS129" s="30">
        <v>64</v>
      </c>
      <c r="BT129" s="30">
        <v>0.51700000000000002</v>
      </c>
      <c r="BU129" s="30">
        <v>1.2718672739102139</v>
      </c>
      <c r="BV129" s="30">
        <v>0.14000000000000001</v>
      </c>
      <c r="BW129" s="30">
        <v>0.11</v>
      </c>
      <c r="BX129" s="30">
        <v>0.11</v>
      </c>
      <c r="BY129" s="30">
        <v>0.216</v>
      </c>
      <c r="BZ129" s="30">
        <v>2.74</v>
      </c>
      <c r="CA129" s="30">
        <v>0.63900000000000001</v>
      </c>
      <c r="CB129" s="30">
        <v>79</v>
      </c>
      <c r="CC129" s="30">
        <v>0.02</v>
      </c>
      <c r="CD129" s="30">
        <v>3.1E-2</v>
      </c>
      <c r="CE129" s="30">
        <v>1.4E-2</v>
      </c>
      <c r="CF129" s="30">
        <v>0.76</v>
      </c>
      <c r="CG129" s="30">
        <v>0.64</v>
      </c>
      <c r="CH129" s="30">
        <v>2.42</v>
      </c>
      <c r="CI129" s="30">
        <v>0.20499999999999999</v>
      </c>
      <c r="CJ129" s="30">
        <v>0.17</v>
      </c>
      <c r="CK129" s="30">
        <v>13</v>
      </c>
      <c r="CL129" s="30">
        <v>1.07</v>
      </c>
      <c r="CM129" s="30">
        <v>6</v>
      </c>
      <c r="CN129" s="30">
        <v>1.03</v>
      </c>
      <c r="CO129" s="30">
        <v>2287.1101871101869</v>
      </c>
    </row>
    <row r="130" spans="2:93" ht="19.899999999999999" customHeight="1" x14ac:dyDescent="0.2">
      <c r="B130" s="30" t="s">
        <v>154</v>
      </c>
      <c r="C130" s="30">
        <v>113</v>
      </c>
      <c r="D130" s="30">
        <v>1.08</v>
      </c>
      <c r="E130" s="30">
        <v>2370</v>
      </c>
      <c r="F130" s="30">
        <v>1.1100000000000001</v>
      </c>
      <c r="G130" s="30">
        <v>1.05</v>
      </c>
      <c r="H130" s="30">
        <v>0.183</v>
      </c>
      <c r="I130" s="30">
        <v>0.502</v>
      </c>
      <c r="J130" s="30">
        <v>0.97</v>
      </c>
      <c r="K130" s="30">
        <v>1.03</v>
      </c>
      <c r="L130" s="30">
        <v>0.68</v>
      </c>
      <c r="M130" s="30">
        <v>72.099999999999994</v>
      </c>
      <c r="N130" s="30">
        <v>0.56999999999999995</v>
      </c>
      <c r="O130" s="30">
        <v>74.400000000000006</v>
      </c>
      <c r="P130" s="30">
        <v>0.7</v>
      </c>
      <c r="Q130" s="30">
        <v>0.69</v>
      </c>
      <c r="R130" s="30">
        <v>70.2</v>
      </c>
      <c r="S130" s="30">
        <v>1.1000000000000001</v>
      </c>
      <c r="T130" s="30">
        <v>74.5</v>
      </c>
      <c r="U130" s="30">
        <v>0.71</v>
      </c>
      <c r="V130" s="30">
        <v>34</v>
      </c>
      <c r="W130" s="30">
        <v>11</v>
      </c>
      <c r="X130" s="30">
        <v>1.1399999999999999</v>
      </c>
      <c r="Y130" s="30">
        <v>36</v>
      </c>
      <c r="Z130" s="30">
        <v>1.1200000000000001</v>
      </c>
      <c r="AA130" s="30">
        <v>84</v>
      </c>
      <c r="AB130" s="30">
        <v>1.06</v>
      </c>
      <c r="AC130" s="30">
        <v>9.1983122362869194E-2</v>
      </c>
      <c r="AD130" s="30">
        <v>0.47763713080168768</v>
      </c>
      <c r="AE130" s="30">
        <v>0.1662447257383966</v>
      </c>
      <c r="AF130" s="30">
        <v>4.3459915611814337E-2</v>
      </c>
      <c r="AG130" s="30">
        <v>87</v>
      </c>
      <c r="AH130" s="30">
        <v>65</v>
      </c>
      <c r="AI130" s="30">
        <v>48</v>
      </c>
      <c r="AJ130" s="30">
        <v>34</v>
      </c>
      <c r="AK130" s="30">
        <v>26</v>
      </c>
      <c r="AL130" s="30">
        <v>26</v>
      </c>
      <c r="AM130" s="30">
        <v>1.9409282700421939E-2</v>
      </c>
      <c r="AN130" s="30">
        <v>65</v>
      </c>
      <c r="AO130" s="30">
        <v>1.05</v>
      </c>
      <c r="AP130" s="30">
        <v>30</v>
      </c>
      <c r="AQ130" s="30">
        <v>0.98</v>
      </c>
      <c r="AR130" s="30">
        <v>11</v>
      </c>
      <c r="AS130" s="30">
        <v>1.1000000000000001</v>
      </c>
      <c r="AT130" s="30">
        <v>14</v>
      </c>
      <c r="AU130" s="30">
        <v>1.02</v>
      </c>
      <c r="AV130" s="30">
        <v>3</v>
      </c>
      <c r="AW130" s="30">
        <v>0.85</v>
      </c>
      <c r="AX130" s="30">
        <v>0</v>
      </c>
      <c r="AY130" s="30" t="s">
        <v>141</v>
      </c>
      <c r="AZ130" s="30">
        <v>0.94</v>
      </c>
      <c r="BA130" s="30">
        <v>95.5</v>
      </c>
      <c r="BB130" s="30">
        <v>0.71599999999999997</v>
      </c>
      <c r="BC130" s="30">
        <v>0.05</v>
      </c>
      <c r="BD130" s="30">
        <v>0.252</v>
      </c>
      <c r="BE130" s="30">
        <v>107</v>
      </c>
      <c r="BF130" s="30">
        <v>9.8000000000000004E-2</v>
      </c>
      <c r="BG130" s="30">
        <v>0.44616438356164401</v>
      </c>
      <c r="BH130" s="30">
        <v>52.685787671232873</v>
      </c>
      <c r="BI130" s="30">
        <v>0.14000000000000001</v>
      </c>
      <c r="BJ130" s="30">
        <v>0.20599999999999999</v>
      </c>
      <c r="BK130" s="30">
        <v>0.04</v>
      </c>
      <c r="BL130" s="30">
        <v>3.48</v>
      </c>
      <c r="BM130" s="30">
        <v>62</v>
      </c>
      <c r="BN130" s="30">
        <v>57</v>
      </c>
      <c r="BO130" s="30">
        <v>52</v>
      </c>
      <c r="BP130" s="30">
        <v>40</v>
      </c>
      <c r="BQ130" s="30">
        <v>49</v>
      </c>
      <c r="BR130" s="30">
        <v>1</v>
      </c>
      <c r="BS130" s="30">
        <v>48</v>
      </c>
      <c r="BT130" s="30">
        <v>0.59399999999999997</v>
      </c>
      <c r="BU130" s="30">
        <v>1.3582772435897441</v>
      </c>
      <c r="BV130" s="30">
        <v>0.14000000000000001</v>
      </c>
      <c r="BW130" s="30">
        <v>0.11</v>
      </c>
      <c r="BX130" s="30">
        <v>0.11</v>
      </c>
      <c r="BY130" s="30">
        <v>0.19</v>
      </c>
      <c r="BZ130" s="30">
        <v>2.5099999999999998</v>
      </c>
      <c r="CA130" s="30">
        <v>0.69599999999999995</v>
      </c>
      <c r="CB130" s="30">
        <v>69</v>
      </c>
      <c r="CC130" s="30">
        <v>0.01</v>
      </c>
      <c r="CD130" s="30">
        <v>1.7999999999999999E-2</v>
      </c>
      <c r="CE130" s="30">
        <v>0.01</v>
      </c>
      <c r="CF130" s="30">
        <v>0.46</v>
      </c>
      <c r="CG130" s="30">
        <v>0.56999999999999995</v>
      </c>
      <c r="CH130" s="30">
        <v>2.42</v>
      </c>
      <c r="CI130" s="30">
        <v>0.20399999999999999</v>
      </c>
      <c r="CJ130" s="30">
        <v>0.17</v>
      </c>
      <c r="CK130" s="30">
        <v>14</v>
      </c>
      <c r="CL130" s="30">
        <v>1.02</v>
      </c>
      <c r="CM130" s="30">
        <v>0</v>
      </c>
      <c r="CN130" s="30" t="s">
        <v>141</v>
      </c>
      <c r="CO130" s="30">
        <v>2244.0944881889759</v>
      </c>
    </row>
    <row r="131" spans="2:93" ht="19.899999999999999" customHeight="1" x14ac:dyDescent="0.2">
      <c r="B131" s="30" t="s">
        <v>186</v>
      </c>
      <c r="C131" s="30">
        <v>79</v>
      </c>
      <c r="D131" s="30">
        <v>1.08</v>
      </c>
      <c r="E131" s="30">
        <v>1673</v>
      </c>
      <c r="F131" s="30">
        <v>1.1100000000000001</v>
      </c>
      <c r="G131" s="30">
        <v>1.05</v>
      </c>
      <c r="H131" s="30">
        <v>0.27600000000000002</v>
      </c>
      <c r="I131" s="30">
        <v>0.44800000000000001</v>
      </c>
      <c r="J131" s="30">
        <v>1.03</v>
      </c>
      <c r="K131" s="30">
        <v>1.39</v>
      </c>
      <c r="L131" s="30">
        <v>0.7</v>
      </c>
      <c r="M131" s="30">
        <v>72.8</v>
      </c>
      <c r="N131" s="30">
        <v>0.48</v>
      </c>
      <c r="O131" s="30">
        <v>79.099999999999994</v>
      </c>
      <c r="P131" s="30">
        <v>0.68</v>
      </c>
      <c r="Q131" s="30">
        <v>0.72</v>
      </c>
      <c r="R131" s="30">
        <v>70.5</v>
      </c>
      <c r="S131" s="30">
        <v>1.1299999999999999</v>
      </c>
      <c r="T131" s="30">
        <v>79.400000000000006</v>
      </c>
      <c r="U131" s="30">
        <v>0.7</v>
      </c>
      <c r="V131" s="30">
        <v>-32</v>
      </c>
      <c r="W131" s="30">
        <v>29</v>
      </c>
      <c r="X131" s="30">
        <v>1.1200000000000001</v>
      </c>
      <c r="Y131" s="30">
        <v>38</v>
      </c>
      <c r="Z131" s="30">
        <v>1.1200000000000001</v>
      </c>
      <c r="AA131" s="30">
        <v>53</v>
      </c>
      <c r="AB131" s="30">
        <v>1.0900000000000001</v>
      </c>
      <c r="AC131" s="30">
        <v>0.1237298266586969</v>
      </c>
      <c r="AD131" s="30">
        <v>0.46084877465630603</v>
      </c>
      <c r="AE131" s="30">
        <v>0.16138673042438731</v>
      </c>
      <c r="AF131" s="30">
        <v>5.0806933652121938E-2</v>
      </c>
      <c r="AG131" s="30">
        <v>58</v>
      </c>
      <c r="AH131" s="30">
        <v>47</v>
      </c>
      <c r="AI131" s="30">
        <v>39</v>
      </c>
      <c r="AJ131" s="30">
        <v>24</v>
      </c>
      <c r="AK131" s="30">
        <v>18</v>
      </c>
      <c r="AL131" s="30">
        <v>14</v>
      </c>
      <c r="AM131" s="30">
        <v>1.0759115361625819E-2</v>
      </c>
      <c r="AN131" s="30">
        <v>50</v>
      </c>
      <c r="AO131" s="30">
        <v>1.07</v>
      </c>
      <c r="AP131" s="30">
        <v>33</v>
      </c>
      <c r="AQ131" s="30">
        <v>1.08</v>
      </c>
      <c r="AR131" s="30">
        <v>0</v>
      </c>
      <c r="AS131" s="30" t="s">
        <v>141</v>
      </c>
      <c r="AT131" s="30">
        <v>15</v>
      </c>
      <c r="AU131" s="30">
        <v>1.07</v>
      </c>
      <c r="AV131" s="30">
        <v>12</v>
      </c>
      <c r="AW131" s="30">
        <v>1.05</v>
      </c>
      <c r="AX131" s="30">
        <v>0</v>
      </c>
      <c r="AY131" s="30" t="s">
        <v>141</v>
      </c>
      <c r="AZ131" s="30">
        <v>0.99</v>
      </c>
      <c r="BA131" s="30">
        <v>108.5</v>
      </c>
      <c r="BB131" s="30">
        <v>0.68099999999999994</v>
      </c>
      <c r="BC131" s="30">
        <v>0.06</v>
      </c>
      <c r="BD131" s="30">
        <v>0.23699999999999999</v>
      </c>
      <c r="BE131" s="30">
        <v>116</v>
      </c>
      <c r="BF131" s="30">
        <v>7.8E-2</v>
      </c>
      <c r="BG131" s="30">
        <v>0.38779740871613672</v>
      </c>
      <c r="BH131" s="30">
        <v>50.565724381625429</v>
      </c>
      <c r="BI131" s="30">
        <v>0.14000000000000001</v>
      </c>
      <c r="BJ131" s="30">
        <v>0.24099999999999999</v>
      </c>
      <c r="BK131" s="30">
        <v>0.02</v>
      </c>
      <c r="BL131" s="30">
        <v>6.73</v>
      </c>
      <c r="BM131" s="30">
        <v>65</v>
      </c>
      <c r="BN131" s="30">
        <v>86</v>
      </c>
      <c r="BO131" s="30">
        <v>57</v>
      </c>
      <c r="BP131" s="30">
        <v>73</v>
      </c>
      <c r="BQ131" s="30">
        <v>29</v>
      </c>
      <c r="BR131" s="30">
        <v>0</v>
      </c>
      <c r="BS131" s="30">
        <v>63</v>
      </c>
      <c r="BT131" s="30">
        <v>0.53400000000000003</v>
      </c>
      <c r="BU131" s="30">
        <v>1.321938088829071</v>
      </c>
      <c r="BV131" s="30">
        <v>0.17</v>
      </c>
      <c r="BW131" s="30">
        <v>0.12</v>
      </c>
      <c r="BX131" s="30">
        <v>0.12</v>
      </c>
      <c r="BY131" s="30">
        <v>0.19400000000000001</v>
      </c>
      <c r="BZ131" s="30">
        <v>2.9</v>
      </c>
      <c r="CA131" s="30">
        <v>0.55600000000000005</v>
      </c>
      <c r="CB131" s="30">
        <v>67</v>
      </c>
      <c r="CC131" s="30">
        <v>0.01</v>
      </c>
      <c r="CD131" s="30">
        <v>8.0000000000000002E-3</v>
      </c>
      <c r="CE131" s="30">
        <v>5.0000000000000001E-3</v>
      </c>
      <c r="CF131" s="30">
        <v>0.66</v>
      </c>
      <c r="CG131" s="30">
        <v>0.52</v>
      </c>
      <c r="CH131" s="30">
        <v>2.08</v>
      </c>
      <c r="CI131" s="30">
        <v>0.21</v>
      </c>
      <c r="CJ131" s="30">
        <v>0.24</v>
      </c>
      <c r="CK131" s="30">
        <v>12</v>
      </c>
      <c r="CL131" s="30">
        <v>1.05</v>
      </c>
      <c r="CM131" s="30">
        <v>4</v>
      </c>
      <c r="CN131" s="30">
        <v>0.89</v>
      </c>
      <c r="CO131" s="30">
        <v>2175.8078602620089</v>
      </c>
    </row>
    <row r="132" spans="2:93" ht="19.899999999999999" customHeight="1" x14ac:dyDescent="0.2">
      <c r="B132" s="30" t="s">
        <v>187</v>
      </c>
      <c r="C132" s="30">
        <v>67</v>
      </c>
      <c r="D132" s="30">
        <v>1.08</v>
      </c>
      <c r="E132" s="30">
        <v>1416</v>
      </c>
      <c r="F132" s="30">
        <v>1.1200000000000001</v>
      </c>
      <c r="G132" s="30">
        <v>1.04</v>
      </c>
      <c r="H132" s="30">
        <v>0.218</v>
      </c>
      <c r="I132" s="30">
        <v>0.44500000000000001</v>
      </c>
      <c r="J132" s="30">
        <v>0.95</v>
      </c>
      <c r="K132" s="30">
        <v>1.36</v>
      </c>
      <c r="L132" s="30">
        <v>0.66</v>
      </c>
      <c r="M132" s="30">
        <v>72.400000000000006</v>
      </c>
      <c r="N132" s="30">
        <v>0.47</v>
      </c>
      <c r="O132" s="30">
        <v>74.2</v>
      </c>
      <c r="P132" s="30">
        <v>0.68</v>
      </c>
      <c r="Q132" s="30">
        <v>0.68</v>
      </c>
      <c r="R132" s="30">
        <v>69.8</v>
      </c>
      <c r="S132" s="30">
        <v>1.1399999999999999</v>
      </c>
      <c r="T132" s="30">
        <v>74.599999999999994</v>
      </c>
      <c r="U132" s="30">
        <v>0.69</v>
      </c>
      <c r="V132" s="30">
        <v>21</v>
      </c>
      <c r="W132" s="30">
        <v>26</v>
      </c>
      <c r="X132" s="30">
        <v>0.96</v>
      </c>
      <c r="Y132" s="30">
        <v>37</v>
      </c>
      <c r="Z132" s="30">
        <v>1.01</v>
      </c>
      <c r="AA132" s="30">
        <v>45</v>
      </c>
      <c r="AB132" s="30">
        <v>1.05</v>
      </c>
      <c r="AC132" s="30">
        <v>9.6751412429378528E-2</v>
      </c>
      <c r="AD132" s="30">
        <v>0.46045197740112992</v>
      </c>
      <c r="AE132" s="30">
        <v>0.15889830508474581</v>
      </c>
      <c r="AF132" s="30">
        <v>4.7316384180790962E-2</v>
      </c>
      <c r="AG132" s="30">
        <v>50</v>
      </c>
      <c r="AH132" s="30">
        <v>43</v>
      </c>
      <c r="AI132" s="30">
        <v>29</v>
      </c>
      <c r="AJ132" s="30">
        <v>18</v>
      </c>
      <c r="AK132" s="30">
        <v>11</v>
      </c>
      <c r="AL132" s="30">
        <v>13</v>
      </c>
      <c r="AM132" s="30">
        <v>1.553672316384181E-2</v>
      </c>
      <c r="AN132" s="30">
        <v>45</v>
      </c>
      <c r="AO132" s="30">
        <v>1.03</v>
      </c>
      <c r="AP132" s="30">
        <v>34</v>
      </c>
      <c r="AQ132" s="30">
        <v>1.05</v>
      </c>
      <c r="AR132" s="30">
        <v>16</v>
      </c>
      <c r="AS132" s="30">
        <v>1.02</v>
      </c>
      <c r="AT132" s="30">
        <v>6</v>
      </c>
      <c r="AU132" s="30">
        <v>1.04</v>
      </c>
      <c r="AV132" s="30">
        <v>3</v>
      </c>
      <c r="AW132" s="30">
        <v>0.95</v>
      </c>
      <c r="AX132" s="30">
        <v>3</v>
      </c>
      <c r="AY132" s="30">
        <v>0.95</v>
      </c>
      <c r="AZ132" s="30">
        <v>0.99</v>
      </c>
      <c r="BA132" s="30">
        <v>101.8</v>
      </c>
      <c r="BB132" s="30">
        <v>0.73699999999999999</v>
      </c>
      <c r="BC132" s="30">
        <v>7.2000000000000008E-2</v>
      </c>
      <c r="BD132" s="30">
        <v>0.25600000000000001</v>
      </c>
      <c r="BE132" s="30">
        <v>109</v>
      </c>
      <c r="BF132" s="30">
        <v>7.9000000000000001E-2</v>
      </c>
      <c r="BG132" s="30">
        <v>0.36997187060478193</v>
      </c>
      <c r="BH132" s="30">
        <v>46.832911392405059</v>
      </c>
      <c r="BI132" s="30">
        <v>0.14000000000000001</v>
      </c>
      <c r="BJ132" s="30">
        <v>0.24399999999999999</v>
      </c>
      <c r="BK132" s="30">
        <v>0.04</v>
      </c>
      <c r="BL132" s="30">
        <v>3.48</v>
      </c>
      <c r="BM132" s="30">
        <v>56</v>
      </c>
      <c r="BN132" s="30">
        <v>86</v>
      </c>
      <c r="BO132" s="30">
        <v>51</v>
      </c>
      <c r="BP132" s="30">
        <v>50</v>
      </c>
      <c r="BQ132" s="30">
        <v>40</v>
      </c>
      <c r="BR132" s="30">
        <v>0</v>
      </c>
      <c r="BS132" s="30">
        <v>51</v>
      </c>
      <c r="BT132" s="30">
        <v>0.64599999999999991</v>
      </c>
      <c r="BU132" s="30">
        <v>1.286382113821138</v>
      </c>
      <c r="BV132" s="30">
        <v>0.16</v>
      </c>
      <c r="BW132" s="30">
        <v>0.11</v>
      </c>
      <c r="BX132" s="30">
        <v>0.13</v>
      </c>
      <c r="BY132" s="30">
        <v>0.19600000000000001</v>
      </c>
      <c r="BZ132" s="30">
        <v>2.5</v>
      </c>
      <c r="CA132" s="30">
        <v>0.53299999999999992</v>
      </c>
      <c r="CB132" s="30">
        <v>72</v>
      </c>
      <c r="CC132" s="30">
        <v>0</v>
      </c>
      <c r="CD132" s="30">
        <v>6.0000000000000001E-3</v>
      </c>
      <c r="CE132" s="30">
        <v>4.0000000000000001E-3</v>
      </c>
      <c r="CF132" s="30">
        <v>0.42</v>
      </c>
      <c r="CG132" s="30">
        <v>0.62</v>
      </c>
      <c r="CH132" s="30">
        <v>2.2200000000000002</v>
      </c>
      <c r="CI132" s="30">
        <v>0.20100000000000001</v>
      </c>
      <c r="CJ132" s="30">
        <v>0.18</v>
      </c>
      <c r="CK132" s="30">
        <v>6</v>
      </c>
      <c r="CL132" s="30">
        <v>1.04</v>
      </c>
      <c r="CM132" s="30">
        <v>0</v>
      </c>
      <c r="CN132" s="30" t="s">
        <v>141</v>
      </c>
      <c r="CO132" s="30">
        <v>2192.1436004162329</v>
      </c>
    </row>
    <row r="133" spans="2:93" ht="19.899999999999999" customHeight="1" x14ac:dyDescent="0.2">
      <c r="B133" s="30" t="s">
        <v>179</v>
      </c>
      <c r="C133" s="30">
        <v>133</v>
      </c>
      <c r="D133" s="30">
        <v>1.08</v>
      </c>
      <c r="E133" s="30">
        <v>2904</v>
      </c>
      <c r="F133" s="30">
        <v>1.05</v>
      </c>
      <c r="G133" s="30">
        <v>1.1000000000000001</v>
      </c>
      <c r="H133" s="30">
        <v>0.16700000000000001</v>
      </c>
      <c r="I133" s="30">
        <v>0.49099999999999999</v>
      </c>
      <c r="J133" s="30">
        <v>0.93</v>
      </c>
      <c r="K133" s="30">
        <v>1.04</v>
      </c>
      <c r="L133" s="30">
        <v>0.65</v>
      </c>
      <c r="M133" s="30">
        <v>72.3</v>
      </c>
      <c r="N133" s="30">
        <v>0.22</v>
      </c>
      <c r="O133" s="30">
        <v>72.8</v>
      </c>
      <c r="P133" s="30">
        <v>0.68</v>
      </c>
      <c r="Q133" s="30">
        <v>0.66</v>
      </c>
      <c r="R133" s="30">
        <v>70.8</v>
      </c>
      <c r="S133" s="30">
        <v>1.1200000000000001</v>
      </c>
      <c r="T133" s="30">
        <v>73.5</v>
      </c>
      <c r="U133" s="30">
        <v>0.7</v>
      </c>
      <c r="V133" s="30">
        <v>79</v>
      </c>
      <c r="W133" s="30">
        <v>35</v>
      </c>
      <c r="X133" s="30">
        <v>1.07</v>
      </c>
      <c r="Y133" s="30">
        <v>60</v>
      </c>
      <c r="Z133" s="30">
        <v>1.03</v>
      </c>
      <c r="AA133" s="30">
        <v>108</v>
      </c>
      <c r="AB133" s="30">
        <v>1.04</v>
      </c>
      <c r="AC133" s="30">
        <v>8.1955922865013769E-2</v>
      </c>
      <c r="AD133" s="30">
        <v>0.46108815426997252</v>
      </c>
      <c r="AE133" s="30">
        <v>0.17011019283746559</v>
      </c>
      <c r="AF133" s="30">
        <v>4.3044077134986217E-2</v>
      </c>
      <c r="AG133" s="30">
        <v>103</v>
      </c>
      <c r="AH133" s="30">
        <v>78</v>
      </c>
      <c r="AI133" s="30">
        <v>60</v>
      </c>
      <c r="AJ133" s="30">
        <v>40</v>
      </c>
      <c r="AK133" s="30">
        <v>31</v>
      </c>
      <c r="AL133" s="30">
        <v>33</v>
      </c>
      <c r="AM133" s="30">
        <v>1.6873278236914601E-2</v>
      </c>
      <c r="AN133" s="30">
        <v>88</v>
      </c>
      <c r="AO133" s="30">
        <v>1.08</v>
      </c>
      <c r="AP133" s="30">
        <v>60</v>
      </c>
      <c r="AQ133" s="30">
        <v>1.07</v>
      </c>
      <c r="AR133" s="30">
        <v>22</v>
      </c>
      <c r="AS133" s="30">
        <v>0.99</v>
      </c>
      <c r="AT133" s="30">
        <v>18</v>
      </c>
      <c r="AU133" s="30">
        <v>1.1100000000000001</v>
      </c>
      <c r="AV133" s="30">
        <v>12</v>
      </c>
      <c r="AW133" s="30">
        <v>1.19</v>
      </c>
      <c r="AX133" s="30">
        <v>0</v>
      </c>
      <c r="AY133" s="30" t="s">
        <v>141</v>
      </c>
      <c r="AZ133" s="30">
        <v>0.92</v>
      </c>
      <c r="BA133" s="30">
        <v>91.4</v>
      </c>
      <c r="BB133" s="30">
        <v>0.74400000000000011</v>
      </c>
      <c r="BC133" s="30">
        <v>5.5E-2</v>
      </c>
      <c r="BD133" s="30">
        <v>0.29399999999999998</v>
      </c>
      <c r="BE133" s="30">
        <v>107</v>
      </c>
      <c r="BF133" s="30">
        <v>9.1999999999999998E-2</v>
      </c>
      <c r="BG133" s="30">
        <v>0.42022889842632333</v>
      </c>
      <c r="BH133" s="30">
        <v>52.763090128755358</v>
      </c>
      <c r="BI133" s="30">
        <v>0.17</v>
      </c>
      <c r="BJ133" s="30">
        <v>0.22</v>
      </c>
      <c r="BK133" s="30">
        <v>0.03</v>
      </c>
      <c r="BL133" s="30">
        <v>3.85</v>
      </c>
      <c r="BM133" s="30">
        <v>58</v>
      </c>
      <c r="BN133" s="30">
        <v>70</v>
      </c>
      <c r="BO133" s="30">
        <v>86</v>
      </c>
      <c r="BP133" s="30">
        <v>30</v>
      </c>
      <c r="BQ133" s="30">
        <v>42</v>
      </c>
      <c r="BR133" s="30">
        <v>0</v>
      </c>
      <c r="BS133" s="30">
        <v>40</v>
      </c>
      <c r="BT133" s="30">
        <v>0.66299999999999992</v>
      </c>
      <c r="BU133" s="30">
        <v>1.251520650813517</v>
      </c>
      <c r="BV133" s="30">
        <v>0.14000000000000001</v>
      </c>
      <c r="BW133" s="30">
        <v>0.13</v>
      </c>
      <c r="BX133" s="30">
        <v>0.12</v>
      </c>
      <c r="BY133" s="30">
        <v>0.20499999999999999</v>
      </c>
      <c r="BZ133" s="30">
        <v>2.4700000000000002</v>
      </c>
      <c r="CA133" s="30">
        <v>0.77800000000000002</v>
      </c>
      <c r="CB133" s="30">
        <v>68</v>
      </c>
      <c r="CC133" s="30">
        <v>0</v>
      </c>
      <c r="CD133" s="30">
        <v>3.0000000000000001E-3</v>
      </c>
      <c r="CE133" s="30">
        <v>1E-3</v>
      </c>
      <c r="CF133" s="30">
        <v>0.52</v>
      </c>
      <c r="CG133" s="30">
        <v>0.48</v>
      </c>
      <c r="CH133" s="30">
        <v>2.2999999999999998</v>
      </c>
      <c r="CI133" s="30">
        <v>0.252</v>
      </c>
      <c r="CJ133" s="30">
        <v>0.18</v>
      </c>
      <c r="CK133" s="30">
        <v>18</v>
      </c>
      <c r="CL133" s="30">
        <v>1.1100000000000001</v>
      </c>
      <c r="CM133" s="30">
        <v>4</v>
      </c>
      <c r="CN133" s="30">
        <v>1.18</v>
      </c>
      <c r="CO133" s="30">
        <v>2222.807906741004</v>
      </c>
    </row>
    <row r="134" spans="2:93" ht="19.899999999999999" customHeight="1" x14ac:dyDescent="0.2">
      <c r="B134" s="30" t="s">
        <v>151</v>
      </c>
      <c r="C134" s="30">
        <v>103</v>
      </c>
      <c r="D134" s="30">
        <v>1.07</v>
      </c>
      <c r="E134" s="30">
        <v>2232</v>
      </c>
      <c r="F134" s="30">
        <v>1.08</v>
      </c>
      <c r="G134" s="30">
        <v>1.06</v>
      </c>
      <c r="H134" s="30">
        <v>0.23300000000000001</v>
      </c>
      <c r="I134" s="30">
        <v>0.47199999999999998</v>
      </c>
      <c r="J134" s="30">
        <v>1.01</v>
      </c>
      <c r="K134" s="30">
        <v>1.19</v>
      </c>
      <c r="L134" s="30">
        <v>0.68</v>
      </c>
      <c r="M134" s="30">
        <v>73.7</v>
      </c>
      <c r="N134" s="30">
        <v>0.64</v>
      </c>
      <c r="O134" s="30">
        <v>73.400000000000006</v>
      </c>
      <c r="P134" s="30">
        <v>0.69</v>
      </c>
      <c r="Q134" s="30">
        <v>0.69</v>
      </c>
      <c r="R134" s="30">
        <v>71.400000000000006</v>
      </c>
      <c r="S134" s="30">
        <v>1.07</v>
      </c>
      <c r="T134" s="30">
        <v>72.8</v>
      </c>
      <c r="U134" s="30">
        <v>0.69</v>
      </c>
      <c r="V134" s="30">
        <v>26</v>
      </c>
      <c r="W134" s="30">
        <v>18</v>
      </c>
      <c r="X134" s="30">
        <v>1.02</v>
      </c>
      <c r="Y134" s="30">
        <v>39</v>
      </c>
      <c r="Z134" s="30">
        <v>1.07</v>
      </c>
      <c r="AA134" s="30">
        <v>87</v>
      </c>
      <c r="AB134" s="30">
        <v>1.07</v>
      </c>
      <c r="AC134" s="30">
        <v>0.1102150537634409</v>
      </c>
      <c r="AD134" s="30">
        <v>0.46729390681003591</v>
      </c>
      <c r="AE134" s="30">
        <v>0.17025089605734769</v>
      </c>
      <c r="AF134" s="30">
        <v>4.6594982078853049E-2</v>
      </c>
      <c r="AG134" s="30">
        <v>80</v>
      </c>
      <c r="AH134" s="30">
        <v>61</v>
      </c>
      <c r="AI134" s="30">
        <v>46</v>
      </c>
      <c r="AJ134" s="30">
        <v>29</v>
      </c>
      <c r="AK134" s="30">
        <v>17</v>
      </c>
      <c r="AL134" s="30">
        <v>20</v>
      </c>
      <c r="AM134" s="30">
        <v>1.344086021505376E-2</v>
      </c>
      <c r="AN134" s="30">
        <v>58</v>
      </c>
      <c r="AO134" s="30">
        <v>1.03</v>
      </c>
      <c r="AP134" s="30">
        <v>35</v>
      </c>
      <c r="AQ134" s="30">
        <v>1.04</v>
      </c>
      <c r="AR134" s="30">
        <v>22</v>
      </c>
      <c r="AS134" s="30">
        <v>0.96</v>
      </c>
      <c r="AT134" s="30">
        <v>6</v>
      </c>
      <c r="AU134" s="30">
        <v>1.1000000000000001</v>
      </c>
      <c r="AV134" s="30">
        <v>0</v>
      </c>
      <c r="AW134" s="30" t="s">
        <v>141</v>
      </c>
      <c r="AX134" s="30">
        <v>0</v>
      </c>
      <c r="AY134" s="30" t="s">
        <v>141</v>
      </c>
      <c r="AZ134" s="30">
        <v>0.95</v>
      </c>
      <c r="BA134" s="30">
        <v>96</v>
      </c>
      <c r="BB134" s="30">
        <v>0.77200000000000002</v>
      </c>
      <c r="BC134" s="30">
        <v>6.2E-2</v>
      </c>
      <c r="BD134" s="30">
        <v>0.30099999999999999</v>
      </c>
      <c r="BE134" s="30">
        <v>106</v>
      </c>
      <c r="BF134" s="30">
        <v>7.2999999999999995E-2</v>
      </c>
      <c r="BG134" s="30">
        <v>0.40545112781954901</v>
      </c>
      <c r="BH134" s="30">
        <v>48.590977443609042</v>
      </c>
      <c r="BI134" s="30">
        <v>0.15</v>
      </c>
      <c r="BJ134" s="30">
        <v>0.27100000000000002</v>
      </c>
      <c r="BK134" s="30">
        <v>0.02</v>
      </c>
      <c r="BL134" s="30">
        <v>4.08</v>
      </c>
      <c r="BM134" s="30">
        <v>61</v>
      </c>
      <c r="BN134" s="30">
        <v>94</v>
      </c>
      <c r="BO134" s="30">
        <v>70</v>
      </c>
      <c r="BP134" s="30">
        <v>66</v>
      </c>
      <c r="BQ134" s="30">
        <v>33</v>
      </c>
      <c r="BR134" s="30">
        <v>1</v>
      </c>
      <c r="BS134" s="30">
        <v>46</v>
      </c>
      <c r="BT134" s="30">
        <v>0.55299999999999994</v>
      </c>
      <c r="BU134" s="30">
        <v>1.257103393843725</v>
      </c>
      <c r="BV134" s="30">
        <v>0.18</v>
      </c>
      <c r="BW134" s="30">
        <v>0.13</v>
      </c>
      <c r="BX134" s="30">
        <v>0.14000000000000001</v>
      </c>
      <c r="BY134" s="30">
        <v>0.191</v>
      </c>
      <c r="BZ134" s="30">
        <v>2.66</v>
      </c>
      <c r="CA134" s="30">
        <v>0.63200000000000001</v>
      </c>
      <c r="CB134" s="30">
        <v>65</v>
      </c>
      <c r="CC134" s="30">
        <v>0.01</v>
      </c>
      <c r="CD134" s="30">
        <v>1.4E-2</v>
      </c>
      <c r="CE134" s="30">
        <v>6.9999999999999993E-3</v>
      </c>
      <c r="CF134" s="30">
        <v>0.76</v>
      </c>
      <c r="CG134" s="30">
        <v>0.53</v>
      </c>
      <c r="CH134" s="30">
        <v>2.13</v>
      </c>
      <c r="CI134" s="30">
        <v>0.218</v>
      </c>
      <c r="CJ134" s="30">
        <v>0.2</v>
      </c>
      <c r="CK134" s="30">
        <v>6</v>
      </c>
      <c r="CL134" s="30">
        <v>1.1000000000000001</v>
      </c>
      <c r="CM134" s="30">
        <v>0</v>
      </c>
      <c r="CN134" s="30" t="s">
        <v>141</v>
      </c>
      <c r="CO134" s="30">
        <v>2206.5866320571058</v>
      </c>
    </row>
    <row r="135" spans="2:93" ht="19.899999999999999" customHeight="1" x14ac:dyDescent="0.2">
      <c r="B135" s="30" t="s">
        <v>172</v>
      </c>
      <c r="C135" s="30">
        <v>137</v>
      </c>
      <c r="D135" s="30">
        <v>1.07</v>
      </c>
      <c r="E135" s="30">
        <v>2958</v>
      </c>
      <c r="F135" s="30">
        <v>1.06</v>
      </c>
      <c r="G135" s="30">
        <v>1.08</v>
      </c>
      <c r="H135" s="30">
        <v>0.308</v>
      </c>
      <c r="I135" s="30">
        <v>0.49299999999999999</v>
      </c>
      <c r="J135" s="30">
        <v>1.17</v>
      </c>
      <c r="K135" s="30">
        <v>1.07</v>
      </c>
      <c r="L135" s="30">
        <v>0.69</v>
      </c>
      <c r="M135" s="30">
        <v>71.599999999999994</v>
      </c>
      <c r="N135" s="30">
        <v>0.32</v>
      </c>
      <c r="O135" s="30">
        <v>78.900000000000006</v>
      </c>
      <c r="P135" s="30">
        <v>0.69</v>
      </c>
      <c r="Q135" s="30">
        <v>0.71</v>
      </c>
      <c r="R135" s="30">
        <v>69.099999999999994</v>
      </c>
      <c r="S135" s="30">
        <v>1.1000000000000001</v>
      </c>
      <c r="T135" s="30">
        <v>78.3</v>
      </c>
      <c r="U135" s="30">
        <v>0.69</v>
      </c>
      <c r="V135" s="30">
        <v>-15</v>
      </c>
      <c r="W135" s="30">
        <v>28</v>
      </c>
      <c r="X135" s="30">
        <v>0.95</v>
      </c>
      <c r="Y135" s="30">
        <v>64</v>
      </c>
      <c r="Z135" s="30">
        <v>1.02</v>
      </c>
      <c r="AA135" s="30">
        <v>112</v>
      </c>
      <c r="AB135" s="30">
        <v>1.06</v>
      </c>
      <c r="AC135" s="30">
        <v>0.1517917511832319</v>
      </c>
      <c r="AD135" s="30">
        <v>0.45909398242055438</v>
      </c>
      <c r="AE135" s="30">
        <v>0.17241379310344829</v>
      </c>
      <c r="AF135" s="30">
        <v>4.6991210277214333E-2</v>
      </c>
      <c r="AG135" s="30">
        <v>109</v>
      </c>
      <c r="AH135" s="30">
        <v>83</v>
      </c>
      <c r="AI135" s="30">
        <v>61</v>
      </c>
      <c r="AJ135" s="30">
        <v>42</v>
      </c>
      <c r="AK135" s="30">
        <v>19</v>
      </c>
      <c r="AL135" s="30">
        <v>23</v>
      </c>
      <c r="AM135" s="30">
        <v>1.250845165652468E-2</v>
      </c>
      <c r="AN135" s="30">
        <v>119</v>
      </c>
      <c r="AO135" s="30">
        <v>1.07</v>
      </c>
      <c r="AP135" s="30">
        <v>84</v>
      </c>
      <c r="AQ135" s="30">
        <v>1.07</v>
      </c>
      <c r="AR135" s="30">
        <v>35</v>
      </c>
      <c r="AS135" s="30">
        <v>1.1200000000000001</v>
      </c>
      <c r="AT135" s="30">
        <v>42</v>
      </c>
      <c r="AU135" s="30">
        <v>1.04</v>
      </c>
      <c r="AV135" s="30">
        <v>32</v>
      </c>
      <c r="AW135" s="30">
        <v>1.04</v>
      </c>
      <c r="AX135" s="30">
        <v>17</v>
      </c>
      <c r="AY135" s="30">
        <v>1.08</v>
      </c>
      <c r="AZ135" s="30">
        <v>0.99</v>
      </c>
      <c r="BA135" s="30">
        <v>106.2</v>
      </c>
      <c r="BB135" s="30">
        <v>0.76400000000000001</v>
      </c>
      <c r="BC135" s="30">
        <v>6.8000000000000005E-2</v>
      </c>
      <c r="BD135" s="30">
        <v>0.22800000000000001</v>
      </c>
      <c r="BE135" s="30">
        <v>115</v>
      </c>
      <c r="BF135" s="30">
        <v>6.7000000000000004E-2</v>
      </c>
      <c r="BG135" s="30">
        <v>0.35391796322489388</v>
      </c>
      <c r="BH135" s="30">
        <v>49.090099009900989</v>
      </c>
      <c r="BI135" s="30">
        <v>0.11</v>
      </c>
      <c r="BJ135" s="30">
        <v>0.214</v>
      </c>
      <c r="BK135" s="30">
        <v>0.04</v>
      </c>
      <c r="BL135" s="30">
        <v>6.33</v>
      </c>
      <c r="BM135" s="30">
        <v>70</v>
      </c>
      <c r="BN135" s="30">
        <v>54</v>
      </c>
      <c r="BO135" s="30">
        <v>15</v>
      </c>
      <c r="BP135" s="30">
        <v>88</v>
      </c>
      <c r="BQ135" s="30">
        <v>32</v>
      </c>
      <c r="BR135" s="30">
        <v>0</v>
      </c>
      <c r="BS135" s="30">
        <v>81</v>
      </c>
      <c r="BT135" s="30">
        <v>0.60699999999999998</v>
      </c>
      <c r="BU135" s="30">
        <v>1.2614757160647569</v>
      </c>
      <c r="BV135" s="30">
        <v>0.15</v>
      </c>
      <c r="BW135" s="30">
        <v>0.08</v>
      </c>
      <c r="BX135" s="30">
        <v>0.09</v>
      </c>
      <c r="BY135" s="30">
        <v>0.20399999999999999</v>
      </c>
      <c r="BZ135" s="30">
        <v>2.81</v>
      </c>
      <c r="CA135" s="30">
        <v>0.56499999999999995</v>
      </c>
      <c r="CB135" s="30">
        <v>68</v>
      </c>
      <c r="CC135" s="30">
        <v>0.01</v>
      </c>
      <c r="CD135" s="30">
        <v>0.01</v>
      </c>
      <c r="CE135" s="30">
        <v>6.9999999999999993E-3</v>
      </c>
      <c r="CF135" s="30">
        <v>1.08</v>
      </c>
      <c r="CG135" s="30">
        <v>0.68</v>
      </c>
      <c r="CH135" s="30">
        <v>2.56</v>
      </c>
      <c r="CI135" s="30">
        <v>0.16</v>
      </c>
      <c r="CJ135" s="30">
        <v>0.24</v>
      </c>
      <c r="CK135" s="30">
        <v>37</v>
      </c>
      <c r="CL135" s="30">
        <v>1.03</v>
      </c>
      <c r="CM135" s="30">
        <v>7</v>
      </c>
      <c r="CN135" s="30">
        <v>0.97</v>
      </c>
      <c r="CO135" s="30">
        <v>2231.493346476097</v>
      </c>
    </row>
    <row r="136" spans="2:93" ht="19.899999999999999" customHeight="1" x14ac:dyDescent="0.2">
      <c r="B136" s="30" t="s">
        <v>188</v>
      </c>
      <c r="C136" s="30">
        <v>67</v>
      </c>
      <c r="D136" s="30">
        <v>1.07</v>
      </c>
      <c r="E136" s="30">
        <v>1416</v>
      </c>
      <c r="F136" s="30">
        <v>1.1000000000000001</v>
      </c>
      <c r="G136" s="30">
        <v>1.04</v>
      </c>
      <c r="H136" s="30">
        <v>0.22500000000000001</v>
      </c>
      <c r="I136" s="30">
        <v>0.54200000000000004</v>
      </c>
      <c r="J136" s="30">
        <v>1.1100000000000001</v>
      </c>
      <c r="K136" s="30">
        <v>1.21</v>
      </c>
      <c r="L136" s="30">
        <v>0.63</v>
      </c>
      <c r="M136" s="30">
        <v>72.7</v>
      </c>
      <c r="N136" s="30">
        <v>0.32</v>
      </c>
      <c r="O136" s="30">
        <v>77.900000000000006</v>
      </c>
      <c r="P136" s="30">
        <v>0.7</v>
      </c>
      <c r="Q136" s="30">
        <v>0.65</v>
      </c>
      <c r="R136" s="30">
        <v>69.7</v>
      </c>
      <c r="S136" s="30">
        <v>1</v>
      </c>
      <c r="T136" s="30">
        <v>76.400000000000006</v>
      </c>
      <c r="U136" s="30">
        <v>0.7</v>
      </c>
      <c r="V136" s="30">
        <v>104</v>
      </c>
      <c r="W136" s="30">
        <v>26</v>
      </c>
      <c r="X136" s="30">
        <v>1.03</v>
      </c>
      <c r="Y136" s="30">
        <v>37</v>
      </c>
      <c r="Z136" s="30">
        <v>1.04</v>
      </c>
      <c r="AA136" s="30">
        <v>45</v>
      </c>
      <c r="AB136" s="30">
        <v>1.07</v>
      </c>
      <c r="AC136" s="30">
        <v>0.12217514124293791</v>
      </c>
      <c r="AD136" s="30">
        <v>0.48728813559322032</v>
      </c>
      <c r="AE136" s="30">
        <v>0.17372881355932199</v>
      </c>
      <c r="AF136" s="30">
        <v>3.6723163841807911E-2</v>
      </c>
      <c r="AG136" s="30">
        <v>47</v>
      </c>
      <c r="AH136" s="30">
        <v>41</v>
      </c>
      <c r="AI136" s="30">
        <v>29</v>
      </c>
      <c r="AJ136" s="30">
        <v>21</v>
      </c>
      <c r="AK136" s="30">
        <v>12</v>
      </c>
      <c r="AL136" s="30">
        <v>15</v>
      </c>
      <c r="AM136" s="30">
        <v>1.7655367231638418E-2</v>
      </c>
      <c r="AN136" s="30">
        <v>45</v>
      </c>
      <c r="AO136" s="30">
        <v>1.03</v>
      </c>
      <c r="AP136" s="30">
        <v>34</v>
      </c>
      <c r="AQ136" s="30">
        <v>0.98</v>
      </c>
      <c r="AR136" s="30">
        <v>16</v>
      </c>
      <c r="AS136" s="30">
        <v>1.05</v>
      </c>
      <c r="AT136" s="30">
        <v>6</v>
      </c>
      <c r="AU136" s="30">
        <v>0.97</v>
      </c>
      <c r="AV136" s="30">
        <v>3</v>
      </c>
      <c r="AW136" s="30">
        <v>0.89</v>
      </c>
      <c r="AX136" s="30">
        <v>3</v>
      </c>
      <c r="AY136" s="30">
        <v>0.89</v>
      </c>
      <c r="AZ136" s="30">
        <v>0.97</v>
      </c>
      <c r="BA136" s="30">
        <v>100.9</v>
      </c>
      <c r="BB136" s="30">
        <v>0.72799999999999998</v>
      </c>
      <c r="BC136" s="30">
        <v>0.11700000000000001</v>
      </c>
      <c r="BD136" s="30">
        <v>0.24099999999999999</v>
      </c>
      <c r="BE136" s="30">
        <v>111</v>
      </c>
      <c r="BF136" s="30">
        <v>0.113</v>
      </c>
      <c r="BG136" s="30">
        <v>0.43902953586497889</v>
      </c>
      <c r="BH136" s="30">
        <v>55.094092827004232</v>
      </c>
      <c r="BI136" s="30">
        <v>0.14000000000000001</v>
      </c>
      <c r="BJ136" s="30">
        <v>0.17499999999999999</v>
      </c>
      <c r="BK136" s="30">
        <v>0.03</v>
      </c>
      <c r="BL136" s="30">
        <v>4.7699999999999996</v>
      </c>
      <c r="BM136" s="30">
        <v>72</v>
      </c>
      <c r="BN136" s="30">
        <v>29</v>
      </c>
      <c r="BO136" s="30">
        <v>44</v>
      </c>
      <c r="BP136" s="30">
        <v>74</v>
      </c>
      <c r="BQ136" s="30">
        <v>49</v>
      </c>
      <c r="BR136" s="30">
        <v>0</v>
      </c>
      <c r="BS136" s="30">
        <v>44</v>
      </c>
      <c r="BT136" s="30">
        <v>0.52900000000000003</v>
      </c>
      <c r="BU136" s="30">
        <v>1.319661246612466</v>
      </c>
      <c r="BV136" s="30">
        <v>0.11</v>
      </c>
      <c r="BW136" s="30">
        <v>0.11</v>
      </c>
      <c r="BX136" s="30">
        <v>0.1</v>
      </c>
      <c r="BY136" s="30">
        <v>0.19700000000000001</v>
      </c>
      <c r="BZ136" s="30">
        <v>2.74</v>
      </c>
      <c r="CA136" s="30">
        <v>0.46700000000000003</v>
      </c>
      <c r="CB136" s="30">
        <v>74</v>
      </c>
      <c r="CC136" s="30">
        <v>0.01</v>
      </c>
      <c r="CD136" s="30">
        <v>1.0999999999999999E-2</v>
      </c>
      <c r="CE136" s="30">
        <v>6.9999999999999993E-3</v>
      </c>
      <c r="CF136" s="30">
        <v>1.1299999999999999</v>
      </c>
      <c r="CG136" s="30">
        <v>0.4</v>
      </c>
      <c r="CH136" s="30">
        <v>2.2599999999999998</v>
      </c>
      <c r="CI136" s="30">
        <v>0.193</v>
      </c>
      <c r="CJ136" s="30">
        <v>0.18</v>
      </c>
      <c r="CK136" s="30">
        <v>6</v>
      </c>
      <c r="CL136" s="30">
        <v>0.97</v>
      </c>
      <c r="CM136" s="30">
        <v>0</v>
      </c>
      <c r="CN136" s="30" t="s">
        <v>141</v>
      </c>
      <c r="CO136" s="30">
        <v>2310.341365461848</v>
      </c>
    </row>
    <row r="137" spans="2:93" ht="19.899999999999999" customHeight="1" x14ac:dyDescent="0.2">
      <c r="B137" s="30" t="s">
        <v>178</v>
      </c>
      <c r="C137" s="30">
        <v>103</v>
      </c>
      <c r="D137" s="30">
        <v>1.07</v>
      </c>
      <c r="E137" s="30">
        <v>2287</v>
      </c>
      <c r="F137" s="30">
        <v>1.1299999999999999</v>
      </c>
      <c r="G137" s="30">
        <v>1</v>
      </c>
      <c r="H137" s="30">
        <v>0.23</v>
      </c>
      <c r="I137" s="30">
        <v>0.50600000000000001</v>
      </c>
      <c r="J137" s="30">
        <v>1.06</v>
      </c>
      <c r="K137" s="30">
        <v>1.1599999999999999</v>
      </c>
      <c r="L137" s="30">
        <v>0.7</v>
      </c>
      <c r="M137" s="30">
        <v>69.400000000000006</v>
      </c>
      <c r="N137" s="30">
        <v>0.28000000000000003</v>
      </c>
      <c r="O137" s="30">
        <v>77.7</v>
      </c>
      <c r="P137" s="30">
        <v>0.71</v>
      </c>
      <c r="Q137" s="30">
        <v>0.72</v>
      </c>
      <c r="R137" s="30">
        <v>66.900000000000006</v>
      </c>
      <c r="S137" s="30">
        <v>1.23</v>
      </c>
      <c r="T137" s="30">
        <v>77.2</v>
      </c>
      <c r="U137" s="30">
        <v>0.72</v>
      </c>
      <c r="V137" s="30">
        <v>26</v>
      </c>
      <c r="W137" s="30">
        <v>17</v>
      </c>
      <c r="X137" s="30">
        <v>0.94</v>
      </c>
      <c r="Y137" s="30">
        <v>45</v>
      </c>
      <c r="Z137" s="30">
        <v>1.0900000000000001</v>
      </c>
      <c r="AA137" s="30">
        <v>66</v>
      </c>
      <c r="AB137" s="30">
        <v>1.07</v>
      </c>
      <c r="AC137" s="30">
        <v>0.11630957586357669</v>
      </c>
      <c r="AD137" s="30">
        <v>0.46698731963270662</v>
      </c>
      <c r="AE137" s="30">
        <v>0.1770878880629646</v>
      </c>
      <c r="AF137" s="30">
        <v>5.2907739396589423E-2</v>
      </c>
      <c r="AG137" s="30">
        <v>78</v>
      </c>
      <c r="AH137" s="30">
        <v>64</v>
      </c>
      <c r="AI137" s="30">
        <v>47</v>
      </c>
      <c r="AJ137" s="30">
        <v>29</v>
      </c>
      <c r="AK137" s="30">
        <v>16</v>
      </c>
      <c r="AL137" s="30">
        <v>22</v>
      </c>
      <c r="AM137" s="30">
        <v>1.7052907739396592E-2</v>
      </c>
      <c r="AN137" s="30">
        <v>48</v>
      </c>
      <c r="AO137" s="30">
        <v>1.06</v>
      </c>
      <c r="AP137" s="30">
        <v>27</v>
      </c>
      <c r="AQ137" s="30">
        <v>1.04</v>
      </c>
      <c r="AR137" s="30">
        <v>7</v>
      </c>
      <c r="AS137" s="30">
        <v>1</v>
      </c>
      <c r="AT137" s="30">
        <v>2</v>
      </c>
      <c r="AU137" s="30">
        <v>0.87</v>
      </c>
      <c r="AV137" s="30">
        <v>2</v>
      </c>
      <c r="AW137" s="30">
        <v>0.87</v>
      </c>
      <c r="AX137" s="30">
        <v>0</v>
      </c>
      <c r="AY137" s="30" t="s">
        <v>141</v>
      </c>
      <c r="AZ137" s="30">
        <v>1.05</v>
      </c>
      <c r="BA137" s="30">
        <v>108.4</v>
      </c>
      <c r="BB137" s="30">
        <v>0.73299999999999998</v>
      </c>
      <c r="BC137" s="30">
        <v>6.9000000000000006E-2</v>
      </c>
      <c r="BD137" s="30">
        <v>0.25900000000000001</v>
      </c>
      <c r="BE137" s="30">
        <v>109</v>
      </c>
      <c r="BF137" s="30">
        <v>0.09</v>
      </c>
      <c r="BG137" s="30">
        <v>0.40210260723296881</v>
      </c>
      <c r="BH137" s="30">
        <v>49.349621530698052</v>
      </c>
      <c r="BI137" s="30">
        <v>0.15</v>
      </c>
      <c r="BJ137" s="30">
        <v>0.20200000000000001</v>
      </c>
      <c r="BK137" s="30">
        <v>0.04</v>
      </c>
      <c r="BL137" s="30">
        <v>3.95</v>
      </c>
      <c r="BM137" s="30">
        <v>74</v>
      </c>
      <c r="BN137" s="30">
        <v>45</v>
      </c>
      <c r="BO137" s="30">
        <v>58</v>
      </c>
      <c r="BP137" s="30">
        <v>70</v>
      </c>
      <c r="BQ137" s="30">
        <v>40</v>
      </c>
      <c r="BR137" s="30">
        <v>0</v>
      </c>
      <c r="BS137" s="30">
        <v>42</v>
      </c>
      <c r="BT137" s="30">
        <v>0.58099999999999996</v>
      </c>
      <c r="BU137" s="30">
        <v>1.2791442786069649</v>
      </c>
      <c r="BV137" s="30">
        <v>0.14000000000000001</v>
      </c>
      <c r="BW137" s="30">
        <v>0.11</v>
      </c>
      <c r="BX137" s="30">
        <v>0.1</v>
      </c>
      <c r="BY137" s="30">
        <v>0.17399999999999999</v>
      </c>
      <c r="BZ137" s="30">
        <v>2.66</v>
      </c>
      <c r="CA137" s="30">
        <v>0.45800000000000002</v>
      </c>
      <c r="CB137" s="30">
        <v>64</v>
      </c>
      <c r="CC137" s="30">
        <v>0.01</v>
      </c>
      <c r="CD137" s="30">
        <v>0.01</v>
      </c>
      <c r="CE137" s="30">
        <v>6.9999999999999993E-3</v>
      </c>
      <c r="CF137" s="30">
        <v>0.83</v>
      </c>
      <c r="CG137" s="30">
        <v>0.47</v>
      </c>
      <c r="CH137" s="30">
        <v>2.2599999999999998</v>
      </c>
      <c r="CI137" s="30">
        <v>0.21</v>
      </c>
      <c r="CJ137" s="30">
        <v>0.2</v>
      </c>
      <c r="CK137" s="30">
        <v>2</v>
      </c>
      <c r="CL137" s="30">
        <v>0.87</v>
      </c>
      <c r="CM137" s="30">
        <v>0</v>
      </c>
      <c r="CN137" s="30" t="s">
        <v>141</v>
      </c>
      <c r="CO137" s="30">
        <v>2214.7762109135501</v>
      </c>
    </row>
    <row r="138" spans="2:93" ht="19.899999999999999" customHeight="1" x14ac:dyDescent="0.2">
      <c r="B138" s="30" t="s">
        <v>153</v>
      </c>
      <c r="C138" s="30">
        <v>128</v>
      </c>
      <c r="D138" s="30">
        <v>1.07</v>
      </c>
      <c r="E138" s="30">
        <v>2881</v>
      </c>
      <c r="F138" s="30">
        <v>1.05</v>
      </c>
      <c r="G138" s="30">
        <v>1.08</v>
      </c>
      <c r="H138" s="30">
        <v>0.18099999999999999</v>
      </c>
      <c r="I138" s="30">
        <v>0.66299999999999992</v>
      </c>
      <c r="J138" s="30">
        <v>1.17</v>
      </c>
      <c r="K138" s="30">
        <v>1.04</v>
      </c>
      <c r="L138" s="30">
        <v>0.56000000000000005</v>
      </c>
      <c r="M138" s="30">
        <v>73.400000000000006</v>
      </c>
      <c r="N138" s="30">
        <v>1.41</v>
      </c>
      <c r="O138" s="30">
        <v>70.099999999999994</v>
      </c>
      <c r="P138" s="30">
        <v>0.67</v>
      </c>
      <c r="Q138" s="30">
        <v>0.61</v>
      </c>
      <c r="R138" s="30">
        <v>69.400000000000006</v>
      </c>
      <c r="S138" s="30">
        <v>0.98</v>
      </c>
      <c r="T138" s="30">
        <v>67.400000000000006</v>
      </c>
      <c r="U138" s="30">
        <v>0.63</v>
      </c>
      <c r="V138" s="30">
        <v>313</v>
      </c>
      <c r="W138" s="30">
        <v>30</v>
      </c>
      <c r="X138" s="30">
        <v>1.02</v>
      </c>
      <c r="Y138" s="30">
        <v>51</v>
      </c>
      <c r="Z138" s="30">
        <v>1.05</v>
      </c>
      <c r="AA138" s="30">
        <v>88</v>
      </c>
      <c r="AB138" s="30">
        <v>1.05</v>
      </c>
      <c r="AC138" s="30">
        <v>0.1200971884762235</v>
      </c>
      <c r="AD138" s="30">
        <v>0.46476917736896911</v>
      </c>
      <c r="AE138" s="30">
        <v>0.15897257896563691</v>
      </c>
      <c r="AF138" s="30">
        <v>4.0958000694203398E-2</v>
      </c>
      <c r="AG138" s="30">
        <v>105</v>
      </c>
      <c r="AH138" s="30">
        <v>78</v>
      </c>
      <c r="AI138" s="30">
        <v>47</v>
      </c>
      <c r="AJ138" s="30">
        <v>27</v>
      </c>
      <c r="AK138" s="30">
        <v>21</v>
      </c>
      <c r="AL138" s="30">
        <v>44</v>
      </c>
      <c r="AM138" s="30">
        <v>2.9850746268656719E-2</v>
      </c>
      <c r="AN138" s="30">
        <v>77</v>
      </c>
      <c r="AO138" s="30">
        <v>1.05</v>
      </c>
      <c r="AP138" s="30">
        <v>54</v>
      </c>
      <c r="AQ138" s="30">
        <v>1.04</v>
      </c>
      <c r="AR138" s="30">
        <v>14</v>
      </c>
      <c r="AS138" s="30">
        <v>1.01</v>
      </c>
      <c r="AT138" s="30">
        <v>21</v>
      </c>
      <c r="AU138" s="30">
        <v>1.03</v>
      </c>
      <c r="AV138" s="30">
        <v>13</v>
      </c>
      <c r="AW138" s="30">
        <v>1</v>
      </c>
      <c r="AX138" s="30">
        <v>0</v>
      </c>
      <c r="AY138" s="30" t="s">
        <v>141</v>
      </c>
      <c r="AZ138" s="30">
        <v>0.91</v>
      </c>
      <c r="BA138" s="30">
        <v>92.5</v>
      </c>
      <c r="BB138" s="30">
        <v>0.746</v>
      </c>
      <c r="BC138" s="30">
        <v>0.16400000000000001</v>
      </c>
      <c r="BD138" s="30">
        <v>0.254</v>
      </c>
      <c r="BE138" s="30">
        <v>104</v>
      </c>
      <c r="BF138" s="30">
        <v>0.17199999999999999</v>
      </c>
      <c r="BG138" s="30">
        <v>0.43618849618849609</v>
      </c>
      <c r="BH138" s="30">
        <v>47.777616077616059</v>
      </c>
      <c r="BI138" s="30">
        <v>0.13</v>
      </c>
      <c r="BJ138" s="30">
        <v>0.15</v>
      </c>
      <c r="BK138" s="30">
        <v>0.09</v>
      </c>
      <c r="BL138" s="30">
        <v>4.47</v>
      </c>
      <c r="BM138" s="30">
        <v>48</v>
      </c>
      <c r="BN138" s="30">
        <v>7</v>
      </c>
      <c r="BO138" s="30">
        <v>38</v>
      </c>
      <c r="BP138" s="30">
        <v>67</v>
      </c>
      <c r="BQ138" s="30">
        <v>79</v>
      </c>
      <c r="BR138" s="30">
        <v>94</v>
      </c>
      <c r="BS138" s="30">
        <v>76</v>
      </c>
      <c r="BT138" s="30">
        <v>0.28100000000000003</v>
      </c>
      <c r="BU138" s="30">
        <v>1.239739752765127</v>
      </c>
      <c r="BV138" s="30">
        <v>0.08</v>
      </c>
      <c r="BW138" s="30">
        <v>0.1</v>
      </c>
      <c r="BX138" s="30">
        <v>7.0000000000000007E-2</v>
      </c>
      <c r="BY138" s="30">
        <v>0.22500000000000001</v>
      </c>
      <c r="BZ138" s="30">
        <v>1.82</v>
      </c>
      <c r="CA138" s="30">
        <v>0.53299999999999992</v>
      </c>
      <c r="CB138" s="30">
        <v>83</v>
      </c>
      <c r="CC138" s="30">
        <v>0.4</v>
      </c>
      <c r="CD138" s="30">
        <v>0.59599999999999997</v>
      </c>
      <c r="CE138" s="30">
        <v>0.33100000000000002</v>
      </c>
      <c r="CF138" s="30">
        <v>0.8</v>
      </c>
      <c r="CG138" s="30">
        <v>0.91</v>
      </c>
      <c r="CH138" s="30">
        <v>2.4900000000000002</v>
      </c>
      <c r="CI138" s="30">
        <v>0.19600000000000001</v>
      </c>
      <c r="CJ138" s="30">
        <v>0.13</v>
      </c>
      <c r="CK138" s="30">
        <v>13</v>
      </c>
      <c r="CL138" s="30">
        <v>1</v>
      </c>
      <c r="CM138" s="30">
        <v>6</v>
      </c>
      <c r="CN138" s="30">
        <v>1</v>
      </c>
      <c r="CO138" s="30">
        <v>3437.719298245614</v>
      </c>
    </row>
    <row r="139" spans="2:93" ht="19.899999999999999" customHeight="1" x14ac:dyDescent="0.2">
      <c r="B139" s="30" t="s">
        <v>189</v>
      </c>
      <c r="C139" s="30">
        <v>129</v>
      </c>
      <c r="D139" s="30">
        <v>1.06</v>
      </c>
      <c r="E139" s="30">
        <v>2744</v>
      </c>
      <c r="F139" s="30">
        <v>1.1200000000000001</v>
      </c>
      <c r="G139" s="30">
        <v>1</v>
      </c>
      <c r="H139" s="30">
        <v>0.16600000000000001</v>
      </c>
      <c r="I139" s="30">
        <v>0.626</v>
      </c>
      <c r="J139" s="30">
        <v>1.08</v>
      </c>
      <c r="K139" s="30">
        <v>0.95</v>
      </c>
      <c r="L139" s="30">
        <v>0.56999999999999995</v>
      </c>
      <c r="M139" s="30">
        <v>74.2</v>
      </c>
      <c r="N139" s="30">
        <v>1.1599999999999999</v>
      </c>
      <c r="O139" s="30">
        <v>68.099999999999994</v>
      </c>
      <c r="P139" s="30">
        <v>0.7</v>
      </c>
      <c r="Q139" s="30">
        <v>0.62</v>
      </c>
      <c r="R139" s="30">
        <v>71.400000000000006</v>
      </c>
      <c r="S139" s="30">
        <v>1</v>
      </c>
      <c r="T139" s="30">
        <v>65.400000000000006</v>
      </c>
      <c r="U139" s="30">
        <v>0.64</v>
      </c>
      <c r="V139" s="30">
        <v>353</v>
      </c>
      <c r="W139" s="30">
        <v>28</v>
      </c>
      <c r="X139" s="30">
        <v>1.01</v>
      </c>
      <c r="Y139" s="30">
        <v>60</v>
      </c>
      <c r="Z139" s="30">
        <v>1.04</v>
      </c>
      <c r="AA139" s="30">
        <v>101</v>
      </c>
      <c r="AB139" s="30">
        <v>1.05</v>
      </c>
      <c r="AC139" s="30">
        <v>0.1038629737609329</v>
      </c>
      <c r="AD139" s="30">
        <v>0.48323615160349848</v>
      </c>
      <c r="AE139" s="30">
        <v>0.1690962099125364</v>
      </c>
      <c r="AF139" s="30">
        <v>3.6078717201166177E-2</v>
      </c>
      <c r="AG139" s="30">
        <v>102</v>
      </c>
      <c r="AH139" s="30">
        <v>79</v>
      </c>
      <c r="AI139" s="30">
        <v>56</v>
      </c>
      <c r="AJ139" s="30">
        <v>38</v>
      </c>
      <c r="AK139" s="30">
        <v>17</v>
      </c>
      <c r="AL139" s="30">
        <v>48</v>
      </c>
      <c r="AM139" s="30">
        <v>3.0612244897959179E-2</v>
      </c>
      <c r="AN139" s="30">
        <v>105</v>
      </c>
      <c r="AO139" s="30">
        <v>1.06</v>
      </c>
      <c r="AP139" s="30">
        <v>66</v>
      </c>
      <c r="AQ139" s="30">
        <v>1.08</v>
      </c>
      <c r="AR139" s="30">
        <v>25</v>
      </c>
      <c r="AS139" s="30">
        <v>1.06</v>
      </c>
      <c r="AT139" s="30">
        <v>35</v>
      </c>
      <c r="AU139" s="30">
        <v>1.04</v>
      </c>
      <c r="AV139" s="30">
        <v>16</v>
      </c>
      <c r="AW139" s="30">
        <v>1.07</v>
      </c>
      <c r="AX139" s="30">
        <v>4</v>
      </c>
      <c r="AY139" s="30">
        <v>0.99</v>
      </c>
      <c r="AZ139" s="30">
        <v>0.9</v>
      </c>
      <c r="BA139" s="30">
        <v>85.1</v>
      </c>
      <c r="BB139" s="30">
        <v>0.75099999999999989</v>
      </c>
      <c r="BC139" s="30">
        <v>0.13600000000000001</v>
      </c>
      <c r="BD139" s="30">
        <v>0.29199999999999998</v>
      </c>
      <c r="BE139" s="30">
        <v>98</v>
      </c>
      <c r="BF139" s="30">
        <v>0.13800000000000001</v>
      </c>
      <c r="BG139" s="30">
        <v>0.45867507886435321</v>
      </c>
      <c r="BH139" s="30">
        <v>48.311356466876973</v>
      </c>
      <c r="BI139" s="30">
        <v>0.15</v>
      </c>
      <c r="BJ139" s="30">
        <v>0.184</v>
      </c>
      <c r="BK139" s="30">
        <v>0.1</v>
      </c>
      <c r="BL139" s="30">
        <v>2.69</v>
      </c>
      <c r="BM139" s="30">
        <v>53</v>
      </c>
      <c r="BN139" s="30">
        <v>18</v>
      </c>
      <c r="BO139" s="30">
        <v>58</v>
      </c>
      <c r="BP139" s="30">
        <v>53</v>
      </c>
      <c r="BQ139" s="30">
        <v>77</v>
      </c>
      <c r="BR139" s="30">
        <v>93</v>
      </c>
      <c r="BS139" s="30">
        <v>60</v>
      </c>
      <c r="BT139" s="30">
        <v>0.32500000000000001</v>
      </c>
      <c r="BU139" s="30">
        <v>1.2224240583232071</v>
      </c>
      <c r="BV139" s="30">
        <v>0.1</v>
      </c>
      <c r="BW139" s="30">
        <v>0.11</v>
      </c>
      <c r="BX139" s="30">
        <v>0.08</v>
      </c>
      <c r="BY139" s="30">
        <v>0.214</v>
      </c>
      <c r="BZ139" s="30">
        <v>1.79</v>
      </c>
      <c r="CA139" s="30">
        <v>0.65099999999999991</v>
      </c>
      <c r="CB139" s="30">
        <v>77</v>
      </c>
      <c r="CC139" s="30">
        <v>0.37</v>
      </c>
      <c r="CD139" s="30">
        <v>0.52600000000000002</v>
      </c>
      <c r="CE139" s="30">
        <v>0.28699999999999998</v>
      </c>
      <c r="CF139" s="30">
        <v>0.8</v>
      </c>
      <c r="CG139" s="30">
        <v>0.79</v>
      </c>
      <c r="CH139" s="30">
        <v>2.5</v>
      </c>
      <c r="CI139" s="30">
        <v>0.21199999999999999</v>
      </c>
      <c r="CJ139" s="30">
        <v>0.12</v>
      </c>
      <c r="CK139" s="30">
        <v>35</v>
      </c>
      <c r="CL139" s="30">
        <v>1.04</v>
      </c>
      <c r="CM139" s="30">
        <v>4</v>
      </c>
      <c r="CN139" s="30">
        <v>1.05</v>
      </c>
      <c r="CO139" s="30">
        <v>3256.230366492146</v>
      </c>
    </row>
    <row r="140" spans="2:93" ht="19.899999999999999" customHeight="1" x14ac:dyDescent="0.2">
      <c r="B140" s="30" t="s">
        <v>184</v>
      </c>
      <c r="C140" s="30">
        <v>79</v>
      </c>
      <c r="D140" s="30">
        <v>1.06</v>
      </c>
      <c r="E140" s="30">
        <v>1702</v>
      </c>
      <c r="F140" s="30">
        <v>1.04</v>
      </c>
      <c r="G140" s="30">
        <v>1.08</v>
      </c>
      <c r="H140" s="30">
        <v>0.224</v>
      </c>
      <c r="I140" s="30">
        <v>0.46300000000000002</v>
      </c>
      <c r="J140" s="30">
        <v>0.99</v>
      </c>
      <c r="K140" s="30">
        <v>0.88</v>
      </c>
      <c r="L140" s="30">
        <v>0.67</v>
      </c>
      <c r="M140" s="30">
        <v>72.599999999999994</v>
      </c>
      <c r="N140" s="30">
        <v>0.38</v>
      </c>
      <c r="O140" s="30">
        <v>73.2</v>
      </c>
      <c r="P140" s="30">
        <v>0.66</v>
      </c>
      <c r="Q140" s="30">
        <v>0.67</v>
      </c>
      <c r="R140" s="30">
        <v>70.400000000000006</v>
      </c>
      <c r="S140" s="30">
        <v>1.1100000000000001</v>
      </c>
      <c r="T140" s="30">
        <v>74.099999999999994</v>
      </c>
      <c r="U140" s="30">
        <v>0.67</v>
      </c>
      <c r="V140" s="30">
        <v>-29</v>
      </c>
      <c r="W140" s="30">
        <v>19</v>
      </c>
      <c r="X140" s="30">
        <v>0.99</v>
      </c>
      <c r="Y140" s="30">
        <v>29</v>
      </c>
      <c r="Z140" s="30">
        <v>1.04</v>
      </c>
      <c r="AA140" s="30">
        <v>51</v>
      </c>
      <c r="AB140" s="30">
        <v>1.02</v>
      </c>
      <c r="AC140" s="30">
        <v>0.1039952996474736</v>
      </c>
      <c r="AD140" s="30">
        <v>0.43419506462984719</v>
      </c>
      <c r="AE140" s="30">
        <v>0.1715628672150411</v>
      </c>
      <c r="AF140" s="30">
        <v>4.4065804935370149E-2</v>
      </c>
      <c r="AG140" s="30">
        <v>59</v>
      </c>
      <c r="AH140" s="30">
        <v>44</v>
      </c>
      <c r="AI140" s="30">
        <v>30</v>
      </c>
      <c r="AJ140" s="30">
        <v>22</v>
      </c>
      <c r="AK140" s="30">
        <v>14</v>
      </c>
      <c r="AL140" s="30">
        <v>18</v>
      </c>
      <c r="AM140" s="30">
        <v>1.9976498237367801E-2</v>
      </c>
      <c r="AN140" s="30">
        <v>50</v>
      </c>
      <c r="AO140" s="30">
        <v>1.05</v>
      </c>
      <c r="AP140" s="30">
        <v>28</v>
      </c>
      <c r="AQ140" s="30">
        <v>1.07</v>
      </c>
      <c r="AR140" s="30">
        <v>7</v>
      </c>
      <c r="AS140" s="30">
        <v>0.95</v>
      </c>
      <c r="AT140" s="30">
        <v>10</v>
      </c>
      <c r="AU140" s="30">
        <v>0.99</v>
      </c>
      <c r="AV140" s="30">
        <v>2</v>
      </c>
      <c r="AW140" s="30">
        <v>0.85</v>
      </c>
      <c r="AX140" s="30">
        <v>0</v>
      </c>
      <c r="AY140" s="30" t="s">
        <v>141</v>
      </c>
      <c r="AZ140" s="30">
        <v>0.96</v>
      </c>
      <c r="BA140" s="30">
        <v>99</v>
      </c>
      <c r="BB140" s="30">
        <v>0.74</v>
      </c>
      <c r="BC140" s="30">
        <v>0.107</v>
      </c>
      <c r="BD140" s="30">
        <v>0.26100000000000001</v>
      </c>
      <c r="BE140" s="30">
        <v>111</v>
      </c>
      <c r="BF140" s="30">
        <v>9.1999999999999998E-2</v>
      </c>
      <c r="BG140" s="30">
        <v>0.36447004608294931</v>
      </c>
      <c r="BH140" s="30">
        <v>48.410599078341022</v>
      </c>
      <c r="BI140" s="30">
        <v>0.15</v>
      </c>
      <c r="BJ140" s="30">
        <v>0.24199999999999999</v>
      </c>
      <c r="BK140" s="30">
        <v>0.05</v>
      </c>
      <c r="BL140" s="30">
        <v>4.37</v>
      </c>
      <c r="BM140" s="30">
        <v>56</v>
      </c>
      <c r="BN140" s="30">
        <v>83</v>
      </c>
      <c r="BO140" s="30">
        <v>60</v>
      </c>
      <c r="BP140" s="30">
        <v>58</v>
      </c>
      <c r="BQ140" s="30">
        <v>49</v>
      </c>
      <c r="BR140" s="30">
        <v>0</v>
      </c>
      <c r="BS140" s="30">
        <v>72</v>
      </c>
      <c r="BT140" s="30">
        <v>0.61499999999999999</v>
      </c>
      <c r="BU140" s="30">
        <v>1.287906647807638</v>
      </c>
      <c r="BV140" s="30">
        <v>0.16</v>
      </c>
      <c r="BW140" s="30">
        <v>0.11</v>
      </c>
      <c r="BX140" s="30">
        <v>0.12</v>
      </c>
      <c r="BY140" s="30">
        <v>0.22</v>
      </c>
      <c r="BZ140" s="30">
        <v>2.64</v>
      </c>
      <c r="CA140" s="30">
        <v>0.625</v>
      </c>
      <c r="CB140" s="30">
        <v>70</v>
      </c>
      <c r="CC140" s="30">
        <v>0.01</v>
      </c>
      <c r="CD140" s="30">
        <v>0.01</v>
      </c>
      <c r="CE140" s="30">
        <v>4.0000000000000001E-3</v>
      </c>
      <c r="CF140" s="30">
        <v>1.1200000000000001</v>
      </c>
      <c r="CG140" s="30">
        <v>0.98</v>
      </c>
      <c r="CH140" s="30">
        <v>2.21</v>
      </c>
      <c r="CI140" s="30">
        <v>0.222</v>
      </c>
      <c r="CJ140" s="30">
        <v>0.2</v>
      </c>
      <c r="CK140" s="30">
        <v>10</v>
      </c>
      <c r="CL140" s="30">
        <v>0.99</v>
      </c>
      <c r="CM140" s="30">
        <v>0</v>
      </c>
      <c r="CN140" s="30" t="s">
        <v>141</v>
      </c>
      <c r="CO140" s="30">
        <v>2218.3527305282</v>
      </c>
    </row>
    <row r="141" spans="2:93" ht="19.899999999999999" customHeight="1" x14ac:dyDescent="0.2">
      <c r="B141" s="30" t="s">
        <v>173</v>
      </c>
      <c r="C141" s="30">
        <v>126</v>
      </c>
      <c r="D141" s="30">
        <v>1.06</v>
      </c>
      <c r="E141" s="30">
        <v>2667</v>
      </c>
      <c r="F141" s="30">
        <v>1.04</v>
      </c>
      <c r="G141" s="30">
        <v>1.07</v>
      </c>
      <c r="H141" s="30">
        <v>0.216</v>
      </c>
      <c r="I141" s="30">
        <v>0.54600000000000004</v>
      </c>
      <c r="J141" s="30">
        <v>1.0900000000000001</v>
      </c>
      <c r="K141" s="30">
        <v>1.05</v>
      </c>
      <c r="L141" s="30">
        <v>0.67</v>
      </c>
      <c r="M141" s="30">
        <v>73.599999999999994</v>
      </c>
      <c r="N141" s="30">
        <v>0.17</v>
      </c>
      <c r="O141" s="30">
        <v>76.7</v>
      </c>
      <c r="P141" s="30">
        <v>0.69</v>
      </c>
      <c r="Q141" s="30">
        <v>0.69</v>
      </c>
      <c r="R141" s="30">
        <v>70.900000000000006</v>
      </c>
      <c r="S141" s="30">
        <v>1.04</v>
      </c>
      <c r="T141" s="30">
        <v>75.7</v>
      </c>
      <c r="U141" s="30">
        <v>0.68</v>
      </c>
      <c r="V141" s="30">
        <v>50</v>
      </c>
      <c r="W141" s="30">
        <v>30</v>
      </c>
      <c r="X141" s="30">
        <v>0.94</v>
      </c>
      <c r="Y141" s="30">
        <v>64</v>
      </c>
      <c r="Z141" s="30">
        <v>1</v>
      </c>
      <c r="AA141" s="30">
        <v>106</v>
      </c>
      <c r="AB141" s="30">
        <v>1.05</v>
      </c>
      <c r="AC141" s="30">
        <v>0.1181102362204724</v>
      </c>
      <c r="AD141" s="30">
        <v>0.46944131983502058</v>
      </c>
      <c r="AE141" s="30">
        <v>0.17697787776527929</v>
      </c>
      <c r="AF141" s="30">
        <v>3.8995125609298839E-2</v>
      </c>
      <c r="AG141" s="30">
        <v>102</v>
      </c>
      <c r="AH141" s="30">
        <v>74</v>
      </c>
      <c r="AI141" s="30">
        <v>52</v>
      </c>
      <c r="AJ141" s="30">
        <v>31</v>
      </c>
      <c r="AK141" s="30">
        <v>23</v>
      </c>
      <c r="AL141" s="30">
        <v>26</v>
      </c>
      <c r="AM141" s="30">
        <v>1.3498312710911139E-2</v>
      </c>
      <c r="AN141" s="30">
        <v>110</v>
      </c>
      <c r="AO141" s="30">
        <v>1.07</v>
      </c>
      <c r="AP141" s="30">
        <v>63</v>
      </c>
      <c r="AQ141" s="30">
        <v>1.04</v>
      </c>
      <c r="AR141" s="30">
        <v>21</v>
      </c>
      <c r="AS141" s="30">
        <v>1.02</v>
      </c>
      <c r="AT141" s="30">
        <v>35</v>
      </c>
      <c r="AU141" s="30">
        <v>1.03</v>
      </c>
      <c r="AV141" s="30">
        <v>11</v>
      </c>
      <c r="AW141" s="30">
        <v>0.88</v>
      </c>
      <c r="AX141" s="30">
        <v>0</v>
      </c>
      <c r="AY141" s="30" t="s">
        <v>141</v>
      </c>
      <c r="AZ141" s="30">
        <v>0.98</v>
      </c>
      <c r="BA141" s="30">
        <v>101</v>
      </c>
      <c r="BB141" s="30">
        <v>0.72099999999999997</v>
      </c>
      <c r="BC141" s="30">
        <v>7.0999999999999994E-2</v>
      </c>
      <c r="BD141" s="30">
        <v>0.28299999999999997</v>
      </c>
      <c r="BE141" s="30">
        <v>111</v>
      </c>
      <c r="BF141" s="30">
        <v>7.2999999999999995E-2</v>
      </c>
      <c r="BG141" s="30">
        <v>0.3808850931677018</v>
      </c>
      <c r="BH141" s="30">
        <v>50.683152173913037</v>
      </c>
      <c r="BI141" s="30">
        <v>0.14000000000000001</v>
      </c>
      <c r="BJ141" s="30">
        <v>0.222</v>
      </c>
      <c r="BK141" s="30">
        <v>0.05</v>
      </c>
      <c r="BL141" s="30">
        <v>2.97</v>
      </c>
      <c r="BM141" s="30">
        <v>69</v>
      </c>
      <c r="BN141" s="30">
        <v>69</v>
      </c>
      <c r="BO141" s="30">
        <v>55</v>
      </c>
      <c r="BP141" s="30">
        <v>70</v>
      </c>
      <c r="BQ141" s="30">
        <v>34</v>
      </c>
      <c r="BR141" s="30">
        <v>0</v>
      </c>
      <c r="BS141" s="30">
        <v>38</v>
      </c>
      <c r="BT141" s="30">
        <v>0.45800000000000002</v>
      </c>
      <c r="BU141" s="30">
        <v>1.261809588116138</v>
      </c>
      <c r="BV141" s="30">
        <v>0.15</v>
      </c>
      <c r="BW141" s="30">
        <v>0.12</v>
      </c>
      <c r="BX141" s="30">
        <v>0.11</v>
      </c>
      <c r="BY141" s="30">
        <v>0.21</v>
      </c>
      <c r="BZ141" s="30">
        <v>2.9</v>
      </c>
      <c r="CA141" s="30">
        <v>0.56200000000000006</v>
      </c>
      <c r="CB141" s="30">
        <v>68</v>
      </c>
      <c r="CC141" s="30">
        <v>0</v>
      </c>
      <c r="CD141" s="30">
        <v>2E-3</v>
      </c>
      <c r="CE141" s="30">
        <v>1E-3</v>
      </c>
      <c r="CF141" s="30">
        <v>0.49</v>
      </c>
      <c r="CG141" s="30">
        <v>0.51</v>
      </c>
      <c r="CH141" s="30">
        <v>2.17</v>
      </c>
      <c r="CI141" s="30">
        <v>0.20100000000000001</v>
      </c>
      <c r="CJ141" s="30">
        <v>0.22</v>
      </c>
      <c r="CK141" s="30">
        <v>35</v>
      </c>
      <c r="CL141" s="30">
        <v>1.03</v>
      </c>
      <c r="CM141" s="30">
        <v>13</v>
      </c>
      <c r="CN141" s="30">
        <v>0.94</v>
      </c>
      <c r="CO141" s="30">
        <v>2272.258414766558</v>
      </c>
    </row>
    <row r="142" spans="2:93" ht="19.899999999999999" customHeight="1" x14ac:dyDescent="0.2">
      <c r="B142" s="30" t="s">
        <v>190</v>
      </c>
      <c r="C142" s="30">
        <v>74</v>
      </c>
      <c r="D142" s="30">
        <v>1.06</v>
      </c>
      <c r="E142" s="30">
        <v>1580</v>
      </c>
      <c r="F142" s="30">
        <v>1.05</v>
      </c>
      <c r="G142" s="30">
        <v>1.07</v>
      </c>
      <c r="H142" s="30">
        <v>0.224</v>
      </c>
      <c r="I142" s="30">
        <v>0.43799999999999989</v>
      </c>
      <c r="J142" s="30">
        <v>0.95</v>
      </c>
      <c r="K142" s="30">
        <v>1.02</v>
      </c>
      <c r="L142" s="30">
        <v>0.64</v>
      </c>
      <c r="M142" s="30">
        <v>71.8</v>
      </c>
      <c r="N142" s="30">
        <v>0.06</v>
      </c>
      <c r="O142" s="30">
        <v>70.8</v>
      </c>
      <c r="P142" s="30">
        <v>0.68</v>
      </c>
      <c r="Q142" s="30">
        <v>0.67</v>
      </c>
      <c r="R142" s="30">
        <v>69.5</v>
      </c>
      <c r="S142" s="30">
        <v>1.19</v>
      </c>
      <c r="T142" s="30">
        <v>70.2</v>
      </c>
      <c r="U142" s="30">
        <v>0.69</v>
      </c>
      <c r="V142" s="30">
        <v>62</v>
      </c>
      <c r="W142" s="30">
        <v>20</v>
      </c>
      <c r="X142" s="30">
        <v>1.07</v>
      </c>
      <c r="Y142" s="30">
        <v>26</v>
      </c>
      <c r="Z142" s="30">
        <v>1.05</v>
      </c>
      <c r="AA142" s="30">
        <v>51</v>
      </c>
      <c r="AB142" s="30">
        <v>1.04</v>
      </c>
      <c r="AC142" s="30">
        <v>9.8101265822784806E-2</v>
      </c>
      <c r="AD142" s="30">
        <v>0.45189873417721521</v>
      </c>
      <c r="AE142" s="30">
        <v>0.16772151898734181</v>
      </c>
      <c r="AF142" s="30">
        <v>5.3797468354430382E-2</v>
      </c>
      <c r="AG142" s="30">
        <v>55</v>
      </c>
      <c r="AH142" s="30">
        <v>40</v>
      </c>
      <c r="AI142" s="30">
        <v>31</v>
      </c>
      <c r="AJ142" s="30">
        <v>24</v>
      </c>
      <c r="AK142" s="30">
        <v>14</v>
      </c>
      <c r="AL142" s="30">
        <v>14</v>
      </c>
      <c r="AM142" s="30">
        <v>1.2658227848101271E-2</v>
      </c>
      <c r="AN142" s="30">
        <v>58</v>
      </c>
      <c r="AO142" s="30">
        <v>1.03</v>
      </c>
      <c r="AP142" s="30">
        <v>31</v>
      </c>
      <c r="AQ142" s="30">
        <v>1.03</v>
      </c>
      <c r="AR142" s="30">
        <v>11</v>
      </c>
      <c r="AS142" s="30">
        <v>0.91</v>
      </c>
      <c r="AT142" s="30">
        <v>21</v>
      </c>
      <c r="AU142" s="30">
        <v>1.01</v>
      </c>
      <c r="AV142" s="30">
        <v>7</v>
      </c>
      <c r="AW142" s="30">
        <v>1.02</v>
      </c>
      <c r="AX142" s="30">
        <v>0</v>
      </c>
      <c r="AY142" s="30" t="s">
        <v>141</v>
      </c>
      <c r="AZ142" s="30">
        <v>0.94</v>
      </c>
      <c r="BA142" s="30">
        <v>94.5</v>
      </c>
      <c r="BB142" s="30">
        <v>0.79400000000000004</v>
      </c>
      <c r="BC142" s="30">
        <v>6.6000000000000003E-2</v>
      </c>
      <c r="BD142" s="30">
        <v>0.27</v>
      </c>
      <c r="BE142" s="30">
        <v>104</v>
      </c>
      <c r="BF142" s="30">
        <v>6.6000000000000003E-2</v>
      </c>
      <c r="BG142" s="30">
        <v>0.36949438202247198</v>
      </c>
      <c r="BH142" s="30">
        <v>41.907303370786522</v>
      </c>
      <c r="BI142" s="30">
        <v>0.13</v>
      </c>
      <c r="BJ142" s="30">
        <v>0.23100000000000001</v>
      </c>
      <c r="BK142" s="30">
        <v>0.03</v>
      </c>
      <c r="BL142" s="30">
        <v>2.89</v>
      </c>
      <c r="BM142" s="30">
        <v>55</v>
      </c>
      <c r="BN142" s="30">
        <v>73</v>
      </c>
      <c r="BO142" s="30">
        <v>45</v>
      </c>
      <c r="BP142" s="30">
        <v>54</v>
      </c>
      <c r="BQ142" s="30">
        <v>33</v>
      </c>
      <c r="BR142" s="30">
        <v>0</v>
      </c>
      <c r="BS142" s="30">
        <v>34</v>
      </c>
      <c r="BT142" s="30">
        <v>0.65900000000000003</v>
      </c>
      <c r="BU142" s="30">
        <v>1.2445113524185589</v>
      </c>
      <c r="BV142" s="30">
        <v>0.15</v>
      </c>
      <c r="BW142" s="30">
        <v>0.11</v>
      </c>
      <c r="BX142" s="30">
        <v>0.12</v>
      </c>
      <c r="BY142" s="30">
        <v>0.19900000000000001</v>
      </c>
      <c r="BZ142" s="30">
        <v>2.33</v>
      </c>
      <c r="CA142" s="30">
        <v>0.625</v>
      </c>
      <c r="CB142" s="30">
        <v>70</v>
      </c>
      <c r="CC142" s="30">
        <v>0</v>
      </c>
      <c r="CD142" s="30">
        <v>4.0000000000000001E-3</v>
      </c>
      <c r="CE142" s="30">
        <v>3.0000000000000001E-3</v>
      </c>
      <c r="CF142" s="30">
        <v>0.51</v>
      </c>
      <c r="CG142" s="30">
        <v>0.51</v>
      </c>
      <c r="CH142" s="30">
        <v>2.0499999999999998</v>
      </c>
      <c r="CI142" s="30">
        <v>0.189</v>
      </c>
      <c r="CJ142" s="30">
        <v>0.17</v>
      </c>
      <c r="CK142" s="30">
        <v>21</v>
      </c>
      <c r="CL142" s="30">
        <v>1.01</v>
      </c>
      <c r="CM142" s="30">
        <v>4</v>
      </c>
      <c r="CN142" s="30">
        <v>1.08</v>
      </c>
      <c r="CO142" s="30">
        <v>2171.408711770157</v>
      </c>
    </row>
    <row r="143" spans="2:93" ht="19.899999999999999" customHeight="1" x14ac:dyDescent="0.2">
      <c r="B143" s="30" t="s">
        <v>158</v>
      </c>
      <c r="C143" s="30">
        <v>113</v>
      </c>
      <c r="D143" s="30">
        <v>1.06</v>
      </c>
      <c r="E143" s="30">
        <v>2370</v>
      </c>
      <c r="F143" s="30">
        <v>1.04</v>
      </c>
      <c r="G143" s="30">
        <v>1.08</v>
      </c>
      <c r="H143" s="30">
        <v>0.19700000000000001</v>
      </c>
      <c r="I143" s="30">
        <v>0.59399999999999997</v>
      </c>
      <c r="J143" s="30">
        <v>1.1200000000000001</v>
      </c>
      <c r="K143" s="30">
        <v>1.07</v>
      </c>
      <c r="L143" s="30">
        <v>0.63</v>
      </c>
      <c r="M143" s="30">
        <v>71.400000000000006</v>
      </c>
      <c r="N143" s="30">
        <v>1</v>
      </c>
      <c r="O143" s="30">
        <v>71.099999999999994</v>
      </c>
      <c r="P143" s="30">
        <v>0.69</v>
      </c>
      <c r="Q143" s="30">
        <v>0.67</v>
      </c>
      <c r="R143" s="30">
        <v>71.2</v>
      </c>
      <c r="S143" s="30">
        <v>1.04</v>
      </c>
      <c r="T143" s="30">
        <v>69.3</v>
      </c>
      <c r="U143" s="30">
        <v>0.65</v>
      </c>
      <c r="V143" s="30">
        <v>143</v>
      </c>
      <c r="W143" s="30">
        <v>11</v>
      </c>
      <c r="X143" s="30">
        <v>0.87</v>
      </c>
      <c r="Y143" s="30">
        <v>36</v>
      </c>
      <c r="Z143" s="30">
        <v>1.02</v>
      </c>
      <c r="AA143" s="30">
        <v>84</v>
      </c>
      <c r="AB143" s="30">
        <v>1.03</v>
      </c>
      <c r="AC143" s="30">
        <v>0.11729957805907169</v>
      </c>
      <c r="AD143" s="30">
        <v>0.47172995780590721</v>
      </c>
      <c r="AE143" s="30">
        <v>0.16835443037974679</v>
      </c>
      <c r="AF143" s="30">
        <v>4.2194092827004218E-2</v>
      </c>
      <c r="AG143" s="30">
        <v>86</v>
      </c>
      <c r="AH143" s="30">
        <v>69</v>
      </c>
      <c r="AI143" s="30">
        <v>52</v>
      </c>
      <c r="AJ143" s="30">
        <v>34</v>
      </c>
      <c r="AK143" s="30">
        <v>24</v>
      </c>
      <c r="AL143" s="30">
        <v>40</v>
      </c>
      <c r="AM143" s="30">
        <v>2.7426160337552741E-2</v>
      </c>
      <c r="AN143" s="30">
        <v>65</v>
      </c>
      <c r="AO143" s="30">
        <v>1.08</v>
      </c>
      <c r="AP143" s="30">
        <v>30</v>
      </c>
      <c r="AQ143" s="30">
        <v>1.05</v>
      </c>
      <c r="AR143" s="30">
        <v>11</v>
      </c>
      <c r="AS143" s="30">
        <v>1.1299999999999999</v>
      </c>
      <c r="AT143" s="30">
        <v>14</v>
      </c>
      <c r="AU143" s="30">
        <v>1.08</v>
      </c>
      <c r="AV143" s="30">
        <v>3</v>
      </c>
      <c r="AW143" s="30">
        <v>0.95</v>
      </c>
      <c r="AX143" s="30">
        <v>0</v>
      </c>
      <c r="AY143" s="30" t="s">
        <v>141</v>
      </c>
      <c r="AZ143" s="30">
        <v>0.94</v>
      </c>
      <c r="BA143" s="30">
        <v>92.2</v>
      </c>
      <c r="BB143" s="30">
        <v>0.73</v>
      </c>
      <c r="BC143" s="30">
        <v>7.6999999999999999E-2</v>
      </c>
      <c r="BD143" s="30">
        <v>0.26900000000000002</v>
      </c>
      <c r="BE143" s="30">
        <v>103</v>
      </c>
      <c r="BF143" s="30">
        <v>0.14000000000000001</v>
      </c>
      <c r="BG143" s="30">
        <v>0.43332191780821933</v>
      </c>
      <c r="BH143" s="30">
        <v>49.385787671232869</v>
      </c>
      <c r="BI143" s="30">
        <v>0.14000000000000001</v>
      </c>
      <c r="BJ143" s="30">
        <v>0.18099999999999999</v>
      </c>
      <c r="BK143" s="30">
        <v>0.11</v>
      </c>
      <c r="BL143" s="30">
        <v>2.86</v>
      </c>
      <c r="BM143" s="30">
        <v>57</v>
      </c>
      <c r="BN143" s="30">
        <v>27</v>
      </c>
      <c r="BO143" s="30">
        <v>47</v>
      </c>
      <c r="BP143" s="30">
        <v>67</v>
      </c>
      <c r="BQ143" s="30">
        <v>72</v>
      </c>
      <c r="BR143" s="30">
        <v>92</v>
      </c>
      <c r="BS143" s="30">
        <v>63</v>
      </c>
      <c r="BT143" s="30">
        <v>0.308</v>
      </c>
      <c r="BU143" s="30">
        <v>1.2784535256410261</v>
      </c>
      <c r="BV143" s="30">
        <v>0.11</v>
      </c>
      <c r="BW143" s="30">
        <v>0.1</v>
      </c>
      <c r="BX143" s="30">
        <v>0.1</v>
      </c>
      <c r="BY143" s="30">
        <v>0.189</v>
      </c>
      <c r="BZ143" s="30">
        <v>2.09</v>
      </c>
      <c r="CA143" s="30">
        <v>0.65700000000000003</v>
      </c>
      <c r="CB143" s="30">
        <v>73</v>
      </c>
      <c r="CC143" s="30">
        <v>0.33</v>
      </c>
      <c r="CD143" s="30">
        <v>0.48199999999999998</v>
      </c>
      <c r="CE143" s="30">
        <v>0.27</v>
      </c>
      <c r="CF143" s="30">
        <v>0.93</v>
      </c>
      <c r="CG143" s="30">
        <v>0.86</v>
      </c>
      <c r="CH143" s="30">
        <v>2.58</v>
      </c>
      <c r="CI143" s="30">
        <v>0.20399999999999999</v>
      </c>
      <c r="CJ143" s="30">
        <v>0.12</v>
      </c>
      <c r="CK143" s="30">
        <v>14</v>
      </c>
      <c r="CL143" s="30">
        <v>1.08</v>
      </c>
      <c r="CM143" s="30">
        <v>0</v>
      </c>
      <c r="CN143" s="30" t="s">
        <v>141</v>
      </c>
      <c r="CO143" s="30">
        <v>3137.7444987775061</v>
      </c>
    </row>
    <row r="144" spans="2:93" ht="19.899999999999999" customHeight="1" x14ac:dyDescent="0.2">
      <c r="B144" s="30" t="s">
        <v>176</v>
      </c>
      <c r="C144" s="30">
        <v>106</v>
      </c>
      <c r="D144" s="30">
        <v>1.05</v>
      </c>
      <c r="E144" s="30">
        <v>2353</v>
      </c>
      <c r="F144" s="30">
        <v>1.1000000000000001</v>
      </c>
      <c r="G144" s="30">
        <v>1.01</v>
      </c>
      <c r="H144" s="30">
        <v>0.184</v>
      </c>
      <c r="I144" s="30">
        <v>0.60399999999999998</v>
      </c>
      <c r="J144" s="30">
        <v>1.1000000000000001</v>
      </c>
      <c r="K144" s="30">
        <v>1.23</v>
      </c>
      <c r="L144" s="30">
        <v>0.57999999999999996</v>
      </c>
      <c r="M144" s="30">
        <v>74.3</v>
      </c>
      <c r="N144" s="30">
        <v>0.78</v>
      </c>
      <c r="O144" s="30">
        <v>69.900000000000006</v>
      </c>
      <c r="P144" s="30">
        <v>0.68</v>
      </c>
      <c r="Q144" s="30">
        <v>0.62</v>
      </c>
      <c r="R144" s="30">
        <v>71.900000000000006</v>
      </c>
      <c r="S144" s="30">
        <v>0.99</v>
      </c>
      <c r="T144" s="30">
        <v>67.2</v>
      </c>
      <c r="U144" s="30">
        <v>0.63</v>
      </c>
      <c r="V144" s="30">
        <v>245</v>
      </c>
      <c r="W144" s="30">
        <v>22</v>
      </c>
      <c r="X144" s="30">
        <v>0.96</v>
      </c>
      <c r="Y144" s="30">
        <v>52</v>
      </c>
      <c r="Z144" s="30">
        <v>1.02</v>
      </c>
      <c r="AA144" s="30">
        <v>83</v>
      </c>
      <c r="AB144" s="30">
        <v>1.03</v>
      </c>
      <c r="AC144" s="30">
        <v>0.111347216319592</v>
      </c>
      <c r="AD144" s="30">
        <v>0.46961325966850831</v>
      </c>
      <c r="AE144" s="30">
        <v>0.16319592010199749</v>
      </c>
      <c r="AF144" s="30">
        <v>4.2923926901827447E-2</v>
      </c>
      <c r="AG144" s="30">
        <v>84</v>
      </c>
      <c r="AH144" s="30">
        <v>63</v>
      </c>
      <c r="AI144" s="30">
        <v>44</v>
      </c>
      <c r="AJ144" s="30">
        <v>31</v>
      </c>
      <c r="AK144" s="30">
        <v>12</v>
      </c>
      <c r="AL144" s="30">
        <v>38</v>
      </c>
      <c r="AM144" s="30">
        <v>2.8474288142796431E-2</v>
      </c>
      <c r="AN144" s="30">
        <v>76</v>
      </c>
      <c r="AO144" s="30">
        <v>1.04</v>
      </c>
      <c r="AP144" s="30">
        <v>38</v>
      </c>
      <c r="AQ144" s="30">
        <v>1.01</v>
      </c>
      <c r="AR144" s="30">
        <v>26</v>
      </c>
      <c r="AS144" s="30">
        <v>1.02</v>
      </c>
      <c r="AT144" s="30">
        <v>7</v>
      </c>
      <c r="AU144" s="30">
        <v>0.95</v>
      </c>
      <c r="AV144" s="30">
        <v>5</v>
      </c>
      <c r="AW144" s="30">
        <v>0.86</v>
      </c>
      <c r="AX144" s="30">
        <v>5</v>
      </c>
      <c r="AY144" s="30">
        <v>0.86</v>
      </c>
      <c r="AZ144" s="30">
        <v>0.91</v>
      </c>
      <c r="BA144" s="30">
        <v>89.6</v>
      </c>
      <c r="BB144" s="30">
        <v>0.74400000000000011</v>
      </c>
      <c r="BC144" s="30">
        <v>0.13200000000000001</v>
      </c>
      <c r="BD144" s="30">
        <v>0.26900000000000002</v>
      </c>
      <c r="BE144" s="30">
        <v>102</v>
      </c>
      <c r="BF144" s="30">
        <v>0.14599999999999999</v>
      </c>
      <c r="BG144" s="30">
        <v>0.43432649420160557</v>
      </c>
      <c r="BH144" s="30">
        <v>48.24933095450492</v>
      </c>
      <c r="BI144" s="30">
        <v>0.13</v>
      </c>
      <c r="BJ144" s="30">
        <v>0.193</v>
      </c>
      <c r="BK144" s="30">
        <v>0.1</v>
      </c>
      <c r="BL144" s="30">
        <v>2.76</v>
      </c>
      <c r="BM144" s="30">
        <v>51</v>
      </c>
      <c r="BN144" s="30">
        <v>29</v>
      </c>
      <c r="BO144" s="30">
        <v>41</v>
      </c>
      <c r="BP144" s="30">
        <v>61</v>
      </c>
      <c r="BQ144" s="30">
        <v>75</v>
      </c>
      <c r="BR144" s="30">
        <v>92</v>
      </c>
      <c r="BS144" s="30">
        <v>62</v>
      </c>
      <c r="BT144" s="30">
        <v>0.35599999999999998</v>
      </c>
      <c r="BU144" s="30">
        <v>1.2235248041775459</v>
      </c>
      <c r="BV144" s="30">
        <v>0.11</v>
      </c>
      <c r="BW144" s="30">
        <v>0.11</v>
      </c>
      <c r="BX144" s="30">
        <v>0.09</v>
      </c>
      <c r="BY144" s="30">
        <v>0.223</v>
      </c>
      <c r="BZ144" s="30">
        <v>1.85</v>
      </c>
      <c r="CA144" s="30">
        <v>0.5</v>
      </c>
      <c r="CB144" s="30">
        <v>78</v>
      </c>
      <c r="CC144" s="30">
        <v>0.34</v>
      </c>
      <c r="CD144" s="30">
        <v>0.502</v>
      </c>
      <c r="CE144" s="30">
        <v>0.26700000000000002</v>
      </c>
      <c r="CF144" s="30">
        <v>0.64</v>
      </c>
      <c r="CG144" s="30">
        <v>1</v>
      </c>
      <c r="CH144" s="30">
        <v>2.4500000000000002</v>
      </c>
      <c r="CI144" s="30">
        <v>0.186</v>
      </c>
      <c r="CJ144" s="30">
        <v>0.13</v>
      </c>
      <c r="CK144" s="30">
        <v>7</v>
      </c>
      <c r="CL144" s="30">
        <v>0.95</v>
      </c>
      <c r="CM144" s="30">
        <v>0</v>
      </c>
      <c r="CN144" s="30" t="s">
        <v>141</v>
      </c>
      <c r="CO144" s="30">
        <v>3182.773631840796</v>
      </c>
    </row>
    <row r="145" spans="2:93" ht="19.899999999999999" customHeight="1" x14ac:dyDescent="0.2">
      <c r="B145" s="30" t="s">
        <v>191</v>
      </c>
      <c r="C145" s="30">
        <v>104</v>
      </c>
      <c r="D145" s="30">
        <v>1.05</v>
      </c>
      <c r="E145" s="30">
        <v>2291</v>
      </c>
      <c r="F145" s="30">
        <v>1.06</v>
      </c>
      <c r="G145" s="30">
        <v>1.04</v>
      </c>
      <c r="H145" s="30">
        <v>0.254</v>
      </c>
      <c r="I145" s="30">
        <v>0.52</v>
      </c>
      <c r="J145" s="30">
        <v>1.1200000000000001</v>
      </c>
      <c r="K145" s="30">
        <v>1.1200000000000001</v>
      </c>
      <c r="L145" s="30">
        <v>0.67</v>
      </c>
      <c r="M145" s="30">
        <v>71.5</v>
      </c>
      <c r="N145" s="30">
        <v>0.16</v>
      </c>
      <c r="O145" s="30">
        <v>75.900000000000006</v>
      </c>
      <c r="P145" s="30">
        <v>0.68</v>
      </c>
      <c r="Q145" s="30">
        <v>0.69</v>
      </c>
      <c r="R145" s="30">
        <v>68.5</v>
      </c>
      <c r="S145" s="30">
        <v>1.07</v>
      </c>
      <c r="T145" s="30">
        <v>74.7</v>
      </c>
      <c r="U145" s="30">
        <v>0.68</v>
      </c>
      <c r="V145" s="30">
        <v>38</v>
      </c>
      <c r="W145" s="30">
        <v>26</v>
      </c>
      <c r="X145" s="30">
        <v>0.89</v>
      </c>
      <c r="Y145" s="30">
        <v>44</v>
      </c>
      <c r="Z145" s="30">
        <v>0.92</v>
      </c>
      <c r="AA145" s="30">
        <v>75</v>
      </c>
      <c r="AB145" s="30">
        <v>1</v>
      </c>
      <c r="AC145" s="30">
        <v>0.13225665648188559</v>
      </c>
      <c r="AD145" s="30">
        <v>0.4552597119161938</v>
      </c>
      <c r="AE145" s="30">
        <v>0.1719773024879965</v>
      </c>
      <c r="AF145" s="30">
        <v>5.0196420776953299E-2</v>
      </c>
      <c r="AG145" s="30">
        <v>83</v>
      </c>
      <c r="AH145" s="30">
        <v>63</v>
      </c>
      <c r="AI145" s="30">
        <v>36</v>
      </c>
      <c r="AJ145" s="30">
        <v>29</v>
      </c>
      <c r="AK145" s="30">
        <v>21</v>
      </c>
      <c r="AL145" s="30">
        <v>28</v>
      </c>
      <c r="AM145" s="30">
        <v>1.833260584897425E-2</v>
      </c>
      <c r="AN145" s="30">
        <v>78</v>
      </c>
      <c r="AO145" s="30">
        <v>1.02</v>
      </c>
      <c r="AP145" s="30">
        <v>37</v>
      </c>
      <c r="AQ145" s="30">
        <v>0.98</v>
      </c>
      <c r="AR145" s="30">
        <v>16</v>
      </c>
      <c r="AS145" s="30">
        <v>0.87</v>
      </c>
      <c r="AT145" s="30">
        <v>15</v>
      </c>
      <c r="AU145" s="30">
        <v>0.9</v>
      </c>
      <c r="AV145" s="30">
        <v>11</v>
      </c>
      <c r="AW145" s="30">
        <v>0.9</v>
      </c>
      <c r="AX145" s="30">
        <v>3</v>
      </c>
      <c r="AY145" s="30">
        <v>0.84</v>
      </c>
      <c r="AZ145" s="30">
        <v>0.95</v>
      </c>
      <c r="BA145" s="30">
        <v>100.8</v>
      </c>
      <c r="BB145" s="30">
        <v>0.746</v>
      </c>
      <c r="BC145" s="30">
        <v>8.5999999999999993E-2</v>
      </c>
      <c r="BD145" s="30">
        <v>0.23499999999999999</v>
      </c>
      <c r="BE145" s="30">
        <v>111</v>
      </c>
      <c r="BF145" s="30">
        <v>8.3000000000000004E-2</v>
      </c>
      <c r="BG145" s="30">
        <v>0.39886775362318849</v>
      </c>
      <c r="BH145" s="30">
        <v>49.127989130434813</v>
      </c>
      <c r="BI145" s="30">
        <v>0.12</v>
      </c>
      <c r="BJ145" s="30">
        <v>0.21</v>
      </c>
      <c r="BK145" s="30">
        <v>0.03</v>
      </c>
      <c r="BL145" s="30">
        <v>4.6900000000000004</v>
      </c>
      <c r="BM145" s="30">
        <v>65</v>
      </c>
      <c r="BN145" s="30">
        <v>56</v>
      </c>
      <c r="BO145" s="30">
        <v>25</v>
      </c>
      <c r="BP145" s="30">
        <v>83</v>
      </c>
      <c r="BQ145" s="30">
        <v>44</v>
      </c>
      <c r="BR145" s="30">
        <v>1</v>
      </c>
      <c r="BS145" s="30">
        <v>51</v>
      </c>
      <c r="BT145" s="30">
        <v>0.55000000000000004</v>
      </c>
      <c r="BU145" s="30">
        <v>1.2754529147982061</v>
      </c>
      <c r="BV145" s="30">
        <v>0.14000000000000001</v>
      </c>
      <c r="BW145" s="30">
        <v>0.1</v>
      </c>
      <c r="BX145" s="30">
        <v>0.11</v>
      </c>
      <c r="BY145" s="30">
        <v>0.20300000000000001</v>
      </c>
      <c r="BZ145" s="30">
        <v>2.71</v>
      </c>
      <c r="CA145" s="30">
        <v>0.52900000000000003</v>
      </c>
      <c r="CB145" s="30">
        <v>69</v>
      </c>
      <c r="CC145" s="30">
        <v>0.01</v>
      </c>
      <c r="CD145" s="30">
        <v>1.4E-2</v>
      </c>
      <c r="CE145" s="30">
        <v>1.0999999999999999E-2</v>
      </c>
      <c r="CF145" s="30">
        <v>0.56999999999999995</v>
      </c>
      <c r="CG145" s="30">
        <v>0.53</v>
      </c>
      <c r="CH145" s="30">
        <v>1.99</v>
      </c>
      <c r="CI145" s="30">
        <v>0.17</v>
      </c>
      <c r="CJ145" s="30">
        <v>0.2</v>
      </c>
      <c r="CK145" s="30">
        <v>13</v>
      </c>
      <c r="CL145" s="30">
        <v>0.87</v>
      </c>
      <c r="CM145" s="30">
        <v>0</v>
      </c>
      <c r="CN145" s="30" t="s">
        <v>141</v>
      </c>
      <c r="CO145" s="30">
        <v>2293.9094387755099</v>
      </c>
    </row>
    <row r="146" spans="2:93" ht="19.899999999999999" customHeight="1" x14ac:dyDescent="0.2">
      <c r="B146" s="30" t="s">
        <v>192</v>
      </c>
      <c r="C146" s="30">
        <v>72</v>
      </c>
      <c r="D146" s="30">
        <v>1.05</v>
      </c>
      <c r="E146" s="30">
        <v>1539</v>
      </c>
      <c r="F146" s="30">
        <v>1.1200000000000001</v>
      </c>
      <c r="G146" s="30">
        <v>0.97</v>
      </c>
      <c r="H146" s="30">
        <v>0.13500000000000001</v>
      </c>
      <c r="I146" s="30">
        <v>0.56700000000000006</v>
      </c>
      <c r="J146" s="30">
        <v>0.95</v>
      </c>
      <c r="K146" s="30">
        <v>1.25</v>
      </c>
      <c r="L146" s="30">
        <v>0.6</v>
      </c>
      <c r="M146" s="30">
        <v>75.099999999999994</v>
      </c>
      <c r="N146" s="30">
        <v>0.28999999999999998</v>
      </c>
      <c r="O146" s="30">
        <v>70.599999999999994</v>
      </c>
      <c r="P146" s="30">
        <v>0.65</v>
      </c>
      <c r="Q146" s="30">
        <v>0.61</v>
      </c>
      <c r="R146" s="30">
        <v>70.8</v>
      </c>
      <c r="S146" s="30">
        <v>1.03</v>
      </c>
      <c r="T146" s="30">
        <v>70.2</v>
      </c>
      <c r="U146" s="30">
        <v>0.66</v>
      </c>
      <c r="V146" s="30">
        <v>72</v>
      </c>
      <c r="W146" s="30">
        <v>11</v>
      </c>
      <c r="X146" s="30">
        <v>0.81</v>
      </c>
      <c r="Y146" s="30">
        <v>42</v>
      </c>
      <c r="Z146" s="30">
        <v>0.94</v>
      </c>
      <c r="AA146" s="30">
        <v>59</v>
      </c>
      <c r="AB146" s="30">
        <v>1.01</v>
      </c>
      <c r="AC146" s="30">
        <v>7.6673164392462634E-2</v>
      </c>
      <c r="AD146" s="30">
        <v>0.44769330734243012</v>
      </c>
      <c r="AE146" s="30">
        <v>0.15399610136452241</v>
      </c>
      <c r="AF146" s="30">
        <v>3.9636127355425599E-2</v>
      </c>
      <c r="AG146" s="30">
        <v>53</v>
      </c>
      <c r="AH146" s="30">
        <v>44</v>
      </c>
      <c r="AI146" s="30">
        <v>31</v>
      </c>
      <c r="AJ146" s="30">
        <v>17</v>
      </c>
      <c r="AK146" s="30">
        <v>8</v>
      </c>
      <c r="AL146" s="30">
        <v>26</v>
      </c>
      <c r="AM146" s="30">
        <v>2.7940220922677061E-2</v>
      </c>
      <c r="AN146" s="30">
        <v>64</v>
      </c>
      <c r="AO146" s="30">
        <v>1.02</v>
      </c>
      <c r="AP146" s="30">
        <v>52</v>
      </c>
      <c r="AQ146" s="30">
        <v>1.02</v>
      </c>
      <c r="AR146" s="30">
        <v>14</v>
      </c>
      <c r="AS146" s="30">
        <v>0.99</v>
      </c>
      <c r="AT146" s="30">
        <v>17</v>
      </c>
      <c r="AU146" s="30">
        <v>0.97</v>
      </c>
      <c r="AV146" s="30">
        <v>12</v>
      </c>
      <c r="AW146" s="30">
        <v>0.91</v>
      </c>
      <c r="AX146" s="30">
        <v>4</v>
      </c>
      <c r="AY146" s="30">
        <v>1.03</v>
      </c>
      <c r="AZ146" s="30">
        <v>0.87</v>
      </c>
      <c r="BA146" s="30">
        <v>87.8</v>
      </c>
      <c r="BB146" s="30">
        <v>0.64400000000000002</v>
      </c>
      <c r="BC146" s="30">
        <v>0.128</v>
      </c>
      <c r="BD146" s="30">
        <v>0.29699999999999999</v>
      </c>
      <c r="BE146" s="30">
        <v>109</v>
      </c>
      <c r="BF146" s="30">
        <v>0.11</v>
      </c>
      <c r="BG146" s="30">
        <v>0.40151639344262291</v>
      </c>
      <c r="BH146" s="30">
        <v>51.637704918032789</v>
      </c>
      <c r="BI146" s="30">
        <v>0.15</v>
      </c>
      <c r="BJ146" s="30">
        <v>0.22</v>
      </c>
      <c r="BK146" s="30">
        <v>0.03</v>
      </c>
      <c r="BL146" s="30">
        <v>3.31</v>
      </c>
      <c r="BM146" s="30">
        <v>43</v>
      </c>
      <c r="BN146" s="30">
        <v>55</v>
      </c>
      <c r="BO146" s="30">
        <v>73</v>
      </c>
      <c r="BP146" s="30">
        <v>24</v>
      </c>
      <c r="BQ146" s="30">
        <v>68</v>
      </c>
      <c r="BR146" s="30">
        <v>0</v>
      </c>
      <c r="BS146" s="30">
        <v>28</v>
      </c>
      <c r="BT146" s="30">
        <v>0.505</v>
      </c>
      <c r="BU146" s="30">
        <v>1.219337278106509</v>
      </c>
      <c r="BV146" s="30">
        <v>0.13</v>
      </c>
      <c r="BW146" s="30">
        <v>0.12</v>
      </c>
      <c r="BX146" s="30">
        <v>0.1</v>
      </c>
      <c r="BY146" s="30">
        <v>0.24299999999999999</v>
      </c>
      <c r="BZ146" s="30">
        <v>2.69</v>
      </c>
      <c r="CA146" s="30">
        <v>0.68</v>
      </c>
      <c r="CB146" s="30">
        <v>79</v>
      </c>
      <c r="CC146" s="30">
        <v>0.01</v>
      </c>
      <c r="CD146" s="30">
        <v>0.01</v>
      </c>
      <c r="CE146" s="30">
        <v>6.0000000000000001E-3</v>
      </c>
      <c r="CF146" s="30">
        <v>0.65</v>
      </c>
      <c r="CG146" s="30">
        <v>0.39</v>
      </c>
      <c r="CH146" s="30">
        <v>2.15</v>
      </c>
      <c r="CI146" s="30">
        <v>0.23499999999999999</v>
      </c>
      <c r="CJ146" s="30">
        <v>0.19</v>
      </c>
      <c r="CK146" s="30">
        <v>17</v>
      </c>
      <c r="CL146" s="30">
        <v>0.97</v>
      </c>
      <c r="CM146" s="30">
        <v>0</v>
      </c>
      <c r="CN146" s="30" t="s">
        <v>141</v>
      </c>
      <c r="CO146" s="30">
        <v>2193.8755020080321</v>
      </c>
    </row>
    <row r="147" spans="2:93" ht="19.899999999999999" customHeight="1" x14ac:dyDescent="0.2">
      <c r="B147" s="30" t="s">
        <v>177</v>
      </c>
      <c r="C147" s="30">
        <v>82</v>
      </c>
      <c r="D147" s="30">
        <v>1.05</v>
      </c>
      <c r="E147" s="30">
        <v>1758</v>
      </c>
      <c r="F147" s="30">
        <v>1.01</v>
      </c>
      <c r="G147" s="30">
        <v>1.0900000000000001</v>
      </c>
      <c r="H147" s="30">
        <v>0.17799999999999999</v>
      </c>
      <c r="I147" s="30">
        <v>0.57499999999999996</v>
      </c>
      <c r="J147" s="30">
        <v>1.05</v>
      </c>
      <c r="K147" s="30">
        <v>0.96</v>
      </c>
      <c r="L147" s="30">
        <v>0.65</v>
      </c>
      <c r="M147" s="30">
        <v>73.7</v>
      </c>
      <c r="N147" s="30">
        <v>0.39</v>
      </c>
      <c r="O147" s="30">
        <v>73.900000000000006</v>
      </c>
      <c r="P147" s="30">
        <v>0.64</v>
      </c>
      <c r="Q147" s="30">
        <v>0.66</v>
      </c>
      <c r="R147" s="30">
        <v>70.8</v>
      </c>
      <c r="S147" s="30">
        <v>1.06</v>
      </c>
      <c r="T147" s="30">
        <v>74.2</v>
      </c>
      <c r="U147" s="30">
        <v>0.65</v>
      </c>
      <c r="V147" s="30">
        <v>-5</v>
      </c>
      <c r="W147" s="30">
        <v>14</v>
      </c>
      <c r="X147" s="30">
        <v>0.94</v>
      </c>
      <c r="Y147" s="30">
        <v>31</v>
      </c>
      <c r="Z147" s="30">
        <v>0.96</v>
      </c>
      <c r="AA147" s="30">
        <v>47</v>
      </c>
      <c r="AB147" s="30">
        <v>0.96</v>
      </c>
      <c r="AC147" s="30">
        <v>0.1023890784982935</v>
      </c>
      <c r="AD147" s="30">
        <v>0.44596131968145619</v>
      </c>
      <c r="AE147" s="30">
        <v>0.14505119453924911</v>
      </c>
      <c r="AF147" s="30">
        <v>4.1524459613196812E-2</v>
      </c>
      <c r="AG147" s="30">
        <v>52</v>
      </c>
      <c r="AH147" s="30">
        <v>42</v>
      </c>
      <c r="AI147" s="30">
        <v>35</v>
      </c>
      <c r="AJ147" s="30">
        <v>26</v>
      </c>
      <c r="AK147" s="30">
        <v>15</v>
      </c>
      <c r="AL147" s="30">
        <v>21</v>
      </c>
      <c r="AM147" s="30">
        <v>2.104664391353811E-2</v>
      </c>
      <c r="AN147" s="30">
        <v>29</v>
      </c>
      <c r="AO147" s="30">
        <v>1.05</v>
      </c>
      <c r="AP147" s="30">
        <v>15</v>
      </c>
      <c r="AQ147" s="30">
        <v>0.91</v>
      </c>
      <c r="AR147" s="30">
        <v>6</v>
      </c>
      <c r="AS147" s="30">
        <v>0.9</v>
      </c>
      <c r="AT147" s="30">
        <v>3</v>
      </c>
      <c r="AU147" s="30">
        <v>1.05</v>
      </c>
      <c r="AV147" s="30">
        <v>0</v>
      </c>
      <c r="AW147" s="30" t="s">
        <v>141</v>
      </c>
      <c r="AX147" s="30">
        <v>0</v>
      </c>
      <c r="AY147" s="30" t="s">
        <v>141</v>
      </c>
      <c r="AZ147" s="30">
        <v>0.93</v>
      </c>
      <c r="BA147" s="30">
        <v>98.2</v>
      </c>
      <c r="BB147" s="30">
        <v>0.72799999999999998</v>
      </c>
      <c r="BC147" s="30">
        <v>0.127</v>
      </c>
      <c r="BD147" s="30">
        <v>0.28399999999999997</v>
      </c>
      <c r="BE147" s="30">
        <v>115</v>
      </c>
      <c r="BF147" s="30">
        <v>0.114</v>
      </c>
      <c r="BG147" s="30">
        <v>0.3835281385281385</v>
      </c>
      <c r="BH147" s="30">
        <v>51.966883116883118</v>
      </c>
      <c r="BI147" s="30">
        <v>0.14000000000000001</v>
      </c>
      <c r="BJ147" s="30">
        <v>0.23599999999999999</v>
      </c>
      <c r="BK147" s="30">
        <v>0.06</v>
      </c>
      <c r="BL147" s="30">
        <v>6.9</v>
      </c>
      <c r="BM147" s="30">
        <v>43</v>
      </c>
      <c r="BN147" s="30">
        <v>78</v>
      </c>
      <c r="BO147" s="30">
        <v>67</v>
      </c>
      <c r="BP147" s="30">
        <v>52</v>
      </c>
      <c r="BQ147" s="30">
        <v>56</v>
      </c>
      <c r="BR147" s="30">
        <v>2</v>
      </c>
      <c r="BS147" s="30">
        <v>84</v>
      </c>
      <c r="BT147" s="30">
        <v>0.46700000000000003</v>
      </c>
      <c r="BU147" s="30">
        <v>1.331188903566711</v>
      </c>
      <c r="BV147" s="30">
        <v>0.15</v>
      </c>
      <c r="BW147" s="30">
        <v>0.12</v>
      </c>
      <c r="BX147" s="30">
        <v>0.12</v>
      </c>
      <c r="BY147" s="30">
        <v>0.23799999999999999</v>
      </c>
      <c r="BZ147" s="30">
        <v>2.94</v>
      </c>
      <c r="CA147" s="30">
        <v>0.64700000000000002</v>
      </c>
      <c r="CB147" s="30">
        <v>71</v>
      </c>
      <c r="CC147" s="30">
        <v>0.02</v>
      </c>
      <c r="CD147" s="30">
        <v>2.8000000000000001E-2</v>
      </c>
      <c r="CE147" s="30">
        <v>1.2E-2</v>
      </c>
      <c r="CF147" s="30">
        <v>1.1399999999999999</v>
      </c>
      <c r="CG147" s="30">
        <v>0.64</v>
      </c>
      <c r="CH147" s="30">
        <v>2.72</v>
      </c>
      <c r="CI147" s="30">
        <v>0.22500000000000001</v>
      </c>
      <c r="CJ147" s="30">
        <v>0.23</v>
      </c>
      <c r="CK147" s="30">
        <v>3</v>
      </c>
      <c r="CL147" s="30">
        <v>1.05</v>
      </c>
      <c r="CM147" s="30">
        <v>0</v>
      </c>
      <c r="CN147" s="30" t="s">
        <v>141</v>
      </c>
      <c r="CO147" s="30">
        <v>2335.1327433628321</v>
      </c>
    </row>
    <row r="148" spans="2:93" ht="19.899999999999999" customHeight="1" x14ac:dyDescent="0.2">
      <c r="B148" s="30" t="s">
        <v>156</v>
      </c>
      <c r="C148" s="30">
        <v>127</v>
      </c>
      <c r="D148" s="30">
        <v>1.05</v>
      </c>
      <c r="E148" s="30">
        <v>2784</v>
      </c>
      <c r="F148" s="30">
        <v>1.01</v>
      </c>
      <c r="G148" s="30">
        <v>1.08</v>
      </c>
      <c r="H148" s="30">
        <v>0.20300000000000001</v>
      </c>
      <c r="I148" s="30">
        <v>0.44900000000000001</v>
      </c>
      <c r="J148" s="30">
        <v>0.93</v>
      </c>
      <c r="K148" s="30">
        <v>1.2</v>
      </c>
      <c r="L148" s="30">
        <v>0.66</v>
      </c>
      <c r="M148" s="30">
        <v>73.3</v>
      </c>
      <c r="N148" s="30">
        <v>0.19</v>
      </c>
      <c r="O148" s="30">
        <v>72.400000000000006</v>
      </c>
      <c r="P148" s="30">
        <v>0.66</v>
      </c>
      <c r="Q148" s="30">
        <v>0.67</v>
      </c>
      <c r="R148" s="30">
        <v>70.3</v>
      </c>
      <c r="S148" s="30">
        <v>1.1000000000000001</v>
      </c>
      <c r="T148" s="30">
        <v>72.5</v>
      </c>
      <c r="U148" s="30">
        <v>0.67</v>
      </c>
      <c r="V148" s="30">
        <v>1</v>
      </c>
      <c r="W148" s="30">
        <v>29</v>
      </c>
      <c r="X148" s="30">
        <v>0.99</v>
      </c>
      <c r="Y148" s="30">
        <v>61</v>
      </c>
      <c r="Z148" s="30">
        <v>1.02</v>
      </c>
      <c r="AA148" s="30">
        <v>103</v>
      </c>
      <c r="AB148" s="30">
        <v>1.02</v>
      </c>
      <c r="AC148" s="30">
        <v>9.0876436781609199E-2</v>
      </c>
      <c r="AD148" s="30">
        <v>0.44755747126436779</v>
      </c>
      <c r="AE148" s="30">
        <v>0.15768678160919539</v>
      </c>
      <c r="AF148" s="30">
        <v>4.5617816091954033E-2</v>
      </c>
      <c r="AG148" s="30">
        <v>96</v>
      </c>
      <c r="AH148" s="30">
        <v>75</v>
      </c>
      <c r="AI148" s="30">
        <v>55</v>
      </c>
      <c r="AJ148" s="30">
        <v>35</v>
      </c>
      <c r="AK148" s="30">
        <v>19</v>
      </c>
      <c r="AL148" s="30">
        <v>25</v>
      </c>
      <c r="AM148" s="30">
        <v>1.6882183908045981E-2</v>
      </c>
      <c r="AN148" s="30">
        <v>97</v>
      </c>
      <c r="AO148" s="30">
        <v>1.02</v>
      </c>
      <c r="AP148" s="30">
        <v>59</v>
      </c>
      <c r="AQ148" s="30">
        <v>0.99</v>
      </c>
      <c r="AR148" s="30">
        <v>26</v>
      </c>
      <c r="AS148" s="30">
        <v>1.04</v>
      </c>
      <c r="AT148" s="30">
        <v>15</v>
      </c>
      <c r="AU148" s="30">
        <v>0.97</v>
      </c>
      <c r="AV148" s="30">
        <v>13</v>
      </c>
      <c r="AW148" s="30">
        <v>0.99</v>
      </c>
      <c r="AX148" s="30">
        <v>5</v>
      </c>
      <c r="AY148" s="30">
        <v>1.1599999999999999</v>
      </c>
      <c r="AZ148" s="30">
        <v>0.92</v>
      </c>
      <c r="BA148" s="30">
        <v>93.8</v>
      </c>
      <c r="BB148" s="30">
        <v>0.75900000000000001</v>
      </c>
      <c r="BC148" s="30">
        <v>8.1000000000000003E-2</v>
      </c>
      <c r="BD148" s="30">
        <v>0.27800000000000002</v>
      </c>
      <c r="BE148" s="30">
        <v>110</v>
      </c>
      <c r="BF148" s="30">
        <v>6.9000000000000006E-2</v>
      </c>
      <c r="BG148" s="30">
        <v>0.37296072507552869</v>
      </c>
      <c r="BH148" s="30">
        <v>48.801812688821762</v>
      </c>
      <c r="BI148" s="30">
        <v>0.14000000000000001</v>
      </c>
      <c r="BJ148" s="30">
        <v>0.216</v>
      </c>
      <c r="BK148" s="30">
        <v>0.06</v>
      </c>
      <c r="BL148" s="30">
        <v>4.28</v>
      </c>
      <c r="BM148" s="30">
        <v>49</v>
      </c>
      <c r="BN148" s="30">
        <v>68</v>
      </c>
      <c r="BO148" s="30">
        <v>58</v>
      </c>
      <c r="BP148" s="30">
        <v>43</v>
      </c>
      <c r="BQ148" s="30">
        <v>41</v>
      </c>
      <c r="BR148" s="30">
        <v>0</v>
      </c>
      <c r="BS148" s="30">
        <v>59</v>
      </c>
      <c r="BT148" s="30">
        <v>0.64500000000000002</v>
      </c>
      <c r="BU148" s="30">
        <v>1.2135146743020759</v>
      </c>
      <c r="BV148" s="30">
        <v>0.14000000000000001</v>
      </c>
      <c r="BW148" s="30">
        <v>0.11</v>
      </c>
      <c r="BX148" s="30">
        <v>0.12</v>
      </c>
      <c r="BY148" s="30">
        <v>0.23</v>
      </c>
      <c r="BZ148" s="30">
        <v>2.58</v>
      </c>
      <c r="CA148" s="30">
        <v>0.45800000000000002</v>
      </c>
      <c r="CB148" s="30">
        <v>72</v>
      </c>
      <c r="CC148" s="30">
        <v>0</v>
      </c>
      <c r="CD148" s="30">
        <v>2E-3</v>
      </c>
      <c r="CE148" s="30">
        <v>1E-3</v>
      </c>
      <c r="CF148" s="30">
        <v>0.83</v>
      </c>
      <c r="CG148" s="30">
        <v>0.57999999999999996</v>
      </c>
      <c r="CH148" s="30">
        <v>2.37</v>
      </c>
      <c r="CI148" s="30">
        <v>0.21299999999999999</v>
      </c>
      <c r="CJ148" s="30">
        <v>0.2</v>
      </c>
      <c r="CK148" s="30">
        <v>15</v>
      </c>
      <c r="CL148" s="30">
        <v>0.97</v>
      </c>
      <c r="CM148" s="30">
        <v>0</v>
      </c>
      <c r="CN148" s="30" t="s">
        <v>141</v>
      </c>
      <c r="CO148" s="30">
        <v>2136.281981491562</v>
      </c>
    </row>
    <row r="149" spans="2:93" ht="19.899999999999999" customHeight="1" x14ac:dyDescent="0.2">
      <c r="B149" s="30" t="s">
        <v>149</v>
      </c>
      <c r="C149" s="30">
        <v>133</v>
      </c>
      <c r="D149" s="30">
        <v>1.05</v>
      </c>
      <c r="E149" s="30">
        <v>2904</v>
      </c>
      <c r="F149" s="30">
        <v>1.0900000000000001</v>
      </c>
      <c r="G149" s="30">
        <v>1</v>
      </c>
      <c r="H149" s="30">
        <v>0.26200000000000001</v>
      </c>
      <c r="I149" s="30">
        <v>0.5</v>
      </c>
      <c r="J149" s="30">
        <v>1.1000000000000001</v>
      </c>
      <c r="K149" s="30">
        <v>1.06</v>
      </c>
      <c r="L149" s="30">
        <v>0.71</v>
      </c>
      <c r="M149" s="30">
        <v>69.900000000000006</v>
      </c>
      <c r="N149" s="30">
        <v>-0.04</v>
      </c>
      <c r="O149" s="30">
        <v>78.400000000000006</v>
      </c>
      <c r="P149" s="30">
        <v>0.71</v>
      </c>
      <c r="Q149" s="30">
        <v>0.73</v>
      </c>
      <c r="R149" s="30">
        <v>68.400000000000006</v>
      </c>
      <c r="S149" s="30">
        <v>1.0900000000000001</v>
      </c>
      <c r="T149" s="30">
        <v>77.099999999999994</v>
      </c>
      <c r="U149" s="30">
        <v>0.71</v>
      </c>
      <c r="V149" s="30">
        <v>9</v>
      </c>
      <c r="W149" s="30">
        <v>35</v>
      </c>
      <c r="X149" s="30">
        <v>1</v>
      </c>
      <c r="Y149" s="30">
        <v>60</v>
      </c>
      <c r="Z149" s="30">
        <v>0.98</v>
      </c>
      <c r="AA149" s="30">
        <v>108</v>
      </c>
      <c r="AB149" s="30">
        <v>1.03</v>
      </c>
      <c r="AC149" s="30">
        <v>0.13085399449035809</v>
      </c>
      <c r="AD149" s="30">
        <v>0.48347107438016529</v>
      </c>
      <c r="AE149" s="30">
        <v>0.16735537190082639</v>
      </c>
      <c r="AF149" s="30">
        <v>4.8553719008264461E-2</v>
      </c>
      <c r="AG149" s="30">
        <v>104</v>
      </c>
      <c r="AH149" s="30">
        <v>82</v>
      </c>
      <c r="AI149" s="30">
        <v>52</v>
      </c>
      <c r="AJ149" s="30">
        <v>36</v>
      </c>
      <c r="AK149" s="30">
        <v>14</v>
      </c>
      <c r="AL149" s="30">
        <v>30</v>
      </c>
      <c r="AM149" s="30">
        <v>1.6184573002754821E-2</v>
      </c>
      <c r="AN149" s="30">
        <v>88</v>
      </c>
      <c r="AO149" s="30">
        <v>1</v>
      </c>
      <c r="AP149" s="30">
        <v>60</v>
      </c>
      <c r="AQ149" s="30">
        <v>0.99</v>
      </c>
      <c r="AR149" s="30">
        <v>22</v>
      </c>
      <c r="AS149" s="30">
        <v>1.02</v>
      </c>
      <c r="AT149" s="30">
        <v>18</v>
      </c>
      <c r="AU149" s="30">
        <v>1.01</v>
      </c>
      <c r="AV149" s="30">
        <v>12</v>
      </c>
      <c r="AW149" s="30">
        <v>1.03</v>
      </c>
      <c r="AX149" s="30">
        <v>0</v>
      </c>
      <c r="AY149" s="30" t="s">
        <v>141</v>
      </c>
      <c r="AZ149" s="30">
        <v>1</v>
      </c>
      <c r="BA149" s="30">
        <v>104.4</v>
      </c>
      <c r="BB149" s="30">
        <v>0.70299999999999996</v>
      </c>
      <c r="BC149" s="30">
        <v>4.3999999999999997E-2</v>
      </c>
      <c r="BD149" s="30">
        <v>0.246</v>
      </c>
      <c r="BE149" s="30">
        <v>111</v>
      </c>
      <c r="BF149" s="30">
        <v>0.1</v>
      </c>
      <c r="BG149" s="30">
        <v>0.39413447782546501</v>
      </c>
      <c r="BH149" s="30">
        <v>50.391416309012882</v>
      </c>
      <c r="BI149" s="30">
        <v>0.11</v>
      </c>
      <c r="BJ149" s="30">
        <v>0.19400000000000001</v>
      </c>
      <c r="BK149" s="30">
        <v>0.06</v>
      </c>
      <c r="BL149" s="30">
        <v>6.2</v>
      </c>
      <c r="BM149" s="30">
        <v>71</v>
      </c>
      <c r="BN149" s="30">
        <v>39</v>
      </c>
      <c r="BO149" s="30">
        <v>20</v>
      </c>
      <c r="BP149" s="30">
        <v>80</v>
      </c>
      <c r="BQ149" s="30">
        <v>40</v>
      </c>
      <c r="BR149" s="30">
        <v>0</v>
      </c>
      <c r="BS149" s="30">
        <v>82</v>
      </c>
      <c r="BT149" s="30">
        <v>0.57899999999999996</v>
      </c>
      <c r="BU149" s="30">
        <v>1.2200375469336671</v>
      </c>
      <c r="BV149" s="30">
        <v>0.14000000000000001</v>
      </c>
      <c r="BW149" s="30">
        <v>0.09</v>
      </c>
      <c r="BX149" s="30">
        <v>0.09</v>
      </c>
      <c r="BY149" s="30">
        <v>0.16400000000000001</v>
      </c>
      <c r="BZ149" s="30">
        <v>2.86</v>
      </c>
      <c r="CA149" s="30">
        <v>0.53100000000000003</v>
      </c>
      <c r="CB149" s="30">
        <v>64</v>
      </c>
      <c r="CC149" s="30">
        <v>0.01</v>
      </c>
      <c r="CD149" s="30">
        <v>1.2999999999999999E-2</v>
      </c>
      <c r="CE149" s="30">
        <v>9.0000000000000011E-3</v>
      </c>
      <c r="CF149" s="30">
        <v>0.69</v>
      </c>
      <c r="CG149" s="30">
        <v>0.68</v>
      </c>
      <c r="CH149" s="30">
        <v>2.6</v>
      </c>
      <c r="CI149" s="30">
        <v>0.16200000000000001</v>
      </c>
      <c r="CJ149" s="30">
        <v>0.2</v>
      </c>
      <c r="CK149" s="30">
        <v>18</v>
      </c>
      <c r="CL149" s="30">
        <v>1.01</v>
      </c>
      <c r="CM149" s="30">
        <v>4</v>
      </c>
      <c r="CN149" s="30">
        <v>0.97</v>
      </c>
      <c r="CO149" s="30">
        <v>2261.545940690326</v>
      </c>
    </row>
    <row r="150" spans="2:93" ht="19.899999999999999" customHeight="1" x14ac:dyDescent="0.2">
      <c r="B150" s="30" t="s">
        <v>182</v>
      </c>
      <c r="C150" s="30">
        <v>84</v>
      </c>
      <c r="D150" s="30">
        <v>1.05</v>
      </c>
      <c r="E150" s="30">
        <v>1820</v>
      </c>
      <c r="F150" s="30">
        <v>1.03</v>
      </c>
      <c r="G150" s="30">
        <v>1.06</v>
      </c>
      <c r="H150" s="30">
        <v>0.215</v>
      </c>
      <c r="I150" s="30">
        <v>0.435</v>
      </c>
      <c r="J150" s="30">
        <v>0.93</v>
      </c>
      <c r="K150" s="30">
        <v>0.96</v>
      </c>
      <c r="L150" s="30">
        <v>0.64</v>
      </c>
      <c r="M150" s="30">
        <v>74.099999999999994</v>
      </c>
      <c r="N150" s="30">
        <v>-0.02</v>
      </c>
      <c r="O150" s="30">
        <v>71.7</v>
      </c>
      <c r="P150" s="30">
        <v>0.65</v>
      </c>
      <c r="Q150" s="30">
        <v>0.66</v>
      </c>
      <c r="R150" s="30">
        <v>71.7</v>
      </c>
      <c r="S150" s="30">
        <v>1.0900000000000001</v>
      </c>
      <c r="T150" s="30">
        <v>71.3</v>
      </c>
      <c r="U150" s="30">
        <v>0.66</v>
      </c>
      <c r="V150" s="30">
        <v>23</v>
      </c>
      <c r="W150" s="30">
        <v>25</v>
      </c>
      <c r="X150" s="30">
        <v>0.98</v>
      </c>
      <c r="Y150" s="30">
        <v>41</v>
      </c>
      <c r="Z150" s="30">
        <v>1</v>
      </c>
      <c r="AA150" s="30">
        <v>67</v>
      </c>
      <c r="AB150" s="30">
        <v>1.03</v>
      </c>
      <c r="AC150" s="30">
        <v>9.3406593406593408E-2</v>
      </c>
      <c r="AD150" s="30">
        <v>0.44615384615384618</v>
      </c>
      <c r="AE150" s="30">
        <v>0.15879120879120881</v>
      </c>
      <c r="AF150" s="30">
        <v>4.0659340659340661E-2</v>
      </c>
      <c r="AG150" s="30">
        <v>65</v>
      </c>
      <c r="AH150" s="30">
        <v>48</v>
      </c>
      <c r="AI150" s="30">
        <v>38</v>
      </c>
      <c r="AJ150" s="30">
        <v>23</v>
      </c>
      <c r="AK150" s="30">
        <v>18</v>
      </c>
      <c r="AL150" s="30">
        <v>18</v>
      </c>
      <c r="AM150" s="30">
        <v>1.5934065934065929E-2</v>
      </c>
      <c r="AN150" s="30">
        <v>69</v>
      </c>
      <c r="AO150" s="30">
        <v>1.04</v>
      </c>
      <c r="AP150" s="30">
        <v>34</v>
      </c>
      <c r="AQ150" s="30">
        <v>0.97</v>
      </c>
      <c r="AR150" s="30">
        <v>26</v>
      </c>
      <c r="AS150" s="30">
        <v>1</v>
      </c>
      <c r="AT150" s="30">
        <v>28</v>
      </c>
      <c r="AU150" s="30">
        <v>1.1000000000000001</v>
      </c>
      <c r="AV150" s="30">
        <v>9</v>
      </c>
      <c r="AW150" s="30">
        <v>1.01</v>
      </c>
      <c r="AX150" s="30">
        <v>9</v>
      </c>
      <c r="AY150" s="30">
        <v>1.01</v>
      </c>
      <c r="AZ150" s="30">
        <v>0.87</v>
      </c>
      <c r="BA150" s="30">
        <v>90.3</v>
      </c>
      <c r="BB150" s="30">
        <v>0.78200000000000003</v>
      </c>
      <c r="BC150" s="30">
        <v>6.9000000000000006E-2</v>
      </c>
      <c r="BD150" s="30">
        <v>0.26600000000000001</v>
      </c>
      <c r="BE150" s="30">
        <v>110</v>
      </c>
      <c r="BF150" s="30">
        <v>6.8000000000000005E-2</v>
      </c>
      <c r="BG150" s="30">
        <v>0.37515723270440249</v>
      </c>
      <c r="BH150" s="30">
        <v>47.718867924528297</v>
      </c>
      <c r="BI150" s="30">
        <v>0.13</v>
      </c>
      <c r="BJ150" s="30">
        <v>0.22800000000000001</v>
      </c>
      <c r="BK150" s="30">
        <v>0.04</v>
      </c>
      <c r="BL150" s="30">
        <v>4.5199999999999996</v>
      </c>
      <c r="BM150" s="30">
        <v>48</v>
      </c>
      <c r="BN150" s="30">
        <v>57</v>
      </c>
      <c r="BO150" s="30">
        <v>39</v>
      </c>
      <c r="BP150" s="30">
        <v>48</v>
      </c>
      <c r="BQ150" s="30">
        <v>39</v>
      </c>
      <c r="BR150" s="30">
        <v>0</v>
      </c>
      <c r="BS150" s="30">
        <v>63</v>
      </c>
      <c r="BT150" s="30">
        <v>0.56499999999999995</v>
      </c>
      <c r="BU150" s="30">
        <v>1.212102803738317</v>
      </c>
      <c r="BV150" s="30">
        <v>0.15</v>
      </c>
      <c r="BW150" s="30">
        <v>0.1</v>
      </c>
      <c r="BX150" s="30">
        <v>0.09</v>
      </c>
      <c r="BY150" s="30">
        <v>0.23599999999999999</v>
      </c>
      <c r="BZ150" s="30">
        <v>2.6</v>
      </c>
      <c r="CA150" s="30">
        <v>0.61099999999999999</v>
      </c>
      <c r="CB150" s="30">
        <v>73</v>
      </c>
      <c r="CC150" s="30">
        <v>0</v>
      </c>
      <c r="CD150" s="30">
        <v>3.0000000000000001E-3</v>
      </c>
      <c r="CE150" s="30">
        <v>2E-3</v>
      </c>
      <c r="CF150" s="30">
        <v>0.55000000000000004</v>
      </c>
      <c r="CG150" s="30">
        <v>0.64</v>
      </c>
      <c r="CH150" s="30">
        <v>2.33</v>
      </c>
      <c r="CI150" s="30">
        <v>0.193</v>
      </c>
      <c r="CJ150" s="30">
        <v>0.2</v>
      </c>
      <c r="CK150" s="30">
        <v>25</v>
      </c>
      <c r="CL150" s="30">
        <v>1.1100000000000001</v>
      </c>
      <c r="CM150" s="30">
        <v>6</v>
      </c>
      <c r="CN150" s="30">
        <v>1.05</v>
      </c>
      <c r="CO150" s="30">
        <v>2223.4453781512611</v>
      </c>
    </row>
    <row r="151" spans="2:93" ht="19.899999999999999" customHeight="1" x14ac:dyDescent="0.2"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3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</row>
    <row r="152" spans="2:93" ht="19.899999999999999" customHeight="1" x14ac:dyDescent="0.2"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30"/>
      <c r="BT152" s="30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</row>
    <row r="153" spans="2:93" ht="19.899999999999999" customHeight="1" x14ac:dyDescent="0.2"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</row>
    <row r="154" spans="2:93" ht="19.899999999999999" customHeight="1" x14ac:dyDescent="0.2"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</row>
    <row r="155" spans="2:93" ht="19.899999999999999" customHeight="1" x14ac:dyDescent="0.2"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  <c r="BV155" s="30"/>
      <c r="BW155" s="30"/>
      <c r="BX155" s="30"/>
      <c r="BY155" s="30"/>
      <c r="BZ155" s="30"/>
      <c r="CA155" s="30"/>
      <c r="CB155" s="30"/>
      <c r="CC155" s="30"/>
      <c r="CD155" s="30"/>
      <c r="CE155" s="30"/>
      <c r="CF155" s="30"/>
      <c r="CG155" s="30"/>
      <c r="CH155" s="30"/>
      <c r="CI155" s="30"/>
      <c r="CJ155" s="30"/>
      <c r="CK155" s="30"/>
      <c r="CL155" s="30"/>
      <c r="CM155" s="30"/>
      <c r="CN155" s="30"/>
      <c r="CO155" s="30"/>
    </row>
    <row r="156" spans="2:93" ht="19.899999999999999" customHeight="1" x14ac:dyDescent="0.2"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</row>
    <row r="157" spans="2:93" ht="19.899999999999999" customHeight="1" x14ac:dyDescent="0.2"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</row>
    <row r="158" spans="2:93" ht="19.899999999999999" customHeight="1" x14ac:dyDescent="0.2"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</row>
    <row r="159" spans="2:93" ht="19.899999999999999" customHeight="1" x14ac:dyDescent="0.2"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</row>
    <row r="160" spans="2:93" ht="19.899999999999999" customHeight="1" x14ac:dyDescent="0.2"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</row>
    <row r="161" spans="2:93" ht="19.899999999999999" customHeight="1" x14ac:dyDescent="0.2"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</row>
    <row r="162" spans="2:93" ht="19.899999999999999" customHeight="1" x14ac:dyDescent="0.2"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</row>
    <row r="163" spans="2:93" ht="19.899999999999999" customHeight="1" x14ac:dyDescent="0.2"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</row>
    <row r="164" spans="2:93" ht="19.899999999999999" customHeight="1" x14ac:dyDescent="0.2"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</row>
    <row r="165" spans="2:93" ht="19.899999999999999" customHeight="1" x14ac:dyDescent="0.2"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</row>
    <row r="166" spans="2:93" ht="19.899999999999999" customHeight="1" x14ac:dyDescent="0.2"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  <c r="BW166" s="30"/>
      <c r="BX166" s="30"/>
      <c r="BY166" s="30"/>
      <c r="BZ166" s="30"/>
      <c r="CA166" s="30"/>
      <c r="CB166" s="30"/>
      <c r="CC166" s="30"/>
      <c r="CD166" s="30"/>
      <c r="CE166" s="30"/>
      <c r="CF166" s="30"/>
      <c r="CG166" s="30"/>
      <c r="CH166" s="30"/>
      <c r="CI166" s="30"/>
      <c r="CJ166" s="30"/>
      <c r="CK166" s="30"/>
      <c r="CL166" s="30"/>
      <c r="CM166" s="30"/>
      <c r="CN166" s="30"/>
      <c r="CO166" s="30"/>
    </row>
    <row r="167" spans="2:93" ht="19.899999999999999" customHeight="1" x14ac:dyDescent="0.2"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</row>
    <row r="168" spans="2:93" ht="19.899999999999999" customHeight="1" x14ac:dyDescent="0.2"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</row>
    <row r="169" spans="2:93" ht="19.899999999999999" customHeight="1" x14ac:dyDescent="0.2"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</row>
    <row r="170" spans="2:93" ht="19.899999999999999" customHeight="1" x14ac:dyDescent="0.2"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</row>
    <row r="171" spans="2:93" ht="19.899999999999999" customHeight="1" x14ac:dyDescent="0.2"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  <c r="CA171" s="30"/>
      <c r="CB171" s="30"/>
      <c r="CC171" s="30"/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</row>
    <row r="172" spans="2:93" ht="19.899999999999999" customHeight="1" x14ac:dyDescent="0.2"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30"/>
      <c r="CA172" s="30"/>
      <c r="CB172" s="30"/>
      <c r="CC172" s="30"/>
      <c r="CD172" s="30"/>
      <c r="CE172" s="30"/>
      <c r="CF172" s="30"/>
      <c r="CG172" s="30"/>
      <c r="CH172" s="30"/>
      <c r="CI172" s="30"/>
      <c r="CJ172" s="30"/>
      <c r="CK172" s="30"/>
      <c r="CL172" s="30"/>
      <c r="CM172" s="30"/>
      <c r="CN172" s="30"/>
      <c r="CO172" s="30"/>
    </row>
    <row r="173" spans="2:93" ht="19.899999999999999" customHeight="1" x14ac:dyDescent="0.2"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</row>
    <row r="174" spans="2:93" ht="19.899999999999999" customHeight="1" x14ac:dyDescent="0.2"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  <c r="CC174" s="30"/>
      <c r="CD174" s="30"/>
      <c r="CE174" s="30"/>
      <c r="CF174" s="30"/>
      <c r="CG174" s="30"/>
      <c r="CH174" s="30"/>
      <c r="CI174" s="30"/>
      <c r="CJ174" s="30"/>
      <c r="CK174" s="30"/>
      <c r="CL174" s="30"/>
      <c r="CM174" s="30"/>
      <c r="CN174" s="30"/>
      <c r="CO174" s="30"/>
    </row>
    <row r="175" spans="2:93" ht="19.899999999999999" customHeight="1" x14ac:dyDescent="0.2"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</row>
    <row r="176" spans="2:93" ht="19.899999999999999" customHeight="1" x14ac:dyDescent="0.2">
      <c r="J176" s="18"/>
      <c r="K176" s="18"/>
      <c r="L176" s="18"/>
      <c r="M176" s="18"/>
      <c r="N176" s="18"/>
      <c r="O176" s="18"/>
      <c r="Z176" s="18"/>
      <c r="AE176" s="18"/>
      <c r="AG176" s="18"/>
      <c r="AH176" s="18"/>
      <c r="AI176" s="18"/>
      <c r="AJ176" s="18"/>
      <c r="AK176" s="18"/>
      <c r="AL176" s="18"/>
    </row>
    <row r="177" s="18" customFormat="1" ht="19.899999999999999" customHeight="1" x14ac:dyDescent="0.2"/>
    <row r="178" s="18" customFormat="1" ht="19.899999999999999" customHeight="1" x14ac:dyDescent="0.2"/>
    <row r="179" s="18" customFormat="1" ht="19.899999999999999" customHeight="1" x14ac:dyDescent="0.2"/>
    <row r="180" s="18" customFormat="1" ht="19.899999999999999" customHeight="1" x14ac:dyDescent="0.2"/>
    <row r="181" s="18" customFormat="1" ht="19.899999999999999" customHeight="1" x14ac:dyDescent="0.2"/>
    <row r="182" s="18" customFormat="1" ht="19.899999999999999" customHeight="1" x14ac:dyDescent="0.2"/>
    <row r="183" s="18" customFormat="1" ht="19.899999999999999" customHeight="1" x14ac:dyDescent="0.2"/>
    <row r="184" s="18" customFormat="1" ht="19.899999999999999" customHeight="1" x14ac:dyDescent="0.2"/>
    <row r="185" s="18" customFormat="1" ht="19.899999999999999" customHeight="1" x14ac:dyDescent="0.2"/>
    <row r="186" s="18" customFormat="1" ht="19.899999999999999" customHeight="1" x14ac:dyDescent="0.2"/>
  </sheetData>
  <sortState xmlns:xlrd2="http://schemas.microsoft.com/office/spreadsheetml/2017/richdata2" ref="B5:AS38">
    <sortCondition descending="1" ref="D5:D38"/>
    <sortCondition descending="1" ref="C5:C38"/>
  </sortState>
  <mergeCells count="50">
    <mergeCell ref="C3:C4"/>
    <mergeCell ref="AL3:AM3"/>
    <mergeCell ref="A3:A4"/>
    <mergeCell ref="J3:J4"/>
    <mergeCell ref="G3:G4"/>
    <mergeCell ref="H3:H4"/>
    <mergeCell ref="P3:Q3"/>
    <mergeCell ref="R3:S3"/>
    <mergeCell ref="AT3:AU3"/>
    <mergeCell ref="AN3:AO3"/>
    <mergeCell ref="X2:AF2"/>
    <mergeCell ref="AG2:AK2"/>
    <mergeCell ref="AL2:AY2"/>
    <mergeCell ref="AF3:AF4"/>
    <mergeCell ref="AJ3:AJ4"/>
    <mergeCell ref="AV3:AW3"/>
    <mergeCell ref="AX3:AY3"/>
    <mergeCell ref="AK3:AK4"/>
    <mergeCell ref="AB3:AB4"/>
    <mergeCell ref="AA3:AA4"/>
    <mergeCell ref="K1:AY1"/>
    <mergeCell ref="A1:J1"/>
    <mergeCell ref="AR3:AS3"/>
    <mergeCell ref="AH3:AH4"/>
    <mergeCell ref="AI3:AI4"/>
    <mergeCell ref="AE3:AE4"/>
    <mergeCell ref="Y3:Y4"/>
    <mergeCell ref="AC3:AC4"/>
    <mergeCell ref="V2:W2"/>
    <mergeCell ref="V3:V4"/>
    <mergeCell ref="W3:W4"/>
    <mergeCell ref="AP3:AQ3"/>
    <mergeCell ref="B3:B4"/>
    <mergeCell ref="C2:J2"/>
    <mergeCell ref="AG3:AG4"/>
    <mergeCell ref="F3:F4"/>
    <mergeCell ref="P2:U2"/>
    <mergeCell ref="T3:U3"/>
    <mergeCell ref="E3:E4"/>
    <mergeCell ref="D3:D4"/>
    <mergeCell ref="AD3:AD4"/>
    <mergeCell ref="X3:X4"/>
    <mergeCell ref="Z3:Z4"/>
    <mergeCell ref="I3:I4"/>
    <mergeCell ref="K2:O2"/>
    <mergeCell ref="L3:L4"/>
    <mergeCell ref="M3:M4"/>
    <mergeCell ref="K3:K4"/>
    <mergeCell ref="N3:N4"/>
    <mergeCell ref="O3:O4"/>
  </mergeCells>
  <phoneticPr fontId="2" type="noConversion"/>
  <conditionalFormatting sqref="C5:C89">
    <cfRule type="colorScale" priority="4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47:C1048576 C3:C89">
    <cfRule type="colorScale" priority="4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5:D89">
    <cfRule type="colorScale" priority="2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5:E89">
    <cfRule type="colorScale" priority="4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03:E103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47:E1048576 D3:E3 D4 D5:E89">
    <cfRule type="colorScale" priority="4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5:E89">
    <cfRule type="colorScale" priority="2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03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47:F1048576 F3:F89">
    <cfRule type="colorScale" priority="4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3:G4">
    <cfRule type="colorScale" priority="4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03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47:G1048576 G3:G89">
    <cfRule type="colorScale" priority="398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4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03"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47:H1048576 H3:H89">
    <cfRule type="colorScale" priority="4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03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47:I1048576 I3:I89">
    <cfRule type="colorScale" priority="4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03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247:J1048576 J2:J102">
    <cfRule type="colorScale" priority="1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247:O1048576 J3:O3 J4 J5:O89">
    <cfRule type="colorScale" priority="4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03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247:K1048576 K2:K102">
    <cfRule type="colorScale" priority="10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103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247:L1048576 L2:L102">
    <cfRule type="colorScale" priority="1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103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247:M1048576 M2:M102">
    <cfRule type="colorScale" priority="1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247:N1048576 N2:N102">
    <cfRule type="colorScale" priority="1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103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247:O1048576 O2:O102">
    <cfRule type="colorScale" priority="1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5:P89">
    <cfRule type="colorScale" priority="2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247:P1048576 P3:P4">
    <cfRule type="colorScale" priority="4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5:Q89">
    <cfRule type="colorScale" priority="2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47:Q1048576 Q3:Q4">
    <cfRule type="colorScale" priority="4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5:R89">
    <cfRule type="colorScale" priority="2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247:R1048576 R3:R4">
    <cfRule type="colorScale" priority="4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5:S89">
    <cfRule type="colorScale" priority="2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247:S1048576 S3:S4">
    <cfRule type="colorScale" priority="3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5:T89">
    <cfRule type="colorScale" priority="2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47:T1048576 T3">
    <cfRule type="colorScale" priority="7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5:U89">
    <cfRule type="colorScale" priority="2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03:V103 P103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5:W89">
    <cfRule type="colorScale" priority="2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247:W1048576">
    <cfRule type="colorScale" priority="4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5:V89">
    <cfRule type="colorScale" priority="2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5:W89">
    <cfRule type="colorScale" priority="2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03:X103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5:X89">
    <cfRule type="colorScale" priority="2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247:Y1048576 X3:Y3 X4">
    <cfRule type="colorScale" priority="6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5:Y89">
    <cfRule type="colorScale" priority="2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03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5:Z89">
    <cfRule type="colorScale" priority="2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03:AA103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247:AB1048576 AA3:AA4">
    <cfRule type="colorScale" priority="4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5:AA89">
    <cfRule type="colorScale" priority="2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5:AB89">
    <cfRule type="colorScale" priority="2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103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5:AC89">
    <cfRule type="colorScale" priority="2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103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247:AC1048576 AB3:AB4">
    <cfRule type="colorScale" priority="8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5:AD89">
    <cfRule type="colorScale" priority="2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103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247:AD1048576">
    <cfRule type="colorScale" priority="8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5:AE89">
    <cfRule type="colorScale" priority="2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103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247:AE1048576 AE3:AE4">
    <cfRule type="colorScale" priority="8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5:AF89">
    <cfRule type="colorScale" priority="2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103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247:AF1048576 AF3:AF4">
    <cfRule type="colorScale" priority="8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5:AG89">
    <cfRule type="colorScale" priority="2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103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247:AG1048576 AG3:AG4">
    <cfRule type="colorScale" priority="8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5:AH89">
    <cfRule type="colorScale" priority="2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103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247:AH1048576 AH3:AH4">
    <cfRule type="colorScale" priority="8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I5:AI89">
    <cfRule type="colorScale" priority="2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I90:AI100">
    <cfRule type="colorScale" priority="8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I103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I247:AK1048576 AI3:AI4">
    <cfRule type="colorScale" priority="8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J5:AJ101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J90:AJ100">
    <cfRule type="colorScale" priority="8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J103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J5:AK89">
    <cfRule type="colorScale" priority="2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K5:AK101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L5:AL89">
    <cfRule type="colorScale" priority="2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L103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L247:AL1048576 AJ3:AK3 AJ4">
    <cfRule type="colorScale" priority="3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M5:AM89">
    <cfRule type="colorScale" priority="2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M103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M247:AM1048576 AL3:AL4">
    <cfRule type="colorScale" priority="4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N5:AN89">
    <cfRule type="colorScale" priority="2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N103:AO103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N247:AO1048576 AM3:AM4">
    <cfRule type="colorScale" priority="4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O5:AO89">
    <cfRule type="colorScale" priority="2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P5:AP89">
    <cfRule type="colorScale" priority="2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P103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P247:AP1048576 AN3:AN4">
    <cfRule type="colorScale" priority="6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Q5:AQ89">
    <cfRule type="colorScale" priority="2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Q103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Q247:AT1048576 AO3:AP3 AR3 AO4:AR4">
    <cfRule type="colorScale" priority="7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R5:AR89">
    <cfRule type="colorScale" priority="2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R103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S5:AS89">
    <cfRule type="colorScale" priority="2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U247:AU1048576 AS4">
    <cfRule type="colorScale" priority="3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V4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V247:AV1048576">
    <cfRule type="colorScale" priority="3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W4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W247:AW1048576 AW90:AW102 AQ3:AQ89">
    <cfRule type="colorScale" priority="1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W247:AW1048576">
    <cfRule type="colorScale" priority="6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X4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X5:AX10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Y4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Y5:AY10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Z90:AZ101 AT5:AT89">
    <cfRule type="colorScale" priority="1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A90:BA101 AU5:AU89">
    <cfRule type="colorScale" priority="1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B90:BB101 AV4:AV89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C90:BC101 AW5:AW89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ignoredErrors>
    <ignoredError sqref="G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3F00A-78C5-4817-BE9F-6B9BB25E9B0A}">
  <dimension ref="A1"/>
  <sheetViews>
    <sheetView zoomScaleNormal="100" workbookViewId="0">
      <selection activeCell="J20" sqref="J20"/>
    </sheetView>
  </sheetViews>
  <sheetFormatPr defaultRowHeight="14.25" x14ac:dyDescent="0.2"/>
  <sheetData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8C9B2B-E8E5-4077-B624-3C408D2004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洪彬 张</dc:creator>
  <cp:lastModifiedBy>Viston</cp:lastModifiedBy>
  <dcterms:created xsi:type="dcterms:W3CDTF">2024-06-17T05:44:15Z</dcterms:created>
  <dcterms:modified xsi:type="dcterms:W3CDTF">2026-09-05T21:28:37Z</dcterms:modified>
</cp:coreProperties>
</file>