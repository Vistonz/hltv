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10725\Desktop\hltv\hltv year\"/>
    </mc:Choice>
  </mc:AlternateContent>
  <xr:revisionPtr revIDLastSave="0" documentId="13_ncr:1_{37A8A0F7-6306-4771-A7A4-F8C9BFEEEBB3}" xr6:coauthVersionLast="47" xr6:coauthVersionMax="47" xr10:uidLastSave="{00000000-0000-0000-0000-000000000000}"/>
  <bookViews>
    <workbookView xWindow="-110" yWindow="-110" windowWidth="25820" windowHeight="15500" xr2:uid="{D6D022B8-7FEA-4E40-97AB-9C5C4571D3F3}"/>
  </bookViews>
  <sheets>
    <sheet name="Sheet1" sheetId="1" r:id="rId1"/>
    <sheet name="Sheet2" sheetId="2" r:id="rId2"/>
  </sheets>
  <definedNames>
    <definedName name="_xlnm._FilterDatabase" localSheetId="0" hidden="1">Sheet1!$C$3:$J$4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6" i="1" l="1"/>
  <c r="AK8" i="1"/>
  <c r="AK9" i="1"/>
  <c r="AK10" i="1"/>
  <c r="AK7" i="1"/>
  <c r="AK5" i="1"/>
  <c r="AJ5" i="1"/>
  <c r="AX6" i="1"/>
  <c r="AY6" i="1"/>
  <c r="AX7" i="1"/>
  <c r="AY7" i="1"/>
  <c r="AX8" i="1"/>
  <c r="AY8" i="1"/>
  <c r="AX10" i="1"/>
  <c r="AY10" i="1"/>
  <c r="AX9" i="1"/>
  <c r="AY9" i="1"/>
  <c r="AY5" i="1"/>
  <c r="AX5" i="1"/>
  <c r="AT5" i="1"/>
  <c r="AW6" i="1"/>
  <c r="AW5" i="1"/>
  <c r="AM6" i="1"/>
  <c r="G8" i="1"/>
  <c r="AN10" i="1"/>
  <c r="R10" i="1"/>
  <c r="AD6" i="1"/>
  <c r="AS7" i="1"/>
  <c r="AA5" i="1"/>
  <c r="E7" i="1"/>
  <c r="AH7" i="1"/>
  <c r="AV9" i="1"/>
  <c r="AV5" i="1"/>
  <c r="AR6" i="1"/>
  <c r="Z6" i="1"/>
  <c r="I5" i="1"/>
  <c r="AN7" i="1"/>
  <c r="B5" i="1"/>
  <c r="T8" i="1"/>
  <c r="AO9" i="1"/>
  <c r="AM8" i="1"/>
  <c r="X9" i="1"/>
  <c r="O9" i="1"/>
  <c r="AB8" i="1"/>
  <c r="AR5" i="1"/>
  <c r="AA7" i="1"/>
  <c r="G5" i="1"/>
  <c r="AE6" i="1"/>
  <c r="AD9" i="1"/>
  <c r="AW7" i="1"/>
  <c r="C6" i="1"/>
  <c r="M9" i="1"/>
  <c r="AF7" i="1"/>
  <c r="D5" i="1"/>
  <c r="AI9" i="1"/>
  <c r="G6" i="1"/>
  <c r="AT8" i="1"/>
  <c r="P8" i="1"/>
  <c r="AF6" i="1"/>
  <c r="M10" i="1"/>
  <c r="N8" i="1"/>
  <c r="P9" i="1"/>
  <c r="D7" i="1"/>
  <c r="AE7" i="1"/>
  <c r="E5" i="1"/>
  <c r="Y9" i="1"/>
  <c r="AL5" i="1"/>
  <c r="V10" i="1"/>
  <c r="AW8" i="1"/>
  <c r="Y10" i="1"/>
  <c r="L6" i="1"/>
  <c r="T9" i="1"/>
  <c r="AQ7" i="1"/>
  <c r="AN6" i="1"/>
  <c r="F7" i="1"/>
  <c r="AP9" i="1"/>
  <c r="AM9" i="1"/>
  <c r="AU10" i="1"/>
  <c r="AM7" i="1"/>
  <c r="AR7" i="1"/>
  <c r="AD5" i="1"/>
  <c r="K6" i="1"/>
  <c r="T10" i="1"/>
  <c r="AA8" i="1"/>
  <c r="O6" i="1"/>
  <c r="AE10" i="1"/>
  <c r="I7" i="1"/>
  <c r="O5" i="1"/>
  <c r="AV8" i="1"/>
  <c r="AS6" i="1"/>
  <c r="J8" i="1"/>
  <c r="AD8" i="1"/>
  <c r="T5" i="1"/>
  <c r="AS5" i="1"/>
  <c r="R5" i="1"/>
  <c r="Y7" i="1"/>
  <c r="P7" i="1"/>
  <c r="F6" i="1"/>
  <c r="Q6" i="1"/>
  <c r="C5" i="1"/>
  <c r="G10" i="1"/>
  <c r="X6" i="1"/>
  <c r="AW9" i="1"/>
  <c r="AQ9" i="1"/>
  <c r="AO8" i="1"/>
  <c r="P6" i="1"/>
  <c r="Y6" i="1"/>
  <c r="N6" i="1"/>
  <c r="T6" i="1"/>
  <c r="AQ8" i="1"/>
  <c r="AP7" i="1"/>
  <c r="O8" i="1"/>
  <c r="S5" i="1"/>
  <c r="V5" i="1"/>
  <c r="G9" i="1"/>
  <c r="J6" i="1"/>
  <c r="I10" i="1"/>
  <c r="Y8" i="1"/>
  <c r="AQ6" i="1"/>
  <c r="I8" i="1"/>
  <c r="V6" i="1"/>
  <c r="Z7" i="1"/>
  <c r="N7" i="1"/>
  <c r="AH9" i="1"/>
  <c r="AR9" i="1"/>
  <c r="AH6" i="1"/>
  <c r="AL8" i="1"/>
  <c r="AP10" i="1"/>
  <c r="AC10" i="1"/>
  <c r="AG9" i="1"/>
  <c r="E8" i="1"/>
  <c r="AV6" i="1"/>
  <c r="AW10" i="1"/>
  <c r="R8" i="1"/>
  <c r="AS8" i="1"/>
  <c r="AC8" i="1"/>
  <c r="G7" i="1"/>
  <c r="X8" i="1"/>
  <c r="AU5" i="1"/>
  <c r="AL6" i="1"/>
  <c r="H8" i="1"/>
  <c r="B8" i="1"/>
  <c r="Q8" i="1"/>
  <c r="X5" i="1"/>
  <c r="D6" i="1"/>
  <c r="Q10" i="1"/>
  <c r="W7" i="1"/>
  <c r="AO6" i="1"/>
  <c r="L5" i="1"/>
  <c r="O7" i="1"/>
  <c r="Q9" i="1"/>
  <c r="AV7" i="1"/>
  <c r="AR10" i="1"/>
  <c r="U6" i="1"/>
  <c r="AB5" i="1"/>
  <c r="Z8" i="1"/>
  <c r="N9" i="1"/>
  <c r="H6" i="1"/>
  <c r="AP8" i="1"/>
  <c r="AF8" i="1"/>
  <c r="Y5" i="1"/>
  <c r="AI7" i="1"/>
  <c r="R9" i="1"/>
  <c r="AN5" i="1"/>
  <c r="AT6" i="1"/>
  <c r="AQ5" i="1"/>
  <c r="AH5" i="1"/>
  <c r="AA10" i="1"/>
  <c r="B7" i="1"/>
  <c r="AO5" i="1"/>
  <c r="Q5" i="1"/>
  <c r="AC5" i="1"/>
  <c r="F8" i="1"/>
  <c r="P10" i="1"/>
  <c r="AA6" i="1"/>
  <c r="AQ10" i="1"/>
  <c r="J9" i="1"/>
  <c r="AI8" i="1"/>
  <c r="AD10" i="1"/>
  <c r="X10" i="1"/>
  <c r="AI6" i="1"/>
  <c r="C8" i="1"/>
  <c r="N10" i="1"/>
  <c r="M6" i="1"/>
  <c r="AJ6" i="1"/>
  <c r="Q7" i="1"/>
  <c r="AE8" i="1"/>
  <c r="L9" i="1"/>
  <c r="AM10" i="1"/>
  <c r="AG7" i="1"/>
  <c r="W9" i="1"/>
  <c r="N5" i="1"/>
  <c r="AT7" i="1"/>
  <c r="U5" i="1"/>
  <c r="AG5" i="1"/>
  <c r="AC7" i="1"/>
  <c r="AC6" i="1"/>
  <c r="AG10" i="1"/>
  <c r="U7" i="1"/>
  <c r="K8" i="1"/>
  <c r="AC9" i="1"/>
  <c r="AS9" i="1"/>
  <c r="AP5" i="1"/>
  <c r="H10" i="1"/>
  <c r="AG6" i="1"/>
  <c r="AA9" i="1"/>
  <c r="Z9" i="1"/>
  <c r="L7" i="1"/>
  <c r="F5" i="1"/>
  <c r="S9" i="1"/>
  <c r="AL9" i="1"/>
  <c r="AH8" i="1"/>
  <c r="E6" i="1"/>
  <c r="Z10" i="1"/>
  <c r="AJ8" i="1"/>
  <c r="L8" i="1"/>
  <c r="AH10" i="1"/>
  <c r="M5" i="1"/>
  <c r="Z5" i="1"/>
  <c r="U10" i="1"/>
  <c r="H5" i="1"/>
  <c r="C9" i="1"/>
  <c r="O10" i="1"/>
  <c r="AN9" i="1"/>
  <c r="AM5" i="1"/>
  <c r="D9" i="1"/>
  <c r="AU9" i="1"/>
  <c r="AN8" i="1"/>
  <c r="AF5" i="1"/>
  <c r="AI10" i="1"/>
  <c r="W10" i="1"/>
  <c r="R7" i="1"/>
  <c r="AV10" i="1"/>
  <c r="AE9" i="1"/>
  <c r="F9" i="1"/>
  <c r="K5" i="1"/>
  <c r="AS10" i="1"/>
  <c r="AO7" i="1"/>
  <c r="C7" i="1"/>
  <c r="U9" i="1"/>
  <c r="P5" i="1"/>
  <c r="D8" i="1"/>
  <c r="C10" i="1"/>
  <c r="AB6" i="1"/>
  <c r="AT9" i="1"/>
  <c r="M8" i="1"/>
  <c r="J5" i="1"/>
  <c r="S7" i="1"/>
  <c r="AO10" i="1"/>
  <c r="S8" i="1"/>
  <c r="E10" i="1"/>
  <c r="AU8" i="1"/>
  <c r="AF9" i="1"/>
  <c r="V7" i="1"/>
  <c r="AJ9" i="1"/>
  <c r="H9" i="1"/>
  <c r="W8" i="1"/>
  <c r="AL7" i="1"/>
  <c r="S6" i="1"/>
  <c r="X7" i="1"/>
  <c r="U8" i="1"/>
  <c r="D10" i="1"/>
  <c r="W5" i="1"/>
  <c r="H7" i="1"/>
  <c r="K9" i="1"/>
  <c r="AJ7" i="1"/>
  <c r="AI5" i="1"/>
  <c r="K10" i="1"/>
  <c r="K7" i="1"/>
  <c r="W6" i="1"/>
  <c r="AJ10" i="1"/>
  <c r="M7" i="1"/>
  <c r="F10" i="1"/>
  <c r="V9" i="1"/>
  <c r="AE5" i="1"/>
  <c r="AB7" i="1"/>
  <c r="I6" i="1"/>
  <c r="L10" i="1"/>
  <c r="S10" i="1"/>
  <c r="B9" i="1"/>
  <c r="T7" i="1"/>
  <c r="AU7" i="1"/>
  <c r="AU6" i="1"/>
  <c r="AB9" i="1"/>
  <c r="AT10" i="1"/>
  <c r="I9" i="1"/>
  <c r="AG8" i="1"/>
  <c r="AD7" i="1"/>
  <c r="AL10" i="1"/>
  <c r="AR8" i="1"/>
  <c r="B6" i="1"/>
  <c r="J10" i="1"/>
  <c r="R6" i="1"/>
  <c r="J7" i="1"/>
  <c r="E9" i="1"/>
  <c r="AB10" i="1"/>
  <c r="V8" i="1"/>
  <c r="AP6" i="1"/>
  <c r="B10" i="1"/>
  <c r="AF10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E53874-6319-4CB0-97D2-89F4A35A5C11}" keepAlive="1" name="查询 - 表1" description="与工作簿中“表1”查询的连接。" type="5" refreshedVersion="0" background="1">
    <dbPr connection="Provider=Microsoft.Mashup.OleDb.1;Data Source=$Workbook$;Location=表1;Extended Properties=&quot;&quot;" command="SELECT * FROM [表1]"/>
  </connection>
</connections>
</file>

<file path=xl/sharedStrings.xml><?xml version="1.0" encoding="utf-8"?>
<sst xmlns="http://schemas.openxmlformats.org/spreadsheetml/2006/main" count="168" uniqueCount="151">
  <si>
    <t>选手</t>
    <phoneticPr fontId="2" type="noConversion"/>
  </si>
  <si>
    <t>图池数</t>
    <phoneticPr fontId="2" type="noConversion"/>
  </si>
  <si>
    <t>rating</t>
    <phoneticPr fontId="2" type="noConversion"/>
  </si>
  <si>
    <t>KPR</t>
    <phoneticPr fontId="2" type="noConversion"/>
  </si>
  <si>
    <t>DPR</t>
    <phoneticPr fontId="2" type="noConversion"/>
  </si>
  <si>
    <t>ADR</t>
    <phoneticPr fontId="2" type="noConversion"/>
  </si>
  <si>
    <t>VS Top5</t>
    <phoneticPr fontId="2" type="noConversion"/>
  </si>
  <si>
    <t>图池</t>
    <phoneticPr fontId="2" type="noConversion"/>
  </si>
  <si>
    <t>VS Top10</t>
    <phoneticPr fontId="2" type="noConversion"/>
  </si>
  <si>
    <t>手枪局rating</t>
    <phoneticPr fontId="2" type="noConversion"/>
  </si>
  <si>
    <t>0.85+地图rating占比</t>
    <phoneticPr fontId="2" type="noConversion"/>
  </si>
  <si>
    <t>1.00+地图rating占比</t>
    <phoneticPr fontId="2" type="noConversion"/>
  </si>
  <si>
    <t>1.15+地图rating占比</t>
    <phoneticPr fontId="2" type="noConversion"/>
  </si>
  <si>
    <t>1.30+地图rating占比</t>
    <phoneticPr fontId="2" type="noConversion"/>
  </si>
  <si>
    <t>图池</t>
    <phoneticPr fontId="2" type="noConversion"/>
  </si>
  <si>
    <t>rating</t>
    <phoneticPr fontId="2" type="noConversion"/>
  </si>
  <si>
    <t>选手ID</t>
  </si>
  <si>
    <t>图池数</t>
  </si>
  <si>
    <t>rating</t>
  </si>
  <si>
    <t>rounds</t>
  </si>
  <si>
    <t>CTrating</t>
  </si>
  <si>
    <t>Trating</t>
  </si>
  <si>
    <t>DPR</t>
  </si>
  <si>
    <t>KAST</t>
  </si>
  <si>
    <t>KPR</t>
  </si>
  <si>
    <t>map vs top5</t>
  </si>
  <si>
    <t>rating vs top5</t>
  </si>
  <si>
    <t>map vs top10</t>
  </si>
  <si>
    <t>rating vs top10</t>
  </si>
  <si>
    <t>0.85+</t>
  </si>
  <si>
    <t>1.00+</t>
  </si>
  <si>
    <t>1.15+</t>
  </si>
  <si>
    <t>1.30+</t>
  </si>
  <si>
    <t>donk</t>
  </si>
  <si>
    <t>ZywOo</t>
  </si>
  <si>
    <t>m0NESY</t>
  </si>
  <si>
    <t>sh1ro</t>
  </si>
  <si>
    <t>KSCERATO</t>
  </si>
  <si>
    <t>big event map</t>
  </si>
  <si>
    <t>big event rating</t>
  </si>
  <si>
    <t>elite event map</t>
  </si>
  <si>
    <t>elite event rating</t>
  </si>
  <si>
    <t>superelite event map</t>
  </si>
  <si>
    <t>supereliteevent rating</t>
  </si>
  <si>
    <t>big event playoff map</t>
  </si>
  <si>
    <t>big event playoff rating</t>
  </si>
  <si>
    <t>superelite event playoff map</t>
  </si>
  <si>
    <t>superelite event playoff rating</t>
  </si>
  <si>
    <t>排名</t>
    <phoneticPr fontId="2" type="noConversion"/>
  </si>
  <si>
    <t>基础数据</t>
    <phoneticPr fontId="2" type="noConversion"/>
  </si>
  <si>
    <t>对阵高水平队伍</t>
    <phoneticPr fontId="2" type="noConversion"/>
  </si>
  <si>
    <t>影响力数据</t>
    <phoneticPr fontId="2" type="noConversion"/>
  </si>
  <si>
    <t>高压状态下表现</t>
    <phoneticPr fontId="2" type="noConversion"/>
  </si>
  <si>
    <t>稳定性与上下限</t>
    <phoneticPr fontId="2" type="noConversion"/>
  </si>
  <si>
    <t>获胜    回合  KPR</t>
    <phoneticPr fontId="2" type="noConversion"/>
  </si>
  <si>
    <t>获胜    回合ADR</t>
    <phoneticPr fontId="2" type="noConversion"/>
  </si>
  <si>
    <t>kill per round win</t>
  </si>
  <si>
    <t>adr win</t>
  </si>
  <si>
    <t>win after first kill</t>
  </si>
  <si>
    <t>save per round lose</t>
  </si>
  <si>
    <t>damage per kill</t>
  </si>
  <si>
    <t>last alive percentage</t>
  </si>
  <si>
    <t>kpr lose</t>
  </si>
  <si>
    <t>adr lose</t>
  </si>
  <si>
    <t>assist kill percentage</t>
  </si>
  <si>
    <t>VS TOP20</t>
    <phoneticPr fontId="2" type="noConversion"/>
  </si>
  <si>
    <t>KD diff</t>
  </si>
  <si>
    <t>map vs top20</t>
  </si>
  <si>
    <t>rating vs top20</t>
  </si>
  <si>
    <t>回合首杀数</t>
  </si>
  <si>
    <t>Rounds with a kill</t>
  </si>
  <si>
    <t>ROunds with a multikill</t>
  </si>
  <si>
    <t>3+kill</t>
  </si>
  <si>
    <t>clutch win</t>
  </si>
  <si>
    <t>clutch point per round</t>
  </si>
  <si>
    <t>traded_kill</t>
  </si>
  <si>
    <t>traded_death</t>
  </si>
  <si>
    <t>flash_assist</t>
  </si>
  <si>
    <t>utility_damage</t>
  </si>
  <si>
    <t>firepower</t>
  </si>
  <si>
    <t>entrying</t>
  </si>
  <si>
    <t>trading</t>
  </si>
  <si>
    <t>opening</t>
  </si>
  <si>
    <t>clutching</t>
  </si>
  <si>
    <t>sniping</t>
  </si>
  <si>
    <t>utility</t>
  </si>
  <si>
    <t>KD差</t>
    <phoneticPr fontId="2" type="noConversion"/>
  </si>
  <si>
    <t>残局 胜利</t>
    <phoneticPr fontId="2" type="noConversion"/>
  </si>
  <si>
    <t>不同阵营数据</t>
    <phoneticPr fontId="2" type="noConversion"/>
  </si>
  <si>
    <t>CT rating</t>
    <phoneticPr fontId="2" type="noConversion"/>
  </si>
  <si>
    <t>T rating</t>
    <phoneticPr fontId="2" type="noConversion"/>
  </si>
  <si>
    <t>traded_death_percentage</t>
  </si>
  <si>
    <t>HS%</t>
  </si>
  <si>
    <t>singlemapwinrating</t>
  </si>
  <si>
    <t>save_teammate</t>
  </si>
  <si>
    <t>saved_by_teammate</t>
  </si>
  <si>
    <t>support_round_percent</t>
  </si>
  <si>
    <t>attack_in_round</t>
  </si>
  <si>
    <t>winrate_1v1</t>
  </si>
  <si>
    <t>livetime_perround</t>
  </si>
  <si>
    <t>snipkill_perround</t>
  </si>
  <si>
    <t>snipkill_percent</t>
  </si>
  <si>
    <t>snipkillround_percent</t>
  </si>
  <si>
    <t>utlility_kill_round</t>
  </si>
  <si>
    <t>throw_flash_perround</t>
  </si>
  <si>
    <t>time_opponent_flashed</t>
  </si>
  <si>
    <t>精英赛事 Elite Event</t>
    <phoneticPr fontId="2" type="noConversion"/>
  </si>
  <si>
    <t>assist_per_round</t>
  </si>
  <si>
    <t>frozen</t>
  </si>
  <si>
    <t>超级精英赛事 Super Elite event</t>
    <phoneticPr fontId="2" type="noConversion"/>
  </si>
  <si>
    <t>场馆赛事     Arena rating</t>
    <phoneticPr fontId="2" type="noConversion"/>
  </si>
  <si>
    <t>击杀   回合    占比</t>
    <phoneticPr fontId="2" type="noConversion"/>
  </si>
  <si>
    <t>首杀    尝试率</t>
    <phoneticPr fontId="2" type="noConversion"/>
  </si>
  <si>
    <t>首杀    成功率</t>
    <phoneticPr fontId="2" type="noConversion"/>
  </si>
  <si>
    <t>回合    首杀</t>
    <phoneticPr fontId="2" type="noConversion"/>
  </si>
  <si>
    <t>多杀   回合   占比</t>
    <phoneticPr fontId="2" type="noConversion"/>
  </si>
  <si>
    <t>大型赛事淘汰赛 Big matches</t>
    <phoneticPr fontId="2" type="noConversion"/>
  </si>
  <si>
    <t>elite event playoff map</t>
  </si>
  <si>
    <t>elite event playoff rating</t>
  </si>
  <si>
    <t>大型赛事    Big Event</t>
    <phoneticPr fontId="2" type="noConversion"/>
  </si>
  <si>
    <t>RS</t>
  </si>
  <si>
    <t>DPR_eco</t>
  </si>
  <si>
    <t>KAST_eco</t>
  </si>
  <si>
    <t>MULTIKILL_eco</t>
  </si>
  <si>
    <t>ADR_eco</t>
  </si>
  <si>
    <t>KPR_eco</t>
  </si>
  <si>
    <t>ea           DPR</t>
    <phoneticPr fontId="2" type="noConversion"/>
  </si>
  <si>
    <t>ea                KAST%</t>
    <phoneticPr fontId="2" type="noConversion"/>
  </si>
  <si>
    <t>ea        多杀Rating</t>
    <phoneticPr fontId="2" type="noConversion"/>
  </si>
  <si>
    <t>ea     ADR</t>
    <phoneticPr fontId="2" type="noConversion"/>
  </si>
  <si>
    <t>ea           KPR</t>
    <phoneticPr fontId="2" type="noConversion"/>
  </si>
  <si>
    <t>KAST%</t>
    <phoneticPr fontId="2" type="noConversion"/>
  </si>
  <si>
    <t>RS%</t>
    <phoneticPr fontId="2" type="noConversion"/>
  </si>
  <si>
    <t>arena rating</t>
  </si>
  <si>
    <t>枪械调整版本的基础数据</t>
    <phoneticPr fontId="2" type="noConversion"/>
  </si>
  <si>
    <t>rating 3.0</t>
    <phoneticPr fontId="2" type="noConversion"/>
  </si>
  <si>
    <t>ADR</t>
  </si>
  <si>
    <t>avg_weaponvalve_perkill</t>
  </si>
  <si>
    <t>首杀尝试</t>
  </si>
  <si>
    <t>首杀成功</t>
  </si>
  <si>
    <t>首杀rating</t>
  </si>
  <si>
    <t>手枪局rating</t>
  </si>
  <si>
    <t>精英赛事淘汰赛 Elite matches</t>
    <phoneticPr fontId="2" type="noConversion"/>
  </si>
  <si>
    <t>大型赛事决赛 Big event Finals</t>
    <phoneticPr fontId="2" type="noConversion"/>
  </si>
  <si>
    <t>左侧的排名非实际排名，仅供参考                                                                                           排名按照rating从高到低排序</t>
    <phoneticPr fontId="2" type="noConversion"/>
  </si>
  <si>
    <t>1.45+地图rating占比</t>
    <phoneticPr fontId="2" type="noConversion"/>
  </si>
  <si>
    <t>1.45+</t>
  </si>
  <si>
    <t>arena map</t>
  </si>
  <si>
    <t>big event final map</t>
  </si>
  <si>
    <t>big event final rating</t>
  </si>
  <si>
    <t>2026 HLTV notable events 数据 made by @Viston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</si>
</sst>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%"/>
    <numFmt numFmtId="177" formatCode="0.0"/>
    <numFmt numFmtId="178" formatCode="0.000"/>
    <numFmt numFmtId="179" formatCode="0.0_);[Red]\(0.0\)"/>
    <numFmt numFmtId="180" formatCode="0.00_);[Red]\(0.00\)"/>
  </numFmts>
  <fonts count="9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49">
    <xf numFmtId="0" fontId="0" fillId="0" borderId="0" xfId="0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2" fontId="6" fillId="0" borderId="1" xfId="0" applyNumberFormat="1" applyFont="1" applyBorder="1" applyAlignment="1">
      <alignment horizontal="center" vertical="center" wrapText="1"/>
    </xf>
    <xf numFmtId="177" fontId="6" fillId="0" borderId="1" xfId="0" applyNumberFormat="1" applyFon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/>
    </xf>
    <xf numFmtId="176" fontId="0" fillId="0" borderId="1" xfId="1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178" fontId="0" fillId="0" borderId="1" xfId="0" applyNumberForma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79" fontId="6" fillId="0" borderId="1" xfId="1" applyNumberFormat="1" applyFont="1" applyBorder="1" applyAlignment="1">
      <alignment horizontal="center" vertical="center" wrapText="1"/>
    </xf>
    <xf numFmtId="179" fontId="0" fillId="0" borderId="1" xfId="0" applyNumberFormat="1" applyBorder="1" applyAlignment="1">
      <alignment horizontal="center" vertical="center"/>
    </xf>
    <xf numFmtId="180" fontId="6" fillId="0" borderId="1" xfId="1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179" fontId="6" fillId="0" borderId="6" xfId="1" applyNumberFormat="1" applyFont="1" applyBorder="1" applyAlignment="1">
      <alignment horizontal="center" vertical="center" wrapText="1"/>
    </xf>
    <xf numFmtId="179" fontId="0" fillId="0" borderId="6" xfId="1" applyNumberFormat="1" applyFont="1" applyBorder="1" applyAlignment="1">
      <alignment horizontal="center" vertical="center"/>
    </xf>
    <xf numFmtId="180" fontId="0" fillId="0" borderId="1" xfId="1" applyNumberFormat="1" applyFont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179" fontId="0" fillId="0" borderId="0" xfId="1" applyNumberFormat="1" applyFont="1" applyAlignment="1">
      <alignment horizontal="center" vertical="center"/>
    </xf>
    <xf numFmtId="180" fontId="0" fillId="0" borderId="0" xfId="1" applyNumberFormat="1" applyFon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76" fontId="3" fillId="0" borderId="7" xfId="1" applyNumberFormat="1" applyFont="1" applyBorder="1" applyAlignment="1">
      <alignment horizontal="center" vertical="center" wrapText="1"/>
    </xf>
    <xf numFmtId="176" fontId="3" fillId="0" borderId="2" xfId="1" applyNumberFormat="1" applyFont="1" applyBorder="1" applyAlignment="1">
      <alignment horizontal="center" vertical="center" wrapText="1"/>
    </xf>
    <xf numFmtId="179" fontId="3" fillId="0" borderId="1" xfId="1" applyNumberFormat="1" applyFont="1" applyBorder="1" applyAlignment="1">
      <alignment horizontal="center" vertical="center" wrapText="1"/>
    </xf>
    <xf numFmtId="180" fontId="3" fillId="0" borderId="1" xfId="1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176" fontId="3" fillId="0" borderId="1" xfId="1" applyNumberFormat="1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79" fontId="3" fillId="0" borderId="1" xfId="0" applyNumberFormat="1" applyFont="1" applyBorder="1" applyAlignment="1">
      <alignment horizontal="center" vertical="center" wrapText="1"/>
    </xf>
    <xf numFmtId="179" fontId="3" fillId="0" borderId="6" xfId="1" applyNumberFormat="1" applyFont="1" applyBorder="1" applyAlignment="1">
      <alignment horizontal="center" vertical="center" wrapText="1"/>
    </xf>
    <xf numFmtId="0" fontId="0" fillId="0" borderId="0" xfId="0" applyAlignment="1"/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D2CDC-A35B-46F5-9264-B306814308BE}">
  <dimension ref="A1:CO188"/>
  <sheetViews>
    <sheetView tabSelected="1" zoomScale="75" zoomScaleNormal="75" workbookViewId="0">
      <selection activeCell="AD19" sqref="AD19"/>
    </sheetView>
  </sheetViews>
  <sheetFormatPr defaultColWidth="5.58203125" defaultRowHeight="19.899999999999999" customHeight="1" x14ac:dyDescent="0.3"/>
  <cols>
    <col min="1" max="1" width="4.08203125" style="18" customWidth="1"/>
    <col min="2" max="2" width="9.08203125" style="18" customWidth="1"/>
    <col min="3" max="3" width="4.33203125" style="18" customWidth="1"/>
    <col min="4" max="4" width="5.58203125" style="18" customWidth="1"/>
    <col min="5" max="5" width="5.75" style="18" customWidth="1"/>
    <col min="6" max="9" width="5.58203125" style="18" customWidth="1"/>
    <col min="10" max="10" width="5.83203125" style="25" customWidth="1"/>
    <col min="11" max="11" width="5.83203125" style="26" customWidth="1"/>
    <col min="12" max="12" width="5.83203125" style="25" customWidth="1"/>
    <col min="13" max="13" width="5.83203125" style="26" customWidth="1"/>
    <col min="14" max="14" width="5.83203125" style="25" customWidth="1"/>
    <col min="15" max="15" width="5.83203125" style="26" customWidth="1"/>
    <col min="16" max="16" width="4.33203125" style="18" customWidth="1"/>
    <col min="17" max="17" width="5.58203125" style="18" customWidth="1"/>
    <col min="18" max="18" width="4.33203125" style="18" customWidth="1"/>
    <col min="19" max="19" width="5.58203125" style="18" customWidth="1"/>
    <col min="20" max="20" width="4.33203125" style="18" customWidth="1"/>
    <col min="21" max="25" width="5.58203125" style="18" customWidth="1"/>
    <col min="26" max="26" width="5.9140625" style="27" customWidth="1"/>
    <col min="27" max="28" width="5.83203125" style="18" customWidth="1"/>
    <col min="29" max="29" width="5.58203125" style="18" customWidth="1"/>
    <col min="30" max="30" width="5.83203125" style="18" customWidth="1"/>
    <col min="31" max="31" width="5.58203125" style="28" customWidth="1"/>
    <col min="32" max="32" width="5.6640625" style="18" customWidth="1"/>
    <col min="33" max="33" width="5.83203125" style="28" customWidth="1"/>
    <col min="34" max="35" width="5.58203125" style="28" customWidth="1"/>
    <col min="36" max="36" width="5.83203125" style="28" customWidth="1"/>
    <col min="37" max="37" width="5.58203125" style="28" customWidth="1"/>
    <col min="38" max="38" width="4.33203125" style="28" customWidth="1"/>
    <col min="39" max="39" width="5.83203125" style="18" customWidth="1"/>
    <col min="40" max="40" width="4.33203125" style="18" customWidth="1"/>
    <col min="41" max="41" width="5.83203125" style="18" customWidth="1"/>
    <col min="42" max="42" width="4.33203125" style="18" customWidth="1"/>
    <col min="43" max="43" width="5.83203125" style="18" customWidth="1"/>
    <col min="44" max="44" width="4.33203125" style="18" customWidth="1"/>
    <col min="45" max="45" width="5.58203125" style="18" customWidth="1"/>
    <col min="46" max="46" width="4.33203125" style="18" customWidth="1"/>
    <col min="47" max="47" width="5.5" style="18" customWidth="1"/>
    <col min="48" max="48" width="4.33203125" style="18" customWidth="1"/>
    <col min="49" max="49" width="5.58203125" style="18"/>
    <col min="50" max="50" width="4.33203125" style="18" customWidth="1"/>
    <col min="51" max="51" width="5.5" style="18" customWidth="1"/>
    <col min="52" max="52" width="4.33203125" style="18" customWidth="1"/>
    <col min="53" max="53" width="5.58203125" style="18"/>
    <col min="54" max="54" width="4.33203125" style="18" customWidth="1"/>
    <col min="55" max="55" width="5.58203125" style="18"/>
    <col min="56" max="56" width="4.33203125" style="18" customWidth="1"/>
    <col min="57" max="16384" width="5.58203125" style="18"/>
  </cols>
  <sheetData>
    <row r="1" spans="1:57" ht="55.5" customHeight="1" x14ac:dyDescent="0.3">
      <c r="A1" s="41" t="s">
        <v>144</v>
      </c>
      <c r="B1" s="42"/>
      <c r="C1" s="42"/>
      <c r="D1" s="42"/>
      <c r="E1" s="42"/>
      <c r="F1" s="42"/>
      <c r="G1" s="42"/>
      <c r="H1" s="42"/>
      <c r="I1" s="42"/>
      <c r="J1" s="42"/>
      <c r="K1" s="40" t="s">
        <v>150</v>
      </c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 s="40"/>
      <c r="AT1" s="40"/>
      <c r="AU1" s="40"/>
      <c r="AV1" s="40"/>
      <c r="AW1" s="40"/>
      <c r="AX1" s="40"/>
      <c r="AY1" s="40"/>
      <c r="AZ1" s="19"/>
      <c r="BA1" s="19"/>
      <c r="BB1" s="19"/>
      <c r="BC1" s="19"/>
      <c r="BD1" s="19"/>
      <c r="BE1" s="19"/>
    </row>
    <row r="2" spans="1:57" ht="30.75" customHeight="1" x14ac:dyDescent="0.3">
      <c r="A2" s="3"/>
      <c r="B2" s="16"/>
      <c r="C2" s="36" t="s">
        <v>49</v>
      </c>
      <c r="D2" s="36"/>
      <c r="E2" s="36"/>
      <c r="F2" s="36"/>
      <c r="G2" s="36"/>
      <c r="H2" s="36"/>
      <c r="I2" s="36"/>
      <c r="J2" s="37"/>
      <c r="K2" s="36" t="s">
        <v>134</v>
      </c>
      <c r="L2" s="36"/>
      <c r="M2" s="36"/>
      <c r="N2" s="36"/>
      <c r="O2" s="36"/>
      <c r="P2" s="36" t="s">
        <v>50</v>
      </c>
      <c r="Q2" s="36"/>
      <c r="R2" s="36"/>
      <c r="S2" s="36"/>
      <c r="T2" s="36"/>
      <c r="U2" s="36"/>
      <c r="V2" s="36" t="s">
        <v>88</v>
      </c>
      <c r="W2" s="36"/>
      <c r="X2" s="37" t="s">
        <v>51</v>
      </c>
      <c r="Y2" s="38"/>
      <c r="Z2" s="38"/>
      <c r="AA2" s="38"/>
      <c r="AB2" s="38"/>
      <c r="AC2" s="38"/>
      <c r="AD2" s="38"/>
      <c r="AE2" s="38"/>
      <c r="AF2" s="39"/>
      <c r="AG2" s="37" t="s">
        <v>53</v>
      </c>
      <c r="AH2" s="38"/>
      <c r="AI2" s="38"/>
      <c r="AJ2" s="38"/>
      <c r="AK2" s="38"/>
      <c r="AL2" s="36" t="s">
        <v>52</v>
      </c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20"/>
      <c r="BA2" s="20"/>
      <c r="BB2" s="20"/>
      <c r="BC2" s="20"/>
      <c r="BD2" s="20"/>
      <c r="BE2" s="20"/>
    </row>
    <row r="3" spans="1:57" ht="48" customHeight="1" x14ac:dyDescent="0.3">
      <c r="A3" s="31" t="s">
        <v>48</v>
      </c>
      <c r="B3" s="31" t="s">
        <v>0</v>
      </c>
      <c r="C3" s="31" t="s">
        <v>1</v>
      </c>
      <c r="D3" s="31" t="s">
        <v>135</v>
      </c>
      <c r="E3" s="31" t="s">
        <v>86</v>
      </c>
      <c r="F3" s="31" t="s">
        <v>3</v>
      </c>
      <c r="G3" s="31" t="s">
        <v>4</v>
      </c>
      <c r="H3" s="31" t="s">
        <v>5</v>
      </c>
      <c r="I3" s="31" t="s">
        <v>132</v>
      </c>
      <c r="J3" s="47" t="s">
        <v>131</v>
      </c>
      <c r="K3" s="35" t="s">
        <v>126</v>
      </c>
      <c r="L3" s="34" t="s">
        <v>127</v>
      </c>
      <c r="M3" s="35" t="s">
        <v>128</v>
      </c>
      <c r="N3" s="34" t="s">
        <v>129</v>
      </c>
      <c r="O3" s="35" t="s">
        <v>130</v>
      </c>
      <c r="P3" s="31" t="s">
        <v>6</v>
      </c>
      <c r="Q3" s="31"/>
      <c r="R3" s="31" t="s">
        <v>8</v>
      </c>
      <c r="S3" s="31"/>
      <c r="T3" s="44" t="s">
        <v>65</v>
      </c>
      <c r="U3" s="44"/>
      <c r="V3" s="44" t="s">
        <v>89</v>
      </c>
      <c r="W3" s="44" t="s">
        <v>90</v>
      </c>
      <c r="X3" s="44" t="s">
        <v>9</v>
      </c>
      <c r="Y3" s="44" t="s">
        <v>54</v>
      </c>
      <c r="Z3" s="46" t="s">
        <v>55</v>
      </c>
      <c r="AA3" s="44" t="s">
        <v>112</v>
      </c>
      <c r="AB3" s="44" t="s">
        <v>113</v>
      </c>
      <c r="AC3" s="31" t="s">
        <v>114</v>
      </c>
      <c r="AD3" s="31" t="s">
        <v>111</v>
      </c>
      <c r="AE3" s="43" t="s">
        <v>115</v>
      </c>
      <c r="AF3" s="31" t="s">
        <v>87</v>
      </c>
      <c r="AG3" s="43" t="s">
        <v>10</v>
      </c>
      <c r="AH3" s="43" t="s">
        <v>11</v>
      </c>
      <c r="AI3" s="43" t="s">
        <v>12</v>
      </c>
      <c r="AJ3" s="43" t="s">
        <v>13</v>
      </c>
      <c r="AK3" s="32" t="s">
        <v>145</v>
      </c>
      <c r="AL3" s="31" t="s">
        <v>119</v>
      </c>
      <c r="AM3" s="31"/>
      <c r="AN3" s="31" t="s">
        <v>106</v>
      </c>
      <c r="AO3" s="31"/>
      <c r="AP3" s="31" t="s">
        <v>109</v>
      </c>
      <c r="AQ3" s="31"/>
      <c r="AR3" s="31" t="s">
        <v>116</v>
      </c>
      <c r="AS3" s="31"/>
      <c r="AT3" s="30" t="s">
        <v>110</v>
      </c>
      <c r="AU3" s="31"/>
      <c r="AV3" s="30" t="s">
        <v>142</v>
      </c>
      <c r="AW3" s="31"/>
      <c r="AX3" s="31" t="s">
        <v>143</v>
      </c>
      <c r="AY3" s="31"/>
      <c r="AZ3" s="29"/>
    </row>
    <row r="4" spans="1:57" ht="27" customHeight="1" x14ac:dyDescent="0.3">
      <c r="A4" s="31"/>
      <c r="B4" s="31"/>
      <c r="C4" s="31"/>
      <c r="D4" s="31"/>
      <c r="E4" s="31"/>
      <c r="F4" s="31"/>
      <c r="G4" s="31"/>
      <c r="H4" s="31"/>
      <c r="I4" s="31"/>
      <c r="J4" s="47"/>
      <c r="K4" s="35"/>
      <c r="L4" s="34"/>
      <c r="M4" s="35"/>
      <c r="N4" s="34"/>
      <c r="O4" s="35"/>
      <c r="P4" s="1" t="s">
        <v>7</v>
      </c>
      <c r="Q4" s="1" t="s">
        <v>2</v>
      </c>
      <c r="R4" s="1" t="s">
        <v>7</v>
      </c>
      <c r="S4" s="1" t="s">
        <v>2</v>
      </c>
      <c r="T4" s="9" t="s">
        <v>7</v>
      </c>
      <c r="U4" s="9" t="s">
        <v>2</v>
      </c>
      <c r="V4" s="44"/>
      <c r="W4" s="44"/>
      <c r="X4" s="44"/>
      <c r="Y4" s="44"/>
      <c r="Z4" s="46"/>
      <c r="AA4" s="44"/>
      <c r="AB4" s="44"/>
      <c r="AC4" s="31"/>
      <c r="AD4" s="45"/>
      <c r="AE4" s="43"/>
      <c r="AF4" s="31"/>
      <c r="AG4" s="43"/>
      <c r="AH4" s="43"/>
      <c r="AI4" s="43"/>
      <c r="AJ4" s="43"/>
      <c r="AK4" s="33"/>
      <c r="AL4" s="1" t="s">
        <v>7</v>
      </c>
      <c r="AM4" s="1" t="s">
        <v>2</v>
      </c>
      <c r="AN4" s="1" t="s">
        <v>7</v>
      </c>
      <c r="AO4" s="1" t="s">
        <v>2</v>
      </c>
      <c r="AP4" s="1" t="s">
        <v>7</v>
      </c>
      <c r="AQ4" s="1" t="s">
        <v>2</v>
      </c>
      <c r="AR4" s="1" t="s">
        <v>14</v>
      </c>
      <c r="AS4" s="1" t="s">
        <v>15</v>
      </c>
      <c r="AT4" s="12" t="s">
        <v>7</v>
      </c>
      <c r="AU4" s="12" t="s">
        <v>2</v>
      </c>
      <c r="AV4" s="1" t="s">
        <v>7</v>
      </c>
      <c r="AW4" s="1" t="s">
        <v>2</v>
      </c>
      <c r="AX4" s="1" t="s">
        <v>7</v>
      </c>
      <c r="AY4" s="1" t="s">
        <v>2</v>
      </c>
    </row>
    <row r="5" spans="1:57" ht="19.899999999999999" customHeight="1" x14ac:dyDescent="0.3">
      <c r="A5" s="2">
        <v>1</v>
      </c>
      <c r="B5" s="9" t="str">
        <f t="shared" ref="B5:B36" ca="1" si="0">INDIRECT(ADDRESS(ROW($B104),COLUMN($B104)))</f>
        <v>donk</v>
      </c>
      <c r="C5" s="4">
        <f t="shared" ref="C5:C36" ca="1" si="1">INDIRECT(ADDRESS(ROW($C104),COLUMN($C104)))</f>
        <v>159</v>
      </c>
      <c r="D5" s="5">
        <f t="shared" ref="D5:D36" ca="1" si="2">INDIRECT(ADDRESS(ROW($D104),COLUMN($D104)))</f>
        <v>1.42</v>
      </c>
      <c r="E5" s="10">
        <f t="shared" ref="E5:E36" ca="1" si="3">INDIRECT(ADDRESS(ROW($V104),COLUMN($V104)))</f>
        <v>954</v>
      </c>
      <c r="F5" s="5">
        <f t="shared" ref="F5:F36" ca="1" si="4">INDIRECT(ADDRESS(ROW($P104),COLUMN($P104)))</f>
        <v>0.93</v>
      </c>
      <c r="G5" s="5">
        <f t="shared" ref="G5:G36" ca="1" si="5">INDIRECT(ADDRESS(ROW($L104),COLUMN($L104)))</f>
        <v>0.66</v>
      </c>
      <c r="H5" s="6">
        <f t="shared" ref="H5:H36" ca="1" si="6">INDIRECT(ADDRESS(ROW($O104),COLUMN($O104)))</f>
        <v>97.1</v>
      </c>
      <c r="I5" s="5">
        <f t="shared" ref="I5:I36" ca="1" si="7">INDIRECT(ADDRESS(ROW($N104),COLUMN($N104)))</f>
        <v>3.4</v>
      </c>
      <c r="J5" s="21">
        <f t="shared" ref="J5:J36" ca="1" si="8">INDIRECT(ADDRESS(ROW($M104),COLUMN($M104)))</f>
        <v>77.599999999999994</v>
      </c>
      <c r="K5" s="15">
        <f t="shared" ref="K5:K36" ca="1" si="9">INDIRECT(ADDRESS(ROW($Q104),COLUMN($Q104)))</f>
        <v>0.72</v>
      </c>
      <c r="L5" s="13">
        <f t="shared" ref="L5:L36" ca="1" si="10">INDIRECT(ADDRESS(ROW($R104),COLUMN($R104)))</f>
        <v>74.3</v>
      </c>
      <c r="M5" s="15">
        <f t="shared" ref="M5:M36" ca="1" si="11">INDIRECT(ADDRESS(ROW($S104),COLUMN($S104)))</f>
        <v>1.43</v>
      </c>
      <c r="N5" s="13">
        <f t="shared" ref="N5:N36" ca="1" si="12">INDIRECT(ADDRESS(ROW($T104),COLUMN($T104)))</f>
        <v>95</v>
      </c>
      <c r="O5" s="15">
        <f t="shared" ref="O5:O36" ca="1" si="13">INDIRECT(ADDRESS(ROW($U104),COLUMN($U104)))</f>
        <v>0.93</v>
      </c>
      <c r="P5" s="3">
        <f t="shared" ref="P5:P36" ca="1" si="14">INDIRECT(ADDRESS(ROW($W104),COLUMN($W104)))</f>
        <v>58</v>
      </c>
      <c r="Q5" s="7">
        <f t="shared" ref="Q5:Q36" ca="1" si="15">INDIRECT(ADDRESS(ROW($X104),COLUMN($X104)))</f>
        <v>1.36</v>
      </c>
      <c r="R5" s="3">
        <f t="shared" ref="R5:R36" ca="1" si="16">INDIRECT(ADDRESS(ROW($Y104),COLUMN($Y104)))</f>
        <v>81</v>
      </c>
      <c r="S5" s="7">
        <f t="shared" ref="S5:S36" ca="1" si="17">INDIRECT(ADDRESS(ROW($Z104),COLUMN($Z104)))</f>
        <v>1.38</v>
      </c>
      <c r="T5" s="3">
        <f t="shared" ref="T5:T36" ca="1" si="18">INDIRECT(ADDRESS(ROW($AA104),COLUMN($AA104)))</f>
        <v>127</v>
      </c>
      <c r="U5" s="7">
        <f t="shared" ref="U5:U36" ca="1" si="19">INDIRECT(ADDRESS(ROW($AB104),COLUMN($AB104)))</f>
        <v>1.38</v>
      </c>
      <c r="V5" s="7">
        <f t="shared" ref="V5:V36" ca="1" si="20">INDIRECT(ADDRESS(ROW($F104),COLUMN($F104)))</f>
        <v>1.35</v>
      </c>
      <c r="W5" s="7">
        <f t="shared" ref="W5:W36" ca="1" si="21">INDIRECT(ADDRESS(ROW($G104),COLUMN($G104)))</f>
        <v>1.49</v>
      </c>
      <c r="X5" s="7">
        <f t="shared" ref="X5:X36" ca="1" si="22">INDIRECT(ADDRESS(ROW($K104),COLUMN($K104)))</f>
        <v>1.57</v>
      </c>
      <c r="Y5" s="7">
        <f t="shared" ref="Y5:Y36" ca="1" si="23">INDIRECT(ADDRESS(ROW($AZ104),COLUMN($AZ104)))</f>
        <v>1.26</v>
      </c>
      <c r="Z5" s="14">
        <f t="shared" ref="Z5:Z36" ca="1" si="24">INDIRECT(ADDRESS(ROW($BA104),COLUMN($BA104)))</f>
        <v>126.4</v>
      </c>
      <c r="AA5" s="8">
        <f t="shared" ref="AA5:AA36" ca="1" si="25">INDIRECT(ADDRESS(ROW($H104),COLUMN($H104)))</f>
        <v>0.28599999999999998</v>
      </c>
      <c r="AB5" s="8">
        <f t="shared" ref="AB5:AB36" ca="1" si="26">INDIRECT(ADDRESS(ROW($I104),COLUMN($I104)))</f>
        <v>0.622</v>
      </c>
      <c r="AC5" s="11">
        <f t="shared" ref="AC5:AC36" ca="1" si="27">INDIRECT(ADDRESS(ROW($AC104),COLUMN($AC104)))</f>
        <v>0.17806670435274169</v>
      </c>
      <c r="AD5" s="8">
        <f t="shared" ref="AD5:AD36" ca="1" si="28">INDIRECT(ADDRESS(ROW($AD104),COLUMN($AD104)))</f>
        <v>0.57009609949123796</v>
      </c>
      <c r="AE5" s="8">
        <f t="shared" ref="AE5:AE36" ca="1" si="29">INDIRECT(ADDRESS(ROW($AE104),COLUMN($AE104)))</f>
        <v>0.25522894290559639</v>
      </c>
      <c r="AF5" s="3">
        <f t="shared" ref="AF5:AF36" ca="1" si="30">INDIRECT(ADDRESS(ROW($AL104),COLUMN($AL104)))</f>
        <v>31</v>
      </c>
      <c r="AG5" s="8">
        <f t="shared" ref="AG5:AG36" ca="1" si="31">INDIRECT(ADDRESS(ROW($AG104),COLUMN($AG104)))/INDIRECT(ADDRESS(ROW($C104),COLUMN($C104)))</f>
        <v>0.9308176100628931</v>
      </c>
      <c r="AH5" s="8">
        <f t="shared" ref="AH5:AH36" ca="1" si="32">INDIRECT(ADDRESS(ROW($AH104),COLUMN($AH104)))/INDIRECT(ADDRESS(ROW($C104),COLUMN($C104)))</f>
        <v>0.89308176100628933</v>
      </c>
      <c r="AI5" s="8">
        <f t="shared" ref="AI5:AI36" ca="1" si="33">INDIRECT(ADDRESS(ROW($AI104),COLUMN($AI104)))/INDIRECT(ADDRESS(ROW($C104),COLUMN($C104)))</f>
        <v>0.79245283018867929</v>
      </c>
      <c r="AJ5" s="8">
        <f ca="1">INDIRECT(ADDRESS(ROW($AJ104),COLUMN($AJ104)))/INDIRECT(ADDRESS(ROW($C104),COLUMN($C104)))</f>
        <v>0.67295597484276726</v>
      </c>
      <c r="AK5" s="8">
        <f ca="1">INDIRECT(ADDRESS(ROW($AK104),COLUMN($AK104)))/INDIRECT(ADDRESS(ROW($C104),COLUMN($C104)))</f>
        <v>0.49056603773584906</v>
      </c>
      <c r="AL5" s="3">
        <f t="shared" ref="AL5:AL36" ca="1" si="34">INDIRECT(ADDRESS(ROW($AN104),COLUMN($AN104)))</f>
        <v>140</v>
      </c>
      <c r="AM5" s="7">
        <f t="shared" ref="AM5:AM36" ca="1" si="35">INDIRECT(ADDRESS(ROW($AO104),COLUMN($AO104)))</f>
        <v>1.41</v>
      </c>
      <c r="AN5" s="3">
        <f t="shared" ref="AN5:AN36" ca="1" si="36">INDIRECT(ADDRESS(ROW($AP104),COLUMN($AP104)))</f>
        <v>70</v>
      </c>
      <c r="AO5" s="7">
        <f t="shared" ref="AO5:AO36" ca="1" si="37">INDIRECT(ADDRESS(ROW($AQ104),COLUMN($AQ104)))</f>
        <v>1.42</v>
      </c>
      <c r="AP5" s="3">
        <f t="shared" ref="AP5:AP36" ca="1" si="38">INDIRECT(ADDRESS(ROW($AR104),COLUMN($AR104)))</f>
        <v>46</v>
      </c>
      <c r="AQ5" s="7">
        <f t="shared" ref="AQ5:AQ36" ca="1" si="39">INDIRECT(ADDRESS(ROW($AS104),COLUMN($AS104)))</f>
        <v>1.48</v>
      </c>
      <c r="AR5" s="3">
        <f t="shared" ref="AR5:AR36" ca="1" si="40">INDIRECT(ADDRESS(ROW($AT104),COLUMN($AT104)))</f>
        <v>59</v>
      </c>
      <c r="AS5" s="7">
        <f t="shared" ref="AS5:AS36" ca="1" si="41">INDIRECT(ADDRESS(ROW($AU104),COLUMN($AU104)))</f>
        <v>1.37</v>
      </c>
      <c r="AT5" s="2">
        <f ca="1">INDIRECT(ADDRESS(ROW($CK104),COLUMN($CK104)))</f>
        <v>34</v>
      </c>
      <c r="AU5" s="17">
        <f t="shared" ref="AU5:AU36" ca="1" si="42">INDIRECT(ADDRESS(ROW($CL104),COLUMN($CL104)))</f>
        <v>1.4</v>
      </c>
      <c r="AV5" s="3">
        <f t="shared" ref="AV5:AV36" ca="1" si="43">INDIRECT(ADDRESS(ROW($AV104),COLUMN($AV104)))</f>
        <v>25</v>
      </c>
      <c r="AW5" s="7">
        <f t="shared" ref="AW5:AW36" ca="1" si="44">INDIRECT(ADDRESS(ROW($AW104),COLUMN($AW104)))</f>
        <v>1.4</v>
      </c>
      <c r="AX5" s="3">
        <f ca="1">INDIRECT(ADDRESS(ROW($CM104),COLUMN($CM104)))</f>
        <v>17</v>
      </c>
      <c r="AY5" s="7">
        <f ca="1">INDIRECT(ADDRESS(ROW($CN104),COLUMN($CN104)))</f>
        <v>1.41</v>
      </c>
    </row>
    <row r="6" spans="1:57" ht="19.899999999999999" customHeight="1" x14ac:dyDescent="0.3">
      <c r="A6" s="2">
        <v>2</v>
      </c>
      <c r="B6" s="9" t="str">
        <f t="shared" ca="1" si="0"/>
        <v>ZywOo</v>
      </c>
      <c r="C6" s="4">
        <f t="shared" ca="1" si="1"/>
        <v>200</v>
      </c>
      <c r="D6" s="5">
        <f t="shared" ca="1" si="2"/>
        <v>1.32</v>
      </c>
      <c r="E6" s="10">
        <f t="shared" ca="1" si="3"/>
        <v>1058</v>
      </c>
      <c r="F6" s="5">
        <f t="shared" ca="1" si="4"/>
        <v>0.83</v>
      </c>
      <c r="G6" s="5">
        <f t="shared" ca="1" si="5"/>
        <v>0.59</v>
      </c>
      <c r="H6" s="6">
        <f t="shared" ca="1" si="6"/>
        <v>87.1</v>
      </c>
      <c r="I6" s="5">
        <f t="shared" ca="1" si="7"/>
        <v>3.42</v>
      </c>
      <c r="J6" s="21">
        <f t="shared" ca="1" si="8"/>
        <v>77.599999999999994</v>
      </c>
      <c r="K6" s="15">
        <f t="shared" ca="1" si="9"/>
        <v>0.64</v>
      </c>
      <c r="L6" s="13">
        <f t="shared" ca="1" si="10"/>
        <v>75.5</v>
      </c>
      <c r="M6" s="15">
        <f t="shared" ca="1" si="11"/>
        <v>1.24</v>
      </c>
      <c r="N6" s="13">
        <f t="shared" ca="1" si="12"/>
        <v>84.3</v>
      </c>
      <c r="O6" s="15">
        <f t="shared" ca="1" si="13"/>
        <v>0.79</v>
      </c>
      <c r="P6" s="3">
        <f t="shared" ca="1" si="14"/>
        <v>63</v>
      </c>
      <c r="Q6" s="7">
        <f t="shared" ca="1" si="15"/>
        <v>1.3</v>
      </c>
      <c r="R6" s="3">
        <f t="shared" ca="1" si="16"/>
        <v>112</v>
      </c>
      <c r="S6" s="7">
        <f t="shared" ca="1" si="17"/>
        <v>1.31</v>
      </c>
      <c r="T6" s="3">
        <f t="shared" ca="1" si="18"/>
        <v>173</v>
      </c>
      <c r="U6" s="7">
        <f t="shared" ca="1" si="19"/>
        <v>1.33</v>
      </c>
      <c r="V6" s="7">
        <f t="shared" ca="1" si="20"/>
        <v>1.31</v>
      </c>
      <c r="W6" s="7">
        <f t="shared" ca="1" si="21"/>
        <v>1.34</v>
      </c>
      <c r="X6" s="7">
        <f t="shared" ca="1" si="22"/>
        <v>1.39</v>
      </c>
      <c r="Y6" s="7">
        <f t="shared" ca="1" si="23"/>
        <v>1.08</v>
      </c>
      <c r="Z6" s="14">
        <f t="shared" ca="1" si="24"/>
        <v>110</v>
      </c>
      <c r="AA6" s="8">
        <f t="shared" ca="1" si="25"/>
        <v>0.214</v>
      </c>
      <c r="AB6" s="8">
        <f t="shared" ca="1" si="26"/>
        <v>0.63500000000000001</v>
      </c>
      <c r="AC6" s="11">
        <f t="shared" ca="1" si="27"/>
        <v>0.1361948955916473</v>
      </c>
      <c r="AD6" s="8">
        <f t="shared" ca="1" si="28"/>
        <v>0.53503480278422277</v>
      </c>
      <c r="AE6" s="8">
        <f t="shared" ca="1" si="29"/>
        <v>0.22088167053364269</v>
      </c>
      <c r="AF6" s="3">
        <f t="shared" ca="1" si="30"/>
        <v>71</v>
      </c>
      <c r="AG6" s="8">
        <f t="shared" ca="1" si="31"/>
        <v>0.93</v>
      </c>
      <c r="AH6" s="8">
        <f t="shared" ca="1" si="32"/>
        <v>0.81</v>
      </c>
      <c r="AI6" s="8">
        <f t="shared" ca="1" si="33"/>
        <v>0.66500000000000004</v>
      </c>
      <c r="AJ6" s="8">
        <f t="shared" ref="AJ5:AJ36" ca="1" si="45">INDIRECT(ADDRESS(ROW($AJ105),COLUMN($AJ105)))/INDIRECT(ADDRESS(ROW($C105),COLUMN($C105)))</f>
        <v>0.57999999999999996</v>
      </c>
      <c r="AK6" s="8">
        <f t="shared" ref="AK6:AK10" ca="1" si="46">INDIRECT(ADDRESS(ROW($AK105),COLUMN($AK105)))/INDIRECT(ADDRESS(ROW($C105),COLUMN($C105)))</f>
        <v>0.40500000000000003</v>
      </c>
      <c r="AL6" s="3">
        <f t="shared" ca="1" si="34"/>
        <v>183</v>
      </c>
      <c r="AM6" s="7">
        <f t="shared" ca="1" si="35"/>
        <v>1.32</v>
      </c>
      <c r="AN6" s="3">
        <f t="shared" ca="1" si="36"/>
        <v>79</v>
      </c>
      <c r="AO6" s="7">
        <f t="shared" ca="1" si="37"/>
        <v>1.34</v>
      </c>
      <c r="AP6" s="3">
        <f t="shared" ca="1" si="38"/>
        <v>46</v>
      </c>
      <c r="AQ6" s="7">
        <f t="shared" ca="1" si="39"/>
        <v>1.32</v>
      </c>
      <c r="AR6" s="3">
        <f t="shared" ca="1" si="40"/>
        <v>97</v>
      </c>
      <c r="AS6" s="7">
        <f t="shared" ca="1" si="41"/>
        <v>1.34</v>
      </c>
      <c r="AT6" s="2">
        <f t="shared" ref="AT5:AT36" ca="1" si="47">INDIRECT(ADDRESS(ROW($CK105),COLUMN($CK105)))</f>
        <v>62</v>
      </c>
      <c r="AU6" s="17">
        <f t="shared" ca="1" si="42"/>
        <v>1.34</v>
      </c>
      <c r="AV6" s="3">
        <f t="shared" ca="1" si="43"/>
        <v>40</v>
      </c>
      <c r="AW6" s="7">
        <f t="shared" ca="1" si="44"/>
        <v>1.32</v>
      </c>
      <c r="AX6" s="3">
        <f t="shared" ref="AX6:AX10" ca="1" si="48">INDIRECT(ADDRESS(ROW($CM105),COLUMN($CM105)))</f>
        <v>42</v>
      </c>
      <c r="AY6" s="7">
        <f t="shared" ref="AY6:AY10" ca="1" si="49">INDIRECT(ADDRESS(ROW($CN105),COLUMN($CN105)))</f>
        <v>1.32</v>
      </c>
    </row>
    <row r="7" spans="1:57" ht="19.5" customHeight="1" x14ac:dyDescent="0.3">
      <c r="A7" s="2">
        <v>3</v>
      </c>
      <c r="B7" s="9" t="str">
        <f t="shared" ca="1" si="0"/>
        <v>m0NESY</v>
      </c>
      <c r="C7" s="4">
        <f t="shared" ca="1" si="1"/>
        <v>180</v>
      </c>
      <c r="D7" s="5">
        <f t="shared" ca="1" si="2"/>
        <v>1.25</v>
      </c>
      <c r="E7" s="10">
        <f t="shared" ca="1" si="3"/>
        <v>877</v>
      </c>
      <c r="F7" s="5">
        <f t="shared" ca="1" si="4"/>
        <v>0.81</v>
      </c>
      <c r="G7" s="5">
        <f t="shared" ca="1" si="5"/>
        <v>0.59</v>
      </c>
      <c r="H7" s="6">
        <f t="shared" ca="1" si="6"/>
        <v>81.5</v>
      </c>
      <c r="I7" s="5">
        <f t="shared" ca="1" si="7"/>
        <v>2.8</v>
      </c>
      <c r="J7" s="21">
        <f t="shared" ca="1" si="8"/>
        <v>76</v>
      </c>
      <c r="K7" s="15">
        <f t="shared" ca="1" si="9"/>
        <v>0.64</v>
      </c>
      <c r="L7" s="13">
        <f t="shared" ca="1" si="10"/>
        <v>73.5</v>
      </c>
      <c r="M7" s="15">
        <f t="shared" ca="1" si="11"/>
        <v>1.2</v>
      </c>
      <c r="N7" s="13">
        <f t="shared" ca="1" si="12"/>
        <v>78.599999999999994</v>
      </c>
      <c r="O7" s="15">
        <f t="shared" ca="1" si="13"/>
        <v>0.76</v>
      </c>
      <c r="P7" s="3">
        <f t="shared" ca="1" si="14"/>
        <v>66</v>
      </c>
      <c r="Q7" s="7">
        <f t="shared" ca="1" si="15"/>
        <v>1.17</v>
      </c>
      <c r="R7" s="3">
        <f t="shared" ca="1" si="16"/>
        <v>104</v>
      </c>
      <c r="S7" s="7">
        <f t="shared" ca="1" si="17"/>
        <v>1.19</v>
      </c>
      <c r="T7" s="3">
        <f t="shared" ca="1" si="18"/>
        <v>148</v>
      </c>
      <c r="U7" s="7">
        <f t="shared" ca="1" si="19"/>
        <v>1.24</v>
      </c>
      <c r="V7" s="7">
        <f t="shared" ca="1" si="20"/>
        <v>1.18</v>
      </c>
      <c r="W7" s="7">
        <f t="shared" ca="1" si="21"/>
        <v>1.32</v>
      </c>
      <c r="X7" s="7">
        <f t="shared" ca="1" si="22"/>
        <v>1.17</v>
      </c>
      <c r="Y7" s="7">
        <f t="shared" ca="1" si="23"/>
        <v>1.0900000000000001</v>
      </c>
      <c r="Z7" s="14">
        <f t="shared" ca="1" si="24"/>
        <v>105.6</v>
      </c>
      <c r="AA7" s="8">
        <f t="shared" ca="1" si="25"/>
        <v>0.215</v>
      </c>
      <c r="AB7" s="8">
        <f t="shared" ca="1" si="26"/>
        <v>0.65300000000000002</v>
      </c>
      <c r="AC7" s="11">
        <f t="shared" ca="1" si="27"/>
        <v>0.1402129817444219</v>
      </c>
      <c r="AD7" s="8">
        <f t="shared" ca="1" si="28"/>
        <v>0.52434077079107511</v>
      </c>
      <c r="AE7" s="8">
        <f t="shared" ca="1" si="29"/>
        <v>0.21222109533468561</v>
      </c>
      <c r="AF7" s="3">
        <f t="shared" ca="1" si="30"/>
        <v>71</v>
      </c>
      <c r="AG7" s="8">
        <f t="shared" ca="1" si="31"/>
        <v>0.87222222222222223</v>
      </c>
      <c r="AH7" s="8">
        <f t="shared" ca="1" si="32"/>
        <v>0.7944444444444444</v>
      </c>
      <c r="AI7" s="8">
        <f t="shared" ca="1" si="33"/>
        <v>0.6</v>
      </c>
      <c r="AJ7" s="8">
        <f t="shared" ca="1" si="45"/>
        <v>0.4777777777777778</v>
      </c>
      <c r="AK7" s="8">
        <f t="shared" ca="1" si="46"/>
        <v>0.36666666666666664</v>
      </c>
      <c r="AL7" s="3">
        <f t="shared" ca="1" si="34"/>
        <v>166</v>
      </c>
      <c r="AM7" s="7">
        <f t="shared" ca="1" si="35"/>
        <v>1.26</v>
      </c>
      <c r="AN7" s="3">
        <f t="shared" ca="1" si="36"/>
        <v>47</v>
      </c>
      <c r="AO7" s="7">
        <f t="shared" ca="1" si="37"/>
        <v>1.1499999999999999</v>
      </c>
      <c r="AP7" s="3">
        <f t="shared" ca="1" si="38"/>
        <v>26</v>
      </c>
      <c r="AQ7" s="7">
        <f t="shared" ca="1" si="39"/>
        <v>1.08</v>
      </c>
      <c r="AR7" s="3">
        <f t="shared" ca="1" si="40"/>
        <v>66</v>
      </c>
      <c r="AS7" s="7">
        <f t="shared" ca="1" si="41"/>
        <v>1.21</v>
      </c>
      <c r="AT7" s="2">
        <f t="shared" ca="1" si="47"/>
        <v>27</v>
      </c>
      <c r="AU7" s="17">
        <f t="shared" ca="1" si="42"/>
        <v>1.18</v>
      </c>
      <c r="AV7" s="3">
        <f t="shared" ca="1" si="43"/>
        <v>6</v>
      </c>
      <c r="AW7" s="7">
        <f t="shared" ca="1" si="44"/>
        <v>0.95</v>
      </c>
      <c r="AX7" s="3">
        <f t="shared" ca="1" si="48"/>
        <v>20</v>
      </c>
      <c r="AY7" s="7">
        <f t="shared" ca="1" si="49"/>
        <v>1.17</v>
      </c>
    </row>
    <row r="8" spans="1:57" ht="19.5" customHeight="1" x14ac:dyDescent="0.3">
      <c r="A8" s="2">
        <v>4</v>
      </c>
      <c r="B8" s="9" t="str">
        <f t="shared" ca="1" si="0"/>
        <v>sh1ro</v>
      </c>
      <c r="C8" s="4">
        <f t="shared" ca="1" si="1"/>
        <v>159</v>
      </c>
      <c r="D8" s="5">
        <f t="shared" ca="1" si="2"/>
        <v>1.2</v>
      </c>
      <c r="E8" s="10">
        <f t="shared" ca="1" si="3"/>
        <v>884</v>
      </c>
      <c r="F8" s="5">
        <f t="shared" ca="1" si="4"/>
        <v>0.79</v>
      </c>
      <c r="G8" s="5">
        <f t="shared" ca="1" si="5"/>
        <v>0.54</v>
      </c>
      <c r="H8" s="6">
        <f t="shared" ca="1" si="6"/>
        <v>79.400000000000006</v>
      </c>
      <c r="I8" s="5">
        <f t="shared" ca="1" si="7"/>
        <v>2.2599999999999998</v>
      </c>
      <c r="J8" s="21">
        <f t="shared" ca="1" si="8"/>
        <v>76.900000000000006</v>
      </c>
      <c r="K8" s="15">
        <f t="shared" ca="1" si="9"/>
        <v>0.59</v>
      </c>
      <c r="L8" s="13">
        <f t="shared" ca="1" si="10"/>
        <v>73.900000000000006</v>
      </c>
      <c r="M8" s="15">
        <f t="shared" ca="1" si="11"/>
        <v>1.07</v>
      </c>
      <c r="N8" s="13">
        <f t="shared" ca="1" si="12"/>
        <v>76</v>
      </c>
      <c r="O8" s="15">
        <f t="shared" ca="1" si="13"/>
        <v>0.73</v>
      </c>
      <c r="P8" s="3">
        <f t="shared" ca="1" si="14"/>
        <v>58</v>
      </c>
      <c r="Q8" s="7">
        <f t="shared" ca="1" si="15"/>
        <v>1.1000000000000001</v>
      </c>
      <c r="R8" s="3">
        <f t="shared" ca="1" si="16"/>
        <v>81</v>
      </c>
      <c r="S8" s="7">
        <f t="shared" ca="1" si="17"/>
        <v>1.1100000000000001</v>
      </c>
      <c r="T8" s="3">
        <f t="shared" ca="1" si="18"/>
        <v>127</v>
      </c>
      <c r="U8" s="7">
        <f t="shared" ca="1" si="19"/>
        <v>1.17</v>
      </c>
      <c r="V8" s="7">
        <f t="shared" ca="1" si="20"/>
        <v>1.19</v>
      </c>
      <c r="W8" s="7">
        <f t="shared" ca="1" si="21"/>
        <v>1.22</v>
      </c>
      <c r="X8" s="7">
        <f t="shared" ca="1" si="22"/>
        <v>1.21</v>
      </c>
      <c r="Y8" s="7">
        <f t="shared" ca="1" si="23"/>
        <v>1.01</v>
      </c>
      <c r="Z8" s="14">
        <f t="shared" ca="1" si="24"/>
        <v>99.2</v>
      </c>
      <c r="AA8" s="8">
        <f t="shared" ca="1" si="25"/>
        <v>0.161</v>
      </c>
      <c r="AB8" s="8">
        <f t="shared" ca="1" si="26"/>
        <v>0.68299999999999994</v>
      </c>
      <c r="AC8" s="11">
        <f t="shared" ca="1" si="27"/>
        <v>0.10966647823629171</v>
      </c>
      <c r="AD8" s="8">
        <f t="shared" ca="1" si="28"/>
        <v>0.53476540418315432</v>
      </c>
      <c r="AE8" s="8">
        <f t="shared" ca="1" si="29"/>
        <v>0.19502543810062181</v>
      </c>
      <c r="AF8" s="3">
        <f t="shared" ca="1" si="30"/>
        <v>62</v>
      </c>
      <c r="AG8" s="8">
        <f t="shared" ca="1" si="31"/>
        <v>0.89308176100628933</v>
      </c>
      <c r="AH8" s="8">
        <f t="shared" ca="1" si="32"/>
        <v>0.75471698113207553</v>
      </c>
      <c r="AI8" s="8">
        <f t="shared" ca="1" si="33"/>
        <v>0.59748427672955973</v>
      </c>
      <c r="AJ8" s="8">
        <f t="shared" ca="1" si="45"/>
        <v>0.44654088050314467</v>
      </c>
      <c r="AK8" s="8">
        <f t="shared" ca="1" si="46"/>
        <v>0.2389937106918239</v>
      </c>
      <c r="AL8" s="3">
        <f t="shared" ca="1" si="34"/>
        <v>140</v>
      </c>
      <c r="AM8" s="7">
        <f t="shared" ca="1" si="35"/>
        <v>1.19</v>
      </c>
      <c r="AN8" s="3">
        <f t="shared" ca="1" si="36"/>
        <v>70</v>
      </c>
      <c r="AO8" s="7">
        <f t="shared" ca="1" si="37"/>
        <v>1.1599999999999999</v>
      </c>
      <c r="AP8" s="3">
        <f t="shared" ca="1" si="38"/>
        <v>46</v>
      </c>
      <c r="AQ8" s="7">
        <f t="shared" ca="1" si="39"/>
        <v>1.1000000000000001</v>
      </c>
      <c r="AR8" s="3">
        <f t="shared" ca="1" si="40"/>
        <v>59</v>
      </c>
      <c r="AS8" s="7">
        <f t="shared" ca="1" si="41"/>
        <v>1.1200000000000001</v>
      </c>
      <c r="AT8" s="2">
        <f t="shared" ca="1" si="47"/>
        <v>34</v>
      </c>
      <c r="AU8" s="17">
        <f t="shared" ca="1" si="42"/>
        <v>1.06</v>
      </c>
      <c r="AV8" s="3">
        <f t="shared" ca="1" si="43"/>
        <v>25</v>
      </c>
      <c r="AW8" s="7">
        <f t="shared" ca="1" si="44"/>
        <v>1.03</v>
      </c>
      <c r="AX8" s="3">
        <f t="shared" ca="1" si="48"/>
        <v>17</v>
      </c>
      <c r="AY8" s="7">
        <f t="shared" ca="1" si="49"/>
        <v>1.1299999999999999</v>
      </c>
    </row>
    <row r="9" spans="1:57" ht="19.5" customHeight="1" x14ac:dyDescent="0.3">
      <c r="A9" s="2">
        <v>5</v>
      </c>
      <c r="B9" s="9" t="str">
        <f t="shared" ca="1" si="0"/>
        <v>KSCERATO</v>
      </c>
      <c r="C9" s="4">
        <f t="shared" ca="1" si="1"/>
        <v>216</v>
      </c>
      <c r="D9" s="5">
        <f t="shared" ca="1" si="2"/>
        <v>1.2</v>
      </c>
      <c r="E9" s="10">
        <f t="shared" ca="1" si="3"/>
        <v>560</v>
      </c>
      <c r="F9" s="5">
        <f t="shared" ca="1" si="4"/>
        <v>0.73</v>
      </c>
      <c r="G9" s="5">
        <f t="shared" ca="1" si="5"/>
        <v>0.61</v>
      </c>
      <c r="H9" s="6">
        <f t="shared" ca="1" si="6"/>
        <v>82</v>
      </c>
      <c r="I9" s="5">
        <f t="shared" ca="1" si="7"/>
        <v>1.68</v>
      </c>
      <c r="J9" s="21">
        <f t="shared" ca="1" si="8"/>
        <v>76.400000000000006</v>
      </c>
      <c r="K9" s="15">
        <f t="shared" ca="1" si="9"/>
        <v>0.63</v>
      </c>
      <c r="L9" s="13">
        <f t="shared" ca="1" si="10"/>
        <v>73.900000000000006</v>
      </c>
      <c r="M9" s="15">
        <f t="shared" ca="1" si="11"/>
        <v>1.1499999999999999</v>
      </c>
      <c r="N9" s="13">
        <f t="shared" ca="1" si="12"/>
        <v>82</v>
      </c>
      <c r="O9" s="15">
        <f t="shared" ca="1" si="13"/>
        <v>0.74</v>
      </c>
      <c r="P9" s="3">
        <f t="shared" ca="1" si="14"/>
        <v>47</v>
      </c>
      <c r="Q9" s="7">
        <f t="shared" ca="1" si="15"/>
        <v>1.1100000000000001</v>
      </c>
      <c r="R9" s="3">
        <f t="shared" ca="1" si="16"/>
        <v>93</v>
      </c>
      <c r="S9" s="7">
        <f t="shared" ca="1" si="17"/>
        <v>1.1499999999999999</v>
      </c>
      <c r="T9" s="3">
        <f t="shared" ca="1" si="18"/>
        <v>155</v>
      </c>
      <c r="U9" s="7">
        <f t="shared" ca="1" si="19"/>
        <v>1.17</v>
      </c>
      <c r="V9" s="7">
        <f t="shared" ca="1" si="20"/>
        <v>1.19</v>
      </c>
      <c r="W9" s="7">
        <f t="shared" ca="1" si="21"/>
        <v>1.21</v>
      </c>
      <c r="X9" s="7">
        <f t="shared" ca="1" si="22"/>
        <v>1.1499999999999999</v>
      </c>
      <c r="Y9" s="7">
        <f t="shared" ca="1" si="23"/>
        <v>0.97</v>
      </c>
      <c r="Z9" s="14">
        <f t="shared" ca="1" si="24"/>
        <v>102.1</v>
      </c>
      <c r="AA9" s="8">
        <f t="shared" ca="1" si="25"/>
        <v>0.184</v>
      </c>
      <c r="AB9" s="8">
        <f t="shared" ca="1" si="26"/>
        <v>0.54299999999999993</v>
      </c>
      <c r="AC9" s="11">
        <f t="shared" ca="1" si="27"/>
        <v>0.1000638705556738</v>
      </c>
      <c r="AD9" s="8">
        <f t="shared" ca="1" si="28"/>
        <v>0.48392591015541842</v>
      </c>
      <c r="AE9" s="8">
        <f t="shared" ca="1" si="29"/>
        <v>0.18352139663615069</v>
      </c>
      <c r="AF9" s="3">
        <f t="shared" ca="1" si="30"/>
        <v>79</v>
      </c>
      <c r="AG9" s="8">
        <f t="shared" ca="1" si="31"/>
        <v>0.8842592592592593</v>
      </c>
      <c r="AH9" s="8">
        <f t="shared" ca="1" si="32"/>
        <v>0.78240740740740744</v>
      </c>
      <c r="AI9" s="8">
        <f t="shared" ca="1" si="33"/>
        <v>0.57407407407407407</v>
      </c>
      <c r="AJ9" s="8">
        <f t="shared" ca="1" si="45"/>
        <v>0.37962962962962965</v>
      </c>
      <c r="AK9" s="8">
        <f t="shared" ca="1" si="46"/>
        <v>0.26851851851851855</v>
      </c>
      <c r="AL9" s="3">
        <f t="shared" ca="1" si="34"/>
        <v>140</v>
      </c>
      <c r="AM9" s="7">
        <f t="shared" ca="1" si="35"/>
        <v>1.17</v>
      </c>
      <c r="AN9" s="3">
        <f t="shared" ca="1" si="36"/>
        <v>50</v>
      </c>
      <c r="AO9" s="7">
        <f t="shared" ca="1" si="37"/>
        <v>1.1499999999999999</v>
      </c>
      <c r="AP9" s="3">
        <f t="shared" ca="1" si="38"/>
        <v>31</v>
      </c>
      <c r="AQ9" s="7">
        <f t="shared" ca="1" si="39"/>
        <v>1.1100000000000001</v>
      </c>
      <c r="AR9" s="3">
        <f t="shared" ca="1" si="40"/>
        <v>41</v>
      </c>
      <c r="AS9" s="7">
        <f t="shared" ca="1" si="41"/>
        <v>1.1200000000000001</v>
      </c>
      <c r="AT9" s="2">
        <f t="shared" ca="1" si="47"/>
        <v>29</v>
      </c>
      <c r="AU9" s="17">
        <f t="shared" ca="1" si="42"/>
        <v>1.1200000000000001</v>
      </c>
      <c r="AV9" s="3">
        <f t="shared" ca="1" si="43"/>
        <v>16</v>
      </c>
      <c r="AW9" s="7">
        <f t="shared" ca="1" si="44"/>
        <v>1.05</v>
      </c>
      <c r="AX9" s="3">
        <f t="shared" ca="1" si="48"/>
        <v>12</v>
      </c>
      <c r="AY9" s="7">
        <f t="shared" ca="1" si="49"/>
        <v>1</v>
      </c>
    </row>
    <row r="10" spans="1:57" ht="20" customHeight="1" x14ac:dyDescent="0.3">
      <c r="A10" s="2">
        <v>6</v>
      </c>
      <c r="B10" s="9" t="str">
        <f t="shared" ca="1" si="0"/>
        <v>frozen</v>
      </c>
      <c r="C10" s="4">
        <f t="shared" ca="1" si="1"/>
        <v>195</v>
      </c>
      <c r="D10" s="5">
        <f t="shared" ca="1" si="2"/>
        <v>1.17</v>
      </c>
      <c r="E10" s="10">
        <f t="shared" ca="1" si="3"/>
        <v>418</v>
      </c>
      <c r="F10" s="5">
        <f t="shared" ca="1" si="4"/>
        <v>0.72</v>
      </c>
      <c r="G10" s="5">
        <f t="shared" ca="1" si="5"/>
        <v>0.63</v>
      </c>
      <c r="H10" s="6">
        <f t="shared" ca="1" si="6"/>
        <v>81</v>
      </c>
      <c r="I10" s="5">
        <f t="shared" ca="1" si="7"/>
        <v>1.47</v>
      </c>
      <c r="J10" s="21">
        <f t="shared" ca="1" si="8"/>
        <v>75</v>
      </c>
      <c r="K10" s="15">
        <f t="shared" ca="1" si="9"/>
        <v>0.65</v>
      </c>
      <c r="L10" s="13">
        <f t="shared" ca="1" si="10"/>
        <v>72.599999999999994</v>
      </c>
      <c r="M10" s="15">
        <f t="shared" ca="1" si="11"/>
        <v>1.1399999999999999</v>
      </c>
      <c r="N10" s="13">
        <f t="shared" ca="1" si="12"/>
        <v>81.2</v>
      </c>
      <c r="O10" s="15">
        <f t="shared" ca="1" si="13"/>
        <v>0.74</v>
      </c>
      <c r="P10" s="3">
        <f t="shared" ca="1" si="14"/>
        <v>43</v>
      </c>
      <c r="Q10" s="7">
        <f t="shared" ca="1" si="15"/>
        <v>1.2</v>
      </c>
      <c r="R10" s="3">
        <f t="shared" ca="1" si="16"/>
        <v>80</v>
      </c>
      <c r="S10" s="7">
        <f t="shared" ca="1" si="17"/>
        <v>1.1299999999999999</v>
      </c>
      <c r="T10" s="3">
        <f t="shared" ca="1" si="18"/>
        <v>139</v>
      </c>
      <c r="U10" s="7">
        <f t="shared" ca="1" si="19"/>
        <v>1.1499999999999999</v>
      </c>
      <c r="V10" s="7">
        <f t="shared" ca="1" si="20"/>
        <v>1.19</v>
      </c>
      <c r="W10" s="7">
        <f t="shared" ca="1" si="21"/>
        <v>1.1499999999999999</v>
      </c>
      <c r="X10" s="7">
        <f t="shared" ca="1" si="22"/>
        <v>1.25</v>
      </c>
      <c r="Y10" s="7">
        <f t="shared" ca="1" si="23"/>
        <v>0.99</v>
      </c>
      <c r="Z10" s="14">
        <f t="shared" ca="1" si="24"/>
        <v>103.8</v>
      </c>
      <c r="AA10" s="8">
        <f t="shared" ca="1" si="25"/>
        <v>0.18099999999999999</v>
      </c>
      <c r="AB10" s="8">
        <f t="shared" ca="1" si="26"/>
        <v>0.54200000000000004</v>
      </c>
      <c r="AC10" s="11">
        <f t="shared" ca="1" si="27"/>
        <v>9.813953488372093E-2</v>
      </c>
      <c r="AD10" s="8">
        <f t="shared" ca="1" si="28"/>
        <v>0.48627906976744179</v>
      </c>
      <c r="AE10" s="8">
        <f t="shared" ca="1" si="29"/>
        <v>0.1783720930232558</v>
      </c>
      <c r="AF10" s="3">
        <f t="shared" ca="1" si="30"/>
        <v>66</v>
      </c>
      <c r="AG10" s="8">
        <f t="shared" ca="1" si="31"/>
        <v>0.85641025641025637</v>
      </c>
      <c r="AH10" s="8">
        <f t="shared" ca="1" si="32"/>
        <v>0.69230769230769229</v>
      </c>
      <c r="AI10" s="8">
        <f t="shared" ca="1" si="33"/>
        <v>0.53333333333333333</v>
      </c>
      <c r="AJ10" s="8">
        <f t="shared" ca="1" si="45"/>
        <v>0.38974358974358975</v>
      </c>
      <c r="AK10" s="8">
        <f t="shared" ca="1" si="46"/>
        <v>0.25641025641025639</v>
      </c>
      <c r="AL10" s="3">
        <f t="shared" ca="1" si="34"/>
        <v>141</v>
      </c>
      <c r="AM10" s="7">
        <f t="shared" ca="1" si="35"/>
        <v>1.1499999999999999</v>
      </c>
      <c r="AN10" s="3">
        <f t="shared" ca="1" si="36"/>
        <v>55</v>
      </c>
      <c r="AO10" s="7">
        <f t="shared" ca="1" si="37"/>
        <v>1.1299999999999999</v>
      </c>
      <c r="AP10" s="3">
        <f t="shared" ca="1" si="38"/>
        <v>43</v>
      </c>
      <c r="AQ10" s="7">
        <f t="shared" ca="1" si="39"/>
        <v>1.1499999999999999</v>
      </c>
      <c r="AR10" s="3">
        <f t="shared" ca="1" si="40"/>
        <v>27</v>
      </c>
      <c r="AS10" s="7">
        <f t="shared" ca="1" si="41"/>
        <v>1.19</v>
      </c>
      <c r="AT10" s="2">
        <f t="shared" ca="1" si="47"/>
        <v>17</v>
      </c>
      <c r="AU10" s="17">
        <f t="shared" ca="1" si="42"/>
        <v>1.1000000000000001</v>
      </c>
      <c r="AV10" s="3">
        <f t="shared" ca="1" si="43"/>
        <v>11</v>
      </c>
      <c r="AW10" s="7">
        <f t="shared" ca="1" si="44"/>
        <v>1.1100000000000001</v>
      </c>
      <c r="AX10" s="3">
        <f t="shared" ca="1" si="48"/>
        <v>4</v>
      </c>
      <c r="AY10" s="7">
        <f t="shared" ca="1" si="49"/>
        <v>1.1599999999999999</v>
      </c>
    </row>
    <row r="11" spans="1:57" ht="19.5" customHeight="1" x14ac:dyDescent="0.3">
      <c r="A11" s="2">
        <v>7</v>
      </c>
      <c r="B11" s="9"/>
      <c r="C11" s="4"/>
      <c r="D11" s="5"/>
      <c r="E11" s="10"/>
      <c r="F11" s="5"/>
      <c r="G11" s="5"/>
      <c r="H11" s="6"/>
      <c r="I11" s="5"/>
      <c r="J11" s="21"/>
      <c r="K11" s="15"/>
      <c r="L11" s="13"/>
      <c r="M11" s="15"/>
      <c r="N11" s="13"/>
      <c r="O11" s="15"/>
      <c r="P11" s="3"/>
      <c r="Q11" s="7"/>
      <c r="R11" s="3"/>
      <c r="S11" s="7"/>
      <c r="T11" s="3"/>
      <c r="U11" s="7"/>
      <c r="V11" s="7"/>
      <c r="W11" s="7"/>
      <c r="X11" s="7"/>
      <c r="Y11" s="7"/>
      <c r="Z11" s="14"/>
      <c r="AA11" s="8"/>
      <c r="AB11" s="8"/>
      <c r="AC11" s="11"/>
      <c r="AD11" s="8"/>
      <c r="AE11" s="8"/>
      <c r="AF11" s="3"/>
      <c r="AG11" s="8"/>
      <c r="AH11" s="8"/>
      <c r="AI11" s="8"/>
      <c r="AJ11" s="8"/>
      <c r="AK11" s="8"/>
      <c r="AL11" s="3"/>
      <c r="AM11" s="7"/>
      <c r="AN11" s="3"/>
      <c r="AO11" s="7"/>
      <c r="AP11" s="3"/>
      <c r="AQ11" s="7"/>
      <c r="AR11" s="3"/>
      <c r="AS11" s="7"/>
      <c r="AT11" s="2"/>
      <c r="AU11" s="17"/>
      <c r="AV11" s="3"/>
      <c r="AW11" s="7"/>
      <c r="AX11" s="3"/>
      <c r="AY11" s="7"/>
    </row>
    <row r="12" spans="1:57" ht="19.5" customHeight="1" x14ac:dyDescent="0.3">
      <c r="A12" s="2">
        <v>8</v>
      </c>
      <c r="B12" s="9"/>
      <c r="C12" s="4"/>
      <c r="D12" s="5"/>
      <c r="E12" s="10"/>
      <c r="F12" s="5"/>
      <c r="G12" s="5"/>
      <c r="H12" s="6"/>
      <c r="I12" s="5"/>
      <c r="J12" s="21"/>
      <c r="K12" s="15"/>
      <c r="L12" s="13"/>
      <c r="M12" s="15"/>
      <c r="N12" s="13"/>
      <c r="O12" s="15"/>
      <c r="P12" s="3"/>
      <c r="Q12" s="7"/>
      <c r="R12" s="3"/>
      <c r="S12" s="7"/>
      <c r="T12" s="3"/>
      <c r="U12" s="7"/>
      <c r="V12" s="7"/>
      <c r="W12" s="7"/>
      <c r="X12" s="7"/>
      <c r="Y12" s="7"/>
      <c r="Z12" s="14"/>
      <c r="AA12" s="8"/>
      <c r="AB12" s="8"/>
      <c r="AC12" s="11"/>
      <c r="AD12" s="8"/>
      <c r="AE12" s="8"/>
      <c r="AF12" s="3"/>
      <c r="AG12" s="8"/>
      <c r="AH12" s="8"/>
      <c r="AI12" s="8"/>
      <c r="AJ12" s="8"/>
      <c r="AK12" s="8"/>
      <c r="AL12" s="3"/>
      <c r="AM12" s="7"/>
      <c r="AN12" s="3"/>
      <c r="AO12" s="7"/>
      <c r="AP12" s="3"/>
      <c r="AQ12" s="7"/>
      <c r="AR12" s="3"/>
      <c r="AS12" s="7"/>
      <c r="AT12" s="2"/>
      <c r="AU12" s="17"/>
      <c r="AV12" s="3"/>
      <c r="AW12" s="7"/>
      <c r="AX12" s="3"/>
      <c r="AY12" s="7"/>
    </row>
    <row r="13" spans="1:57" ht="19.5" customHeight="1" x14ac:dyDescent="0.3">
      <c r="A13" s="2">
        <v>9</v>
      </c>
      <c r="B13" s="9"/>
      <c r="C13" s="4"/>
      <c r="D13" s="5"/>
      <c r="E13" s="10"/>
      <c r="F13" s="5"/>
      <c r="G13" s="5"/>
      <c r="H13" s="6"/>
      <c r="I13" s="5"/>
      <c r="J13" s="21"/>
      <c r="K13" s="15"/>
      <c r="L13" s="13"/>
      <c r="M13" s="15"/>
      <c r="N13" s="13"/>
      <c r="O13" s="15"/>
      <c r="P13" s="3"/>
      <c r="Q13" s="7"/>
      <c r="R13" s="3"/>
      <c r="S13" s="7"/>
      <c r="T13" s="3"/>
      <c r="U13" s="7"/>
      <c r="V13" s="7"/>
      <c r="W13" s="7"/>
      <c r="X13" s="7"/>
      <c r="Y13" s="7"/>
      <c r="Z13" s="14"/>
      <c r="AA13" s="8"/>
      <c r="AB13" s="8"/>
      <c r="AC13" s="11"/>
      <c r="AD13" s="8"/>
      <c r="AE13" s="8"/>
      <c r="AF13" s="3"/>
      <c r="AG13" s="8"/>
      <c r="AH13" s="8"/>
      <c r="AI13" s="8"/>
      <c r="AJ13" s="8"/>
      <c r="AK13" s="8"/>
      <c r="AL13" s="3"/>
      <c r="AM13" s="7"/>
      <c r="AN13" s="3"/>
      <c r="AO13" s="7"/>
      <c r="AP13" s="3"/>
      <c r="AQ13" s="7"/>
      <c r="AR13" s="3"/>
      <c r="AS13" s="7"/>
      <c r="AT13" s="2"/>
      <c r="AU13" s="17"/>
      <c r="AV13" s="3"/>
      <c r="AW13" s="7"/>
      <c r="AX13" s="3"/>
      <c r="AY13" s="7"/>
    </row>
    <row r="14" spans="1:57" ht="19.5" customHeight="1" x14ac:dyDescent="0.3">
      <c r="A14" s="2">
        <v>10</v>
      </c>
      <c r="B14" s="9"/>
      <c r="C14" s="4"/>
      <c r="D14" s="5"/>
      <c r="E14" s="10"/>
      <c r="F14" s="5"/>
      <c r="G14" s="5"/>
      <c r="H14" s="6"/>
      <c r="I14" s="5"/>
      <c r="J14" s="21"/>
      <c r="K14" s="15"/>
      <c r="L14" s="13"/>
      <c r="M14" s="15"/>
      <c r="N14" s="13"/>
      <c r="O14" s="15"/>
      <c r="P14" s="3"/>
      <c r="Q14" s="7"/>
      <c r="R14" s="3"/>
      <c r="S14" s="7"/>
      <c r="T14" s="3"/>
      <c r="U14" s="7"/>
      <c r="V14" s="7"/>
      <c r="W14" s="7"/>
      <c r="X14" s="7"/>
      <c r="Y14" s="7"/>
      <c r="Z14" s="14"/>
      <c r="AA14" s="8"/>
      <c r="AB14" s="8"/>
      <c r="AC14" s="11"/>
      <c r="AD14" s="8"/>
      <c r="AE14" s="8"/>
      <c r="AF14" s="3"/>
      <c r="AG14" s="8"/>
      <c r="AH14" s="8"/>
      <c r="AI14" s="8"/>
      <c r="AJ14" s="8"/>
      <c r="AK14" s="8"/>
      <c r="AL14" s="3"/>
      <c r="AM14" s="7"/>
      <c r="AN14" s="3"/>
      <c r="AO14" s="7"/>
      <c r="AP14" s="3"/>
      <c r="AQ14" s="7"/>
      <c r="AR14" s="3"/>
      <c r="AS14" s="7"/>
      <c r="AT14" s="2"/>
      <c r="AU14" s="17"/>
      <c r="AV14" s="3"/>
      <c r="AW14" s="7"/>
      <c r="AX14" s="3"/>
      <c r="AY14" s="7"/>
    </row>
    <row r="15" spans="1:57" ht="19.5" customHeight="1" x14ac:dyDescent="0.3">
      <c r="A15" s="2">
        <v>11</v>
      </c>
      <c r="B15" s="9"/>
      <c r="C15" s="4"/>
      <c r="D15" s="5"/>
      <c r="E15" s="10"/>
      <c r="F15" s="5"/>
      <c r="G15" s="5"/>
      <c r="H15" s="6"/>
      <c r="I15" s="5"/>
      <c r="J15" s="21"/>
      <c r="K15" s="15"/>
      <c r="L15" s="13"/>
      <c r="M15" s="15"/>
      <c r="N15" s="13"/>
      <c r="O15" s="15"/>
      <c r="P15" s="3"/>
      <c r="Q15" s="7"/>
      <c r="R15" s="3"/>
      <c r="S15" s="7"/>
      <c r="T15" s="3"/>
      <c r="U15" s="7"/>
      <c r="V15" s="7"/>
      <c r="W15" s="7"/>
      <c r="X15" s="7"/>
      <c r="Y15" s="7"/>
      <c r="Z15" s="14"/>
      <c r="AA15" s="8"/>
      <c r="AB15" s="8"/>
      <c r="AC15" s="11"/>
      <c r="AD15" s="8"/>
      <c r="AE15" s="8"/>
      <c r="AF15" s="3"/>
      <c r="AG15" s="8"/>
      <c r="AH15" s="8"/>
      <c r="AI15" s="8"/>
      <c r="AJ15" s="8"/>
      <c r="AK15" s="8"/>
      <c r="AL15" s="3"/>
      <c r="AM15" s="7"/>
      <c r="AN15" s="3"/>
      <c r="AO15" s="7"/>
      <c r="AP15" s="3"/>
      <c r="AQ15" s="7"/>
      <c r="AR15" s="3"/>
      <c r="AS15" s="7"/>
      <c r="AT15" s="2"/>
      <c r="AU15" s="17"/>
      <c r="AV15" s="3"/>
      <c r="AW15" s="7"/>
      <c r="AX15" s="3"/>
      <c r="AY15" s="7"/>
    </row>
    <row r="16" spans="1:57" ht="19.5" customHeight="1" x14ac:dyDescent="0.3">
      <c r="A16" s="2">
        <v>12</v>
      </c>
      <c r="B16" s="9"/>
      <c r="C16" s="4"/>
      <c r="D16" s="5"/>
      <c r="E16" s="10"/>
      <c r="F16" s="5"/>
      <c r="G16" s="5"/>
      <c r="H16" s="6"/>
      <c r="I16" s="5"/>
      <c r="J16" s="21"/>
      <c r="K16" s="15"/>
      <c r="L16" s="13"/>
      <c r="M16" s="15"/>
      <c r="N16" s="13"/>
      <c r="O16" s="15"/>
      <c r="P16" s="3"/>
      <c r="Q16" s="7"/>
      <c r="R16" s="3"/>
      <c r="S16" s="7"/>
      <c r="T16" s="3"/>
      <c r="U16" s="7"/>
      <c r="V16" s="7"/>
      <c r="W16" s="7"/>
      <c r="X16" s="7"/>
      <c r="Y16" s="7"/>
      <c r="Z16" s="14"/>
      <c r="AA16" s="8"/>
      <c r="AB16" s="8"/>
      <c r="AC16" s="11"/>
      <c r="AD16" s="8"/>
      <c r="AE16" s="8"/>
      <c r="AF16" s="3"/>
      <c r="AG16" s="8"/>
      <c r="AH16" s="8"/>
      <c r="AI16" s="8"/>
      <c r="AJ16" s="8"/>
      <c r="AK16" s="8"/>
      <c r="AL16" s="3"/>
      <c r="AM16" s="7"/>
      <c r="AN16" s="3"/>
      <c r="AO16" s="7"/>
      <c r="AP16" s="3"/>
      <c r="AQ16" s="7"/>
      <c r="AR16" s="3"/>
      <c r="AS16" s="7"/>
      <c r="AT16" s="2"/>
      <c r="AU16" s="17"/>
      <c r="AV16" s="3"/>
      <c r="AW16" s="7"/>
      <c r="AX16" s="3"/>
      <c r="AY16" s="7"/>
    </row>
    <row r="17" spans="1:51" ht="19.5" customHeight="1" x14ac:dyDescent="0.3">
      <c r="A17" s="2">
        <v>13</v>
      </c>
      <c r="B17" s="9"/>
      <c r="C17" s="4"/>
      <c r="D17" s="5"/>
      <c r="E17" s="10"/>
      <c r="F17" s="5"/>
      <c r="G17" s="5"/>
      <c r="H17" s="6"/>
      <c r="I17" s="5"/>
      <c r="J17" s="21"/>
      <c r="K17" s="15"/>
      <c r="L17" s="13"/>
      <c r="M17" s="15"/>
      <c r="N17" s="13"/>
      <c r="O17" s="15"/>
      <c r="P17" s="3"/>
      <c r="Q17" s="7"/>
      <c r="R17" s="3"/>
      <c r="S17" s="7"/>
      <c r="T17" s="3"/>
      <c r="U17" s="7"/>
      <c r="V17" s="7"/>
      <c r="W17" s="7"/>
      <c r="X17" s="7"/>
      <c r="Y17" s="7"/>
      <c r="Z17" s="14"/>
      <c r="AA17" s="8"/>
      <c r="AB17" s="8"/>
      <c r="AC17" s="11"/>
      <c r="AD17" s="8"/>
      <c r="AE17" s="8"/>
      <c r="AF17" s="3"/>
      <c r="AG17" s="8"/>
      <c r="AH17" s="8"/>
      <c r="AI17" s="8"/>
      <c r="AJ17" s="8"/>
      <c r="AK17" s="8"/>
      <c r="AL17" s="3"/>
      <c r="AM17" s="7"/>
      <c r="AN17" s="3"/>
      <c r="AO17" s="7"/>
      <c r="AP17" s="3"/>
      <c r="AQ17" s="7"/>
      <c r="AR17" s="3"/>
      <c r="AS17" s="7"/>
      <c r="AT17" s="2"/>
      <c r="AU17" s="17"/>
      <c r="AV17" s="3"/>
      <c r="AW17" s="7"/>
      <c r="AX17" s="3"/>
      <c r="AY17" s="7"/>
    </row>
    <row r="18" spans="1:51" ht="19.5" customHeight="1" x14ac:dyDescent="0.3">
      <c r="A18" s="2">
        <v>14</v>
      </c>
      <c r="B18" s="9"/>
      <c r="C18" s="4"/>
      <c r="D18" s="5"/>
      <c r="E18" s="10"/>
      <c r="F18" s="5"/>
      <c r="G18" s="5"/>
      <c r="H18" s="6"/>
      <c r="I18" s="5"/>
      <c r="J18" s="21"/>
      <c r="K18" s="15"/>
      <c r="L18" s="13"/>
      <c r="M18" s="15"/>
      <c r="N18" s="13"/>
      <c r="O18" s="15"/>
      <c r="P18" s="3"/>
      <c r="Q18" s="7"/>
      <c r="R18" s="3"/>
      <c r="S18" s="7"/>
      <c r="T18" s="3"/>
      <c r="U18" s="7"/>
      <c r="V18" s="7"/>
      <c r="W18" s="7"/>
      <c r="X18" s="7"/>
      <c r="Y18" s="7"/>
      <c r="Z18" s="14"/>
      <c r="AA18" s="8"/>
      <c r="AB18" s="8"/>
      <c r="AC18" s="11"/>
      <c r="AD18" s="8"/>
      <c r="AE18" s="8"/>
      <c r="AF18" s="3"/>
      <c r="AG18" s="8"/>
      <c r="AH18" s="8"/>
      <c r="AI18" s="8"/>
      <c r="AJ18" s="8"/>
      <c r="AK18" s="8"/>
      <c r="AL18" s="3"/>
      <c r="AM18" s="7"/>
      <c r="AN18" s="3"/>
      <c r="AO18" s="7"/>
      <c r="AP18" s="3"/>
      <c r="AQ18" s="7"/>
      <c r="AR18" s="3"/>
      <c r="AS18" s="7"/>
      <c r="AT18" s="2"/>
      <c r="AU18" s="17"/>
      <c r="AV18" s="3"/>
      <c r="AW18" s="7"/>
      <c r="AX18" s="3"/>
      <c r="AY18" s="7"/>
    </row>
    <row r="19" spans="1:51" ht="19.5" customHeight="1" x14ac:dyDescent="0.3">
      <c r="A19" s="2">
        <v>15</v>
      </c>
      <c r="B19" s="9"/>
      <c r="C19" s="4"/>
      <c r="D19" s="5"/>
      <c r="E19" s="10"/>
      <c r="F19" s="5"/>
      <c r="G19" s="5"/>
      <c r="H19" s="6"/>
      <c r="I19" s="5"/>
      <c r="J19" s="21"/>
      <c r="K19" s="15"/>
      <c r="L19" s="13"/>
      <c r="M19" s="15"/>
      <c r="N19" s="13"/>
      <c r="O19" s="15"/>
      <c r="P19" s="3"/>
      <c r="Q19" s="7"/>
      <c r="R19" s="3"/>
      <c r="S19" s="7"/>
      <c r="T19" s="3"/>
      <c r="U19" s="7"/>
      <c r="V19" s="7"/>
      <c r="W19" s="7"/>
      <c r="X19" s="7"/>
      <c r="Y19" s="7"/>
      <c r="Z19" s="14"/>
      <c r="AA19" s="8"/>
      <c r="AB19" s="8"/>
      <c r="AC19" s="11"/>
      <c r="AD19" s="8"/>
      <c r="AE19" s="8"/>
      <c r="AF19" s="3"/>
      <c r="AG19" s="8"/>
      <c r="AH19" s="8"/>
      <c r="AI19" s="8"/>
      <c r="AJ19" s="8"/>
      <c r="AK19" s="8"/>
      <c r="AL19" s="3"/>
      <c r="AM19" s="7"/>
      <c r="AN19" s="3"/>
      <c r="AO19" s="7"/>
      <c r="AP19" s="3"/>
      <c r="AQ19" s="7"/>
      <c r="AR19" s="3"/>
      <c r="AS19" s="7"/>
      <c r="AT19" s="2"/>
      <c r="AU19" s="17"/>
      <c r="AV19" s="3"/>
      <c r="AW19" s="7"/>
      <c r="AX19" s="3"/>
      <c r="AY19" s="7"/>
    </row>
    <row r="20" spans="1:51" ht="19.5" customHeight="1" x14ac:dyDescent="0.3">
      <c r="A20" s="2">
        <v>16</v>
      </c>
      <c r="B20" s="9"/>
      <c r="C20" s="4"/>
      <c r="D20" s="5"/>
      <c r="E20" s="10"/>
      <c r="F20" s="5"/>
      <c r="G20" s="5"/>
      <c r="H20" s="6"/>
      <c r="I20" s="5"/>
      <c r="J20" s="21"/>
      <c r="K20" s="15"/>
      <c r="L20" s="13"/>
      <c r="M20" s="15"/>
      <c r="N20" s="13"/>
      <c r="O20" s="15"/>
      <c r="P20" s="3"/>
      <c r="Q20" s="7"/>
      <c r="R20" s="3"/>
      <c r="S20" s="7"/>
      <c r="T20" s="3"/>
      <c r="U20" s="7"/>
      <c r="V20" s="7"/>
      <c r="W20" s="7"/>
      <c r="X20" s="7"/>
      <c r="Y20" s="7"/>
      <c r="Z20" s="14"/>
      <c r="AA20" s="8"/>
      <c r="AB20" s="8"/>
      <c r="AC20" s="11"/>
      <c r="AD20" s="8"/>
      <c r="AE20" s="8"/>
      <c r="AF20" s="3"/>
      <c r="AG20" s="8"/>
      <c r="AH20" s="8"/>
      <c r="AI20" s="8"/>
      <c r="AJ20" s="8"/>
      <c r="AK20" s="8"/>
      <c r="AL20" s="3"/>
      <c r="AM20" s="7"/>
      <c r="AN20" s="3"/>
      <c r="AO20" s="7"/>
      <c r="AP20" s="3"/>
      <c r="AQ20" s="7"/>
      <c r="AR20" s="3"/>
      <c r="AS20" s="7"/>
      <c r="AT20" s="2"/>
      <c r="AU20" s="17"/>
      <c r="AV20" s="3"/>
      <c r="AW20" s="7"/>
      <c r="AX20" s="3"/>
      <c r="AY20" s="7"/>
    </row>
    <row r="21" spans="1:51" ht="19.899999999999999" customHeight="1" x14ac:dyDescent="0.3">
      <c r="A21" s="2">
        <v>17</v>
      </c>
      <c r="B21" s="9"/>
      <c r="C21" s="4"/>
      <c r="D21" s="5"/>
      <c r="E21" s="10"/>
      <c r="F21" s="5"/>
      <c r="G21" s="5"/>
      <c r="H21" s="6"/>
      <c r="I21" s="5"/>
      <c r="J21" s="21"/>
      <c r="K21" s="15"/>
      <c r="L21" s="13"/>
      <c r="M21" s="15"/>
      <c r="N21" s="13"/>
      <c r="O21" s="15"/>
      <c r="P21" s="3"/>
      <c r="Q21" s="7"/>
      <c r="R21" s="3"/>
      <c r="S21" s="7"/>
      <c r="T21" s="3"/>
      <c r="U21" s="7"/>
      <c r="V21" s="7"/>
      <c r="W21" s="7"/>
      <c r="X21" s="7"/>
      <c r="Y21" s="7"/>
      <c r="Z21" s="14"/>
      <c r="AA21" s="8"/>
      <c r="AB21" s="8"/>
      <c r="AC21" s="11"/>
      <c r="AD21" s="8"/>
      <c r="AE21" s="8"/>
      <c r="AF21" s="3"/>
      <c r="AG21" s="8"/>
      <c r="AH21" s="8"/>
      <c r="AI21" s="8"/>
      <c r="AJ21" s="8"/>
      <c r="AK21" s="8"/>
      <c r="AL21" s="3"/>
      <c r="AM21" s="7"/>
      <c r="AN21" s="3"/>
      <c r="AO21" s="7"/>
      <c r="AP21" s="3"/>
      <c r="AQ21" s="7"/>
      <c r="AR21" s="3"/>
      <c r="AS21" s="7"/>
      <c r="AT21" s="2"/>
      <c r="AU21" s="17"/>
      <c r="AV21" s="3"/>
      <c r="AW21" s="7"/>
      <c r="AX21" s="3"/>
      <c r="AY21" s="7"/>
    </row>
    <row r="22" spans="1:51" ht="19.899999999999999" customHeight="1" x14ac:dyDescent="0.3">
      <c r="A22" s="2">
        <v>18</v>
      </c>
      <c r="B22" s="9"/>
      <c r="C22" s="4"/>
      <c r="D22" s="5"/>
      <c r="E22" s="10"/>
      <c r="F22" s="5"/>
      <c r="G22" s="5"/>
      <c r="H22" s="6"/>
      <c r="I22" s="5"/>
      <c r="J22" s="21"/>
      <c r="K22" s="15"/>
      <c r="L22" s="13"/>
      <c r="M22" s="15"/>
      <c r="N22" s="13"/>
      <c r="O22" s="15"/>
      <c r="P22" s="3"/>
      <c r="Q22" s="7"/>
      <c r="R22" s="3"/>
      <c r="S22" s="7"/>
      <c r="T22" s="3"/>
      <c r="U22" s="7"/>
      <c r="V22" s="7"/>
      <c r="W22" s="7"/>
      <c r="X22" s="7"/>
      <c r="Y22" s="7"/>
      <c r="Z22" s="14"/>
      <c r="AA22" s="8"/>
      <c r="AB22" s="8"/>
      <c r="AC22" s="11"/>
      <c r="AD22" s="8"/>
      <c r="AE22" s="8"/>
      <c r="AF22" s="3"/>
      <c r="AG22" s="8"/>
      <c r="AH22" s="8"/>
      <c r="AI22" s="8"/>
      <c r="AJ22" s="8"/>
      <c r="AK22" s="8"/>
      <c r="AL22" s="3"/>
      <c r="AM22" s="7"/>
      <c r="AN22" s="3"/>
      <c r="AO22" s="7"/>
      <c r="AP22" s="3"/>
      <c r="AQ22" s="7"/>
      <c r="AR22" s="3"/>
      <c r="AS22" s="7"/>
      <c r="AT22" s="2"/>
      <c r="AU22" s="17"/>
      <c r="AV22" s="3"/>
      <c r="AW22" s="7"/>
      <c r="AX22" s="3"/>
      <c r="AY22" s="7"/>
    </row>
    <row r="23" spans="1:51" ht="19.899999999999999" customHeight="1" x14ac:dyDescent="0.3">
      <c r="A23" s="2">
        <v>19</v>
      </c>
      <c r="B23" s="9"/>
      <c r="C23" s="4"/>
      <c r="D23" s="5"/>
      <c r="E23" s="10"/>
      <c r="F23" s="5"/>
      <c r="G23" s="5"/>
      <c r="H23" s="6"/>
      <c r="I23" s="5"/>
      <c r="J23" s="21"/>
      <c r="K23" s="15"/>
      <c r="L23" s="13"/>
      <c r="M23" s="15"/>
      <c r="N23" s="13"/>
      <c r="O23" s="15"/>
      <c r="P23" s="3"/>
      <c r="Q23" s="7"/>
      <c r="R23" s="3"/>
      <c r="S23" s="7"/>
      <c r="T23" s="3"/>
      <c r="U23" s="7"/>
      <c r="V23" s="7"/>
      <c r="W23" s="7"/>
      <c r="X23" s="7"/>
      <c r="Y23" s="7"/>
      <c r="Z23" s="14"/>
      <c r="AA23" s="8"/>
      <c r="AB23" s="8"/>
      <c r="AC23" s="11"/>
      <c r="AD23" s="8"/>
      <c r="AE23" s="8"/>
      <c r="AF23" s="3"/>
      <c r="AG23" s="8"/>
      <c r="AH23" s="8"/>
      <c r="AI23" s="8"/>
      <c r="AJ23" s="8"/>
      <c r="AK23" s="8"/>
      <c r="AL23" s="3"/>
      <c r="AM23" s="7"/>
      <c r="AN23" s="3"/>
      <c r="AO23" s="7"/>
      <c r="AP23" s="3"/>
      <c r="AQ23" s="7"/>
      <c r="AR23" s="3"/>
      <c r="AS23" s="7"/>
      <c r="AT23" s="2"/>
      <c r="AU23" s="17"/>
      <c r="AV23" s="3"/>
      <c r="AW23" s="7"/>
      <c r="AX23" s="3"/>
      <c r="AY23" s="7"/>
    </row>
    <row r="24" spans="1:51" ht="19.5" customHeight="1" x14ac:dyDescent="0.3">
      <c r="A24" s="2">
        <v>20</v>
      </c>
      <c r="B24" s="9"/>
      <c r="C24" s="4"/>
      <c r="D24" s="5"/>
      <c r="E24" s="10"/>
      <c r="F24" s="5"/>
      <c r="G24" s="5"/>
      <c r="H24" s="6"/>
      <c r="I24" s="5"/>
      <c r="J24" s="21"/>
      <c r="K24" s="15"/>
      <c r="L24" s="13"/>
      <c r="M24" s="15"/>
      <c r="N24" s="13"/>
      <c r="O24" s="15"/>
      <c r="P24" s="3"/>
      <c r="Q24" s="7"/>
      <c r="R24" s="3"/>
      <c r="S24" s="7"/>
      <c r="T24" s="3"/>
      <c r="U24" s="7"/>
      <c r="V24" s="7"/>
      <c r="W24" s="7"/>
      <c r="X24" s="7"/>
      <c r="Y24" s="7"/>
      <c r="Z24" s="14"/>
      <c r="AA24" s="8"/>
      <c r="AB24" s="8"/>
      <c r="AC24" s="11"/>
      <c r="AD24" s="8"/>
      <c r="AE24" s="8"/>
      <c r="AF24" s="3"/>
      <c r="AG24" s="8"/>
      <c r="AH24" s="8"/>
      <c r="AI24" s="8"/>
      <c r="AJ24" s="8"/>
      <c r="AK24" s="8"/>
      <c r="AL24" s="3"/>
      <c r="AM24" s="7"/>
      <c r="AN24" s="3"/>
      <c r="AO24" s="7"/>
      <c r="AP24" s="3"/>
      <c r="AQ24" s="7"/>
      <c r="AR24" s="3"/>
      <c r="AS24" s="7"/>
      <c r="AT24" s="2"/>
      <c r="AU24" s="17"/>
      <c r="AV24" s="3"/>
      <c r="AW24" s="7"/>
      <c r="AX24" s="3"/>
      <c r="AY24" s="7"/>
    </row>
    <row r="25" spans="1:51" ht="19.5" customHeight="1" x14ac:dyDescent="0.3">
      <c r="A25" s="2">
        <v>21</v>
      </c>
      <c r="B25" s="9"/>
      <c r="C25" s="4"/>
      <c r="D25" s="5"/>
      <c r="E25" s="10"/>
      <c r="F25" s="5"/>
      <c r="G25" s="5"/>
      <c r="H25" s="6"/>
      <c r="I25" s="5"/>
      <c r="J25" s="21"/>
      <c r="K25" s="15"/>
      <c r="L25" s="13"/>
      <c r="M25" s="15"/>
      <c r="N25" s="13"/>
      <c r="O25" s="15"/>
      <c r="P25" s="3"/>
      <c r="Q25" s="7"/>
      <c r="R25" s="3"/>
      <c r="S25" s="7"/>
      <c r="T25" s="3"/>
      <c r="U25" s="7"/>
      <c r="V25" s="7"/>
      <c r="W25" s="7"/>
      <c r="X25" s="7"/>
      <c r="Y25" s="7"/>
      <c r="Z25" s="14"/>
      <c r="AA25" s="8"/>
      <c r="AB25" s="8"/>
      <c r="AC25" s="11"/>
      <c r="AD25" s="8"/>
      <c r="AE25" s="8"/>
      <c r="AF25" s="3"/>
      <c r="AG25" s="8"/>
      <c r="AH25" s="8"/>
      <c r="AI25" s="8"/>
      <c r="AJ25" s="8"/>
      <c r="AK25" s="8"/>
      <c r="AL25" s="3"/>
      <c r="AM25" s="7"/>
      <c r="AN25" s="3"/>
      <c r="AO25" s="7"/>
      <c r="AP25" s="3"/>
      <c r="AQ25" s="7"/>
      <c r="AR25" s="3"/>
      <c r="AS25" s="7"/>
      <c r="AT25" s="2"/>
      <c r="AU25" s="17"/>
      <c r="AV25" s="3"/>
      <c r="AW25" s="7"/>
      <c r="AX25" s="3"/>
      <c r="AY25" s="7"/>
    </row>
    <row r="26" spans="1:51" ht="19.5" customHeight="1" x14ac:dyDescent="0.3">
      <c r="A26" s="2">
        <v>22</v>
      </c>
      <c r="B26" s="9"/>
      <c r="C26" s="4"/>
      <c r="D26" s="5"/>
      <c r="E26" s="10"/>
      <c r="F26" s="5"/>
      <c r="G26" s="5"/>
      <c r="H26" s="6"/>
      <c r="I26" s="5"/>
      <c r="J26" s="21"/>
      <c r="K26" s="15"/>
      <c r="L26" s="13"/>
      <c r="M26" s="15"/>
      <c r="N26" s="13"/>
      <c r="O26" s="15"/>
      <c r="P26" s="3"/>
      <c r="Q26" s="7"/>
      <c r="R26" s="3"/>
      <c r="S26" s="7"/>
      <c r="T26" s="3"/>
      <c r="U26" s="7"/>
      <c r="V26" s="7"/>
      <c r="W26" s="7"/>
      <c r="X26" s="7"/>
      <c r="Y26" s="7"/>
      <c r="Z26" s="14"/>
      <c r="AA26" s="8"/>
      <c r="AB26" s="8"/>
      <c r="AC26" s="11"/>
      <c r="AD26" s="8"/>
      <c r="AE26" s="8"/>
      <c r="AF26" s="3"/>
      <c r="AG26" s="8"/>
      <c r="AH26" s="8"/>
      <c r="AI26" s="8"/>
      <c r="AJ26" s="8"/>
      <c r="AK26" s="8"/>
      <c r="AL26" s="3"/>
      <c r="AM26" s="7"/>
      <c r="AN26" s="3"/>
      <c r="AO26" s="7"/>
      <c r="AP26" s="3"/>
      <c r="AQ26" s="7"/>
      <c r="AR26" s="3"/>
      <c r="AS26" s="7"/>
      <c r="AT26" s="2"/>
      <c r="AU26" s="17"/>
      <c r="AV26" s="3"/>
      <c r="AW26" s="7"/>
      <c r="AX26" s="3"/>
      <c r="AY26" s="7"/>
    </row>
    <row r="27" spans="1:51" ht="19.899999999999999" customHeight="1" x14ac:dyDescent="0.3">
      <c r="A27" s="2">
        <v>23</v>
      </c>
      <c r="B27" s="9"/>
      <c r="C27" s="4"/>
      <c r="D27" s="5"/>
      <c r="E27" s="10"/>
      <c r="F27" s="5"/>
      <c r="G27" s="5"/>
      <c r="H27" s="6"/>
      <c r="I27" s="5"/>
      <c r="J27" s="21"/>
      <c r="K27" s="15"/>
      <c r="L27" s="13"/>
      <c r="M27" s="15"/>
      <c r="N27" s="13"/>
      <c r="O27" s="15"/>
      <c r="P27" s="3"/>
      <c r="Q27" s="7"/>
      <c r="R27" s="3"/>
      <c r="S27" s="7"/>
      <c r="T27" s="3"/>
      <c r="U27" s="7"/>
      <c r="V27" s="7"/>
      <c r="W27" s="7"/>
      <c r="X27" s="7"/>
      <c r="Y27" s="7"/>
      <c r="Z27" s="14"/>
      <c r="AA27" s="8"/>
      <c r="AB27" s="8"/>
      <c r="AC27" s="11"/>
      <c r="AD27" s="8"/>
      <c r="AE27" s="8"/>
      <c r="AF27" s="3"/>
      <c r="AG27" s="8"/>
      <c r="AH27" s="8"/>
      <c r="AI27" s="8"/>
      <c r="AJ27" s="8"/>
      <c r="AK27" s="8"/>
      <c r="AL27" s="3"/>
      <c r="AM27" s="7"/>
      <c r="AN27" s="3"/>
      <c r="AO27" s="7"/>
      <c r="AP27" s="3"/>
      <c r="AQ27" s="7"/>
      <c r="AR27" s="3"/>
      <c r="AS27" s="7"/>
      <c r="AT27" s="2"/>
      <c r="AU27" s="17"/>
      <c r="AV27" s="3"/>
      <c r="AW27" s="7"/>
      <c r="AX27" s="3"/>
      <c r="AY27" s="7"/>
    </row>
    <row r="28" spans="1:51" ht="19.5" customHeight="1" x14ac:dyDescent="0.3">
      <c r="A28" s="2">
        <v>24</v>
      </c>
      <c r="B28" s="9"/>
      <c r="C28" s="4"/>
      <c r="D28" s="5"/>
      <c r="E28" s="10"/>
      <c r="F28" s="5"/>
      <c r="G28" s="5"/>
      <c r="H28" s="6"/>
      <c r="I28" s="5"/>
      <c r="J28" s="21"/>
      <c r="K28" s="15"/>
      <c r="L28" s="13"/>
      <c r="M28" s="15"/>
      <c r="N28" s="13"/>
      <c r="O28" s="15"/>
      <c r="P28" s="3"/>
      <c r="Q28" s="7"/>
      <c r="R28" s="3"/>
      <c r="S28" s="7"/>
      <c r="T28" s="3"/>
      <c r="U28" s="7"/>
      <c r="V28" s="7"/>
      <c r="W28" s="7"/>
      <c r="X28" s="7"/>
      <c r="Y28" s="7"/>
      <c r="Z28" s="14"/>
      <c r="AA28" s="8"/>
      <c r="AB28" s="8"/>
      <c r="AC28" s="11"/>
      <c r="AD28" s="8"/>
      <c r="AE28" s="8"/>
      <c r="AF28" s="3"/>
      <c r="AG28" s="8"/>
      <c r="AH28" s="8"/>
      <c r="AI28" s="8"/>
      <c r="AJ28" s="8"/>
      <c r="AK28" s="8"/>
      <c r="AL28" s="3"/>
      <c r="AM28" s="7"/>
      <c r="AN28" s="3"/>
      <c r="AO28" s="7"/>
      <c r="AP28" s="3"/>
      <c r="AQ28" s="7"/>
      <c r="AR28" s="3"/>
      <c r="AS28" s="7"/>
      <c r="AT28" s="2"/>
      <c r="AU28" s="17"/>
      <c r="AV28" s="3"/>
      <c r="AW28" s="7"/>
      <c r="AX28" s="3"/>
      <c r="AY28" s="7"/>
    </row>
    <row r="29" spans="1:51" ht="19.899999999999999" customHeight="1" x14ac:dyDescent="0.3">
      <c r="A29" s="2">
        <v>25</v>
      </c>
      <c r="B29" s="9"/>
      <c r="C29" s="4"/>
      <c r="D29" s="5"/>
      <c r="E29" s="10"/>
      <c r="F29" s="5"/>
      <c r="G29" s="5"/>
      <c r="H29" s="6"/>
      <c r="I29" s="5"/>
      <c r="J29" s="21"/>
      <c r="K29" s="15"/>
      <c r="L29" s="13"/>
      <c r="M29" s="15"/>
      <c r="N29" s="13"/>
      <c r="O29" s="15"/>
      <c r="P29" s="3"/>
      <c r="Q29" s="7"/>
      <c r="R29" s="3"/>
      <c r="S29" s="7"/>
      <c r="T29" s="3"/>
      <c r="U29" s="7"/>
      <c r="V29" s="7"/>
      <c r="W29" s="7"/>
      <c r="X29" s="7"/>
      <c r="Y29" s="7"/>
      <c r="Z29" s="14"/>
      <c r="AA29" s="8"/>
      <c r="AB29" s="8"/>
      <c r="AC29" s="11"/>
      <c r="AD29" s="8"/>
      <c r="AE29" s="8"/>
      <c r="AF29" s="3"/>
      <c r="AG29" s="8"/>
      <c r="AH29" s="8"/>
      <c r="AI29" s="8"/>
      <c r="AJ29" s="8"/>
      <c r="AK29" s="8"/>
      <c r="AL29" s="3"/>
      <c r="AM29" s="7"/>
      <c r="AN29" s="3"/>
      <c r="AO29" s="7"/>
      <c r="AP29" s="3"/>
      <c r="AQ29" s="7"/>
      <c r="AR29" s="3"/>
      <c r="AS29" s="7"/>
      <c r="AT29" s="2"/>
      <c r="AU29" s="17"/>
      <c r="AV29" s="3"/>
      <c r="AW29" s="7"/>
      <c r="AX29" s="3"/>
      <c r="AY29" s="7"/>
    </row>
    <row r="30" spans="1:51" ht="19.5" customHeight="1" x14ac:dyDescent="0.3">
      <c r="A30" s="2">
        <v>26</v>
      </c>
      <c r="B30" s="9"/>
      <c r="C30" s="4"/>
      <c r="D30" s="5"/>
      <c r="E30" s="10"/>
      <c r="F30" s="5"/>
      <c r="G30" s="5"/>
      <c r="H30" s="6"/>
      <c r="I30" s="5"/>
      <c r="J30" s="21"/>
      <c r="K30" s="15"/>
      <c r="L30" s="13"/>
      <c r="M30" s="15"/>
      <c r="N30" s="13"/>
      <c r="O30" s="15"/>
      <c r="P30" s="3"/>
      <c r="Q30" s="7"/>
      <c r="R30" s="3"/>
      <c r="S30" s="7"/>
      <c r="T30" s="3"/>
      <c r="U30" s="7"/>
      <c r="V30" s="7"/>
      <c r="W30" s="7"/>
      <c r="X30" s="7"/>
      <c r="Y30" s="7"/>
      <c r="Z30" s="14"/>
      <c r="AA30" s="8"/>
      <c r="AB30" s="8"/>
      <c r="AC30" s="11"/>
      <c r="AD30" s="8"/>
      <c r="AE30" s="8"/>
      <c r="AF30" s="3"/>
      <c r="AG30" s="8"/>
      <c r="AH30" s="8"/>
      <c r="AI30" s="8"/>
      <c r="AJ30" s="8"/>
      <c r="AK30" s="8"/>
      <c r="AL30" s="3"/>
      <c r="AM30" s="7"/>
      <c r="AN30" s="3"/>
      <c r="AO30" s="7"/>
      <c r="AP30" s="3"/>
      <c r="AQ30" s="7"/>
      <c r="AR30" s="3"/>
      <c r="AS30" s="7"/>
      <c r="AT30" s="2"/>
      <c r="AU30" s="17"/>
      <c r="AV30" s="3"/>
      <c r="AW30" s="7"/>
      <c r="AX30" s="3"/>
      <c r="AY30" s="7"/>
    </row>
    <row r="31" spans="1:51" ht="19.5" customHeight="1" x14ac:dyDescent="0.3">
      <c r="A31" s="2">
        <v>27</v>
      </c>
      <c r="B31" s="9"/>
      <c r="C31" s="4"/>
      <c r="D31" s="5"/>
      <c r="E31" s="10"/>
      <c r="F31" s="5"/>
      <c r="G31" s="5"/>
      <c r="H31" s="6"/>
      <c r="I31" s="5"/>
      <c r="J31" s="21"/>
      <c r="K31" s="15"/>
      <c r="L31" s="13"/>
      <c r="M31" s="15"/>
      <c r="N31" s="13"/>
      <c r="O31" s="15"/>
      <c r="P31" s="3"/>
      <c r="Q31" s="7"/>
      <c r="R31" s="3"/>
      <c r="S31" s="7"/>
      <c r="T31" s="3"/>
      <c r="U31" s="7"/>
      <c r="V31" s="7"/>
      <c r="W31" s="7"/>
      <c r="X31" s="7"/>
      <c r="Y31" s="7"/>
      <c r="Z31" s="14"/>
      <c r="AA31" s="8"/>
      <c r="AB31" s="8"/>
      <c r="AC31" s="11"/>
      <c r="AD31" s="8"/>
      <c r="AE31" s="8"/>
      <c r="AF31" s="3"/>
      <c r="AG31" s="8"/>
      <c r="AH31" s="8"/>
      <c r="AI31" s="8"/>
      <c r="AJ31" s="8"/>
      <c r="AK31" s="8"/>
      <c r="AL31" s="3"/>
      <c r="AM31" s="7"/>
      <c r="AN31" s="3"/>
      <c r="AO31" s="7"/>
      <c r="AP31" s="3"/>
      <c r="AQ31" s="7"/>
      <c r="AR31" s="3"/>
      <c r="AS31" s="7"/>
      <c r="AT31" s="2"/>
      <c r="AU31" s="17"/>
      <c r="AV31" s="3"/>
      <c r="AW31" s="7"/>
      <c r="AX31" s="3"/>
      <c r="AY31" s="7"/>
    </row>
    <row r="32" spans="1:51" ht="19.5" customHeight="1" x14ac:dyDescent="0.3">
      <c r="A32" s="2">
        <v>28</v>
      </c>
      <c r="B32" s="9"/>
      <c r="C32" s="4"/>
      <c r="D32" s="5"/>
      <c r="E32" s="10"/>
      <c r="F32" s="5"/>
      <c r="G32" s="5"/>
      <c r="H32" s="6"/>
      <c r="I32" s="5"/>
      <c r="J32" s="21"/>
      <c r="K32" s="15"/>
      <c r="L32" s="13"/>
      <c r="M32" s="15"/>
      <c r="N32" s="13"/>
      <c r="O32" s="15"/>
      <c r="P32" s="3"/>
      <c r="Q32" s="7"/>
      <c r="R32" s="3"/>
      <c r="S32" s="7"/>
      <c r="T32" s="3"/>
      <c r="U32" s="7"/>
      <c r="V32" s="7"/>
      <c r="W32" s="7"/>
      <c r="X32" s="7"/>
      <c r="Y32" s="7"/>
      <c r="Z32" s="14"/>
      <c r="AA32" s="8"/>
      <c r="AB32" s="8"/>
      <c r="AC32" s="11"/>
      <c r="AD32" s="8"/>
      <c r="AE32" s="8"/>
      <c r="AF32" s="3"/>
      <c r="AG32" s="8"/>
      <c r="AH32" s="8"/>
      <c r="AI32" s="8"/>
      <c r="AJ32" s="8"/>
      <c r="AK32" s="8"/>
      <c r="AL32" s="3"/>
      <c r="AM32" s="7"/>
      <c r="AN32" s="3"/>
      <c r="AO32" s="7"/>
      <c r="AP32" s="3"/>
      <c r="AQ32" s="7"/>
      <c r="AR32" s="3"/>
      <c r="AS32" s="7"/>
      <c r="AT32" s="2"/>
      <c r="AU32" s="17"/>
      <c r="AV32" s="3"/>
      <c r="AW32" s="7"/>
      <c r="AX32" s="3"/>
      <c r="AY32" s="7"/>
    </row>
    <row r="33" spans="1:51" ht="19.899999999999999" customHeight="1" x14ac:dyDescent="0.3">
      <c r="A33" s="2">
        <v>29</v>
      </c>
      <c r="B33" s="9"/>
      <c r="C33" s="4"/>
      <c r="D33" s="5"/>
      <c r="E33" s="10"/>
      <c r="F33" s="5"/>
      <c r="G33" s="5"/>
      <c r="H33" s="6"/>
      <c r="I33" s="5"/>
      <c r="J33" s="21"/>
      <c r="K33" s="15"/>
      <c r="L33" s="13"/>
      <c r="M33" s="15"/>
      <c r="N33" s="13"/>
      <c r="O33" s="15"/>
      <c r="P33" s="3"/>
      <c r="Q33" s="7"/>
      <c r="R33" s="3"/>
      <c r="S33" s="7"/>
      <c r="T33" s="3"/>
      <c r="U33" s="7"/>
      <c r="V33" s="7"/>
      <c r="W33" s="7"/>
      <c r="X33" s="7"/>
      <c r="Y33" s="7"/>
      <c r="Z33" s="14"/>
      <c r="AA33" s="8"/>
      <c r="AB33" s="8"/>
      <c r="AC33" s="11"/>
      <c r="AD33" s="8"/>
      <c r="AE33" s="8"/>
      <c r="AF33" s="3"/>
      <c r="AG33" s="8"/>
      <c r="AH33" s="8"/>
      <c r="AI33" s="8"/>
      <c r="AJ33" s="8"/>
      <c r="AK33" s="8"/>
      <c r="AL33" s="3"/>
      <c r="AM33" s="7"/>
      <c r="AN33" s="3"/>
      <c r="AO33" s="7"/>
      <c r="AP33" s="3"/>
      <c r="AQ33" s="7"/>
      <c r="AR33" s="3"/>
      <c r="AS33" s="7"/>
      <c r="AT33" s="2"/>
      <c r="AU33" s="17"/>
      <c r="AV33" s="3"/>
      <c r="AW33" s="7"/>
      <c r="AX33" s="3"/>
      <c r="AY33" s="7"/>
    </row>
    <row r="34" spans="1:51" ht="19.899999999999999" customHeight="1" x14ac:dyDescent="0.3">
      <c r="A34" s="2">
        <v>30</v>
      </c>
      <c r="B34" s="9"/>
      <c r="C34" s="4"/>
      <c r="D34" s="5"/>
      <c r="E34" s="10"/>
      <c r="F34" s="5"/>
      <c r="G34" s="5"/>
      <c r="H34" s="6"/>
      <c r="I34" s="5"/>
      <c r="J34" s="21"/>
      <c r="K34" s="15"/>
      <c r="L34" s="13"/>
      <c r="M34" s="15"/>
      <c r="N34" s="13"/>
      <c r="O34" s="15"/>
      <c r="P34" s="3"/>
      <c r="Q34" s="7"/>
      <c r="R34" s="3"/>
      <c r="S34" s="7"/>
      <c r="T34" s="3"/>
      <c r="U34" s="7"/>
      <c r="V34" s="7"/>
      <c r="W34" s="7"/>
      <c r="X34" s="7"/>
      <c r="Y34" s="7"/>
      <c r="Z34" s="14"/>
      <c r="AA34" s="8"/>
      <c r="AB34" s="8"/>
      <c r="AC34" s="11"/>
      <c r="AD34" s="8"/>
      <c r="AE34" s="8"/>
      <c r="AF34" s="3"/>
      <c r="AG34" s="8"/>
      <c r="AH34" s="8"/>
      <c r="AI34" s="8"/>
      <c r="AJ34" s="8"/>
      <c r="AK34" s="8"/>
      <c r="AL34" s="3"/>
      <c r="AM34" s="7"/>
      <c r="AN34" s="3"/>
      <c r="AO34" s="7"/>
      <c r="AP34" s="3"/>
      <c r="AQ34" s="7"/>
      <c r="AR34" s="3"/>
      <c r="AS34" s="7"/>
      <c r="AT34" s="2"/>
      <c r="AU34" s="17"/>
      <c r="AV34" s="3"/>
      <c r="AW34" s="7"/>
      <c r="AX34" s="3"/>
      <c r="AY34" s="7"/>
    </row>
    <row r="35" spans="1:51" ht="19.899999999999999" customHeight="1" x14ac:dyDescent="0.3">
      <c r="A35" s="2">
        <v>31</v>
      </c>
      <c r="B35" s="9"/>
      <c r="C35" s="4"/>
      <c r="D35" s="5"/>
      <c r="E35" s="10"/>
      <c r="F35" s="5"/>
      <c r="G35" s="5"/>
      <c r="H35" s="6"/>
      <c r="I35" s="5"/>
      <c r="J35" s="21"/>
      <c r="K35" s="15"/>
      <c r="L35" s="13"/>
      <c r="M35" s="15"/>
      <c r="N35" s="13"/>
      <c r="O35" s="15"/>
      <c r="P35" s="3"/>
      <c r="Q35" s="7"/>
      <c r="R35" s="3"/>
      <c r="S35" s="7"/>
      <c r="T35" s="3"/>
      <c r="U35" s="7"/>
      <c r="V35" s="7"/>
      <c r="W35" s="7"/>
      <c r="X35" s="7"/>
      <c r="Y35" s="7"/>
      <c r="Z35" s="14"/>
      <c r="AA35" s="8"/>
      <c r="AB35" s="8"/>
      <c r="AC35" s="11"/>
      <c r="AD35" s="8"/>
      <c r="AE35" s="8"/>
      <c r="AF35" s="3"/>
      <c r="AG35" s="8"/>
      <c r="AH35" s="8"/>
      <c r="AI35" s="8"/>
      <c r="AJ35" s="8"/>
      <c r="AK35" s="8"/>
      <c r="AL35" s="3"/>
      <c r="AM35" s="7"/>
      <c r="AN35" s="3"/>
      <c r="AO35" s="7"/>
      <c r="AP35" s="3"/>
      <c r="AQ35" s="7"/>
      <c r="AR35" s="3"/>
      <c r="AS35" s="7"/>
      <c r="AT35" s="2"/>
      <c r="AU35" s="17"/>
      <c r="AV35" s="3"/>
      <c r="AW35" s="7"/>
      <c r="AX35" s="3"/>
      <c r="AY35" s="7"/>
    </row>
    <row r="36" spans="1:51" ht="19.899999999999999" customHeight="1" x14ac:dyDescent="0.3">
      <c r="A36" s="2">
        <v>32</v>
      </c>
      <c r="B36" s="9"/>
      <c r="C36" s="4"/>
      <c r="D36" s="5"/>
      <c r="E36" s="10"/>
      <c r="F36" s="5"/>
      <c r="G36" s="5"/>
      <c r="H36" s="6"/>
      <c r="I36" s="5"/>
      <c r="J36" s="21"/>
      <c r="K36" s="15"/>
      <c r="L36" s="13"/>
      <c r="M36" s="15"/>
      <c r="N36" s="13"/>
      <c r="O36" s="15"/>
      <c r="P36" s="3"/>
      <c r="Q36" s="7"/>
      <c r="R36" s="3"/>
      <c r="S36" s="7"/>
      <c r="T36" s="3"/>
      <c r="U36" s="7"/>
      <c r="V36" s="7"/>
      <c r="W36" s="7"/>
      <c r="X36" s="7"/>
      <c r="Y36" s="7"/>
      <c r="Z36" s="14"/>
      <c r="AA36" s="8"/>
      <c r="AB36" s="8"/>
      <c r="AC36" s="11"/>
      <c r="AD36" s="8"/>
      <c r="AE36" s="8"/>
      <c r="AF36" s="3"/>
      <c r="AG36" s="8"/>
      <c r="AH36" s="8"/>
      <c r="AI36" s="8"/>
      <c r="AJ36" s="8"/>
      <c r="AK36" s="8"/>
      <c r="AL36" s="3"/>
      <c r="AM36" s="7"/>
      <c r="AN36" s="3"/>
      <c r="AO36" s="7"/>
      <c r="AP36" s="3"/>
      <c r="AQ36" s="7"/>
      <c r="AR36" s="3"/>
      <c r="AS36" s="7"/>
      <c r="AT36" s="2"/>
      <c r="AU36" s="17"/>
      <c r="AV36" s="3"/>
      <c r="AW36" s="7"/>
      <c r="AX36" s="3"/>
      <c r="AY36" s="7"/>
    </row>
    <row r="37" spans="1:51" ht="19.899999999999999" customHeight="1" x14ac:dyDescent="0.3">
      <c r="A37" s="2">
        <v>33</v>
      </c>
      <c r="B37" s="9"/>
      <c r="C37" s="4"/>
      <c r="D37" s="5"/>
      <c r="E37" s="10"/>
      <c r="F37" s="5"/>
      <c r="G37" s="5"/>
      <c r="H37" s="6"/>
      <c r="I37" s="5"/>
      <c r="J37" s="21"/>
      <c r="K37" s="15"/>
      <c r="L37" s="13"/>
      <c r="M37" s="15"/>
      <c r="N37" s="13"/>
      <c r="O37" s="15"/>
      <c r="P37" s="3"/>
      <c r="Q37" s="7"/>
      <c r="R37" s="3"/>
      <c r="S37" s="7"/>
      <c r="T37" s="3"/>
      <c r="U37" s="7"/>
      <c r="V37" s="7"/>
      <c r="W37" s="7"/>
      <c r="X37" s="7"/>
      <c r="Y37" s="7"/>
      <c r="Z37" s="14"/>
      <c r="AA37" s="8"/>
      <c r="AB37" s="8"/>
      <c r="AC37" s="11"/>
      <c r="AD37" s="8"/>
      <c r="AE37" s="8"/>
      <c r="AF37" s="3"/>
      <c r="AG37" s="8"/>
      <c r="AH37" s="8"/>
      <c r="AI37" s="8"/>
      <c r="AJ37" s="8"/>
      <c r="AK37" s="8"/>
      <c r="AL37" s="3"/>
      <c r="AM37" s="7"/>
      <c r="AN37" s="3"/>
      <c r="AO37" s="7"/>
      <c r="AP37" s="3"/>
      <c r="AQ37" s="7"/>
      <c r="AR37" s="3"/>
      <c r="AS37" s="7"/>
      <c r="AT37" s="2"/>
      <c r="AU37" s="17"/>
      <c r="AV37" s="3"/>
      <c r="AW37" s="7"/>
      <c r="AX37" s="3"/>
      <c r="AY37" s="7"/>
    </row>
    <row r="38" spans="1:51" ht="19.899999999999999" customHeight="1" x14ac:dyDescent="0.3">
      <c r="A38" s="2">
        <v>34</v>
      </c>
      <c r="B38" s="9"/>
      <c r="C38" s="4"/>
      <c r="D38" s="5"/>
      <c r="E38" s="10"/>
      <c r="F38" s="5"/>
      <c r="G38" s="5"/>
      <c r="H38" s="6"/>
      <c r="I38" s="5"/>
      <c r="J38" s="21"/>
      <c r="K38" s="15"/>
      <c r="L38" s="13"/>
      <c r="M38" s="15"/>
      <c r="N38" s="13"/>
      <c r="O38" s="15"/>
      <c r="P38" s="3"/>
      <c r="Q38" s="7"/>
      <c r="R38" s="3"/>
      <c r="S38" s="7"/>
      <c r="T38" s="3"/>
      <c r="U38" s="7"/>
      <c r="V38" s="7"/>
      <c r="W38" s="7"/>
      <c r="X38" s="7"/>
      <c r="Y38" s="7"/>
      <c r="Z38" s="14"/>
      <c r="AA38" s="8"/>
      <c r="AB38" s="8"/>
      <c r="AC38" s="11"/>
      <c r="AD38" s="8"/>
      <c r="AE38" s="8"/>
      <c r="AF38" s="3"/>
      <c r="AG38" s="8"/>
      <c r="AH38" s="8"/>
      <c r="AI38" s="8"/>
      <c r="AJ38" s="8"/>
      <c r="AK38" s="8"/>
      <c r="AL38" s="3"/>
      <c r="AM38" s="7"/>
      <c r="AN38" s="3"/>
      <c r="AO38" s="7"/>
      <c r="AP38" s="3"/>
      <c r="AQ38" s="7"/>
      <c r="AR38" s="3"/>
      <c r="AS38" s="7"/>
      <c r="AT38" s="2"/>
      <c r="AU38" s="17"/>
      <c r="AV38" s="3"/>
      <c r="AW38" s="7"/>
      <c r="AX38" s="3"/>
      <c r="AY38" s="7"/>
    </row>
    <row r="39" spans="1:51" ht="19.5" customHeight="1" x14ac:dyDescent="0.3">
      <c r="A39" s="2">
        <v>35</v>
      </c>
      <c r="B39" s="9"/>
      <c r="C39" s="4"/>
      <c r="D39" s="5"/>
      <c r="E39" s="10"/>
      <c r="F39" s="5"/>
      <c r="G39" s="5"/>
      <c r="H39" s="6"/>
      <c r="I39" s="5"/>
      <c r="J39" s="21"/>
      <c r="K39" s="15"/>
      <c r="L39" s="13"/>
      <c r="M39" s="15"/>
      <c r="N39" s="13"/>
      <c r="O39" s="15"/>
      <c r="P39" s="3"/>
      <c r="Q39" s="7"/>
      <c r="R39" s="3"/>
      <c r="S39" s="7"/>
      <c r="T39" s="3"/>
      <c r="U39" s="7"/>
      <c r="V39" s="7"/>
      <c r="W39" s="7"/>
      <c r="X39" s="7"/>
      <c r="Y39" s="7"/>
      <c r="Z39" s="14"/>
      <c r="AA39" s="8"/>
      <c r="AB39" s="8"/>
      <c r="AC39" s="11"/>
      <c r="AD39" s="8"/>
      <c r="AE39" s="8"/>
      <c r="AF39" s="3"/>
      <c r="AG39" s="8"/>
      <c r="AH39" s="8"/>
      <c r="AI39" s="8"/>
      <c r="AJ39" s="8"/>
      <c r="AK39" s="8"/>
      <c r="AL39" s="3"/>
      <c r="AM39" s="7"/>
      <c r="AN39" s="3"/>
      <c r="AO39" s="7"/>
      <c r="AP39" s="3"/>
      <c r="AQ39" s="7"/>
      <c r="AR39" s="3"/>
      <c r="AS39" s="7"/>
      <c r="AT39" s="2"/>
      <c r="AU39" s="17"/>
      <c r="AV39" s="3"/>
      <c r="AW39" s="7"/>
      <c r="AX39" s="3"/>
      <c r="AY39" s="7"/>
    </row>
    <row r="40" spans="1:51" ht="19.899999999999999" customHeight="1" x14ac:dyDescent="0.3">
      <c r="A40" s="2">
        <v>36</v>
      </c>
      <c r="B40" s="9"/>
      <c r="C40" s="4"/>
      <c r="D40" s="5"/>
      <c r="E40" s="10"/>
      <c r="F40" s="5"/>
      <c r="G40" s="5"/>
      <c r="H40" s="6"/>
      <c r="I40" s="5"/>
      <c r="J40" s="21"/>
      <c r="K40" s="15"/>
      <c r="L40" s="13"/>
      <c r="M40" s="15"/>
      <c r="N40" s="13"/>
      <c r="O40" s="15"/>
      <c r="P40" s="3"/>
      <c r="Q40" s="7"/>
      <c r="R40" s="3"/>
      <c r="S40" s="7"/>
      <c r="T40" s="3"/>
      <c r="U40" s="7"/>
      <c r="V40" s="7"/>
      <c r="W40" s="7"/>
      <c r="X40" s="7"/>
      <c r="Y40" s="7"/>
      <c r="Z40" s="14"/>
      <c r="AA40" s="8"/>
      <c r="AB40" s="8"/>
      <c r="AC40" s="11"/>
      <c r="AD40" s="8"/>
      <c r="AE40" s="8"/>
      <c r="AF40" s="3"/>
      <c r="AG40" s="8"/>
      <c r="AH40" s="8"/>
      <c r="AI40" s="8"/>
      <c r="AJ40" s="8"/>
      <c r="AK40" s="8"/>
      <c r="AL40" s="3"/>
      <c r="AM40" s="7"/>
      <c r="AN40" s="3"/>
      <c r="AO40" s="7"/>
      <c r="AP40" s="3"/>
      <c r="AQ40" s="7"/>
      <c r="AR40" s="3"/>
      <c r="AS40" s="7"/>
      <c r="AT40" s="2"/>
      <c r="AU40" s="17"/>
      <c r="AV40" s="3"/>
      <c r="AW40" s="7"/>
      <c r="AX40" s="3"/>
      <c r="AY40" s="7"/>
    </row>
    <row r="41" spans="1:51" ht="19.899999999999999" customHeight="1" x14ac:dyDescent="0.3">
      <c r="A41" s="2">
        <v>37</v>
      </c>
      <c r="B41" s="9"/>
      <c r="C41" s="4"/>
      <c r="D41" s="5"/>
      <c r="E41" s="10"/>
      <c r="F41" s="5"/>
      <c r="G41" s="5"/>
      <c r="H41" s="6"/>
      <c r="I41" s="5"/>
      <c r="J41" s="21"/>
      <c r="K41" s="15"/>
      <c r="L41" s="13"/>
      <c r="M41" s="15"/>
      <c r="N41" s="13"/>
      <c r="O41" s="15"/>
      <c r="P41" s="3"/>
      <c r="Q41" s="7"/>
      <c r="R41" s="3"/>
      <c r="S41" s="7"/>
      <c r="T41" s="3"/>
      <c r="U41" s="7"/>
      <c r="V41" s="7"/>
      <c r="W41" s="7"/>
      <c r="X41" s="7"/>
      <c r="Y41" s="7"/>
      <c r="Z41" s="14"/>
      <c r="AA41" s="8"/>
      <c r="AB41" s="8"/>
      <c r="AC41" s="11"/>
      <c r="AD41" s="8"/>
      <c r="AE41" s="8"/>
      <c r="AF41" s="3"/>
      <c r="AG41" s="8"/>
      <c r="AH41" s="8"/>
      <c r="AI41" s="8"/>
      <c r="AJ41" s="8"/>
      <c r="AK41" s="8"/>
      <c r="AL41" s="3"/>
      <c r="AM41" s="7"/>
      <c r="AN41" s="3"/>
      <c r="AO41" s="7"/>
      <c r="AP41" s="3"/>
      <c r="AQ41" s="7"/>
      <c r="AR41" s="3"/>
      <c r="AS41" s="7"/>
      <c r="AT41" s="2"/>
      <c r="AU41" s="17"/>
      <c r="AV41" s="3"/>
      <c r="AW41" s="7"/>
      <c r="AX41" s="3"/>
      <c r="AY41" s="7"/>
    </row>
    <row r="42" spans="1:51" ht="19.899999999999999" customHeight="1" x14ac:dyDescent="0.3">
      <c r="A42" s="2">
        <v>38</v>
      </c>
      <c r="B42" s="9"/>
      <c r="C42" s="4"/>
      <c r="D42" s="5"/>
      <c r="E42" s="10"/>
      <c r="F42" s="5"/>
      <c r="G42" s="5"/>
      <c r="H42" s="6"/>
      <c r="I42" s="5"/>
      <c r="J42" s="21"/>
      <c r="K42" s="15"/>
      <c r="L42" s="13"/>
      <c r="M42" s="15"/>
      <c r="N42" s="13"/>
      <c r="O42" s="15"/>
      <c r="P42" s="3"/>
      <c r="Q42" s="7"/>
      <c r="R42" s="3"/>
      <c r="S42" s="7"/>
      <c r="T42" s="3"/>
      <c r="U42" s="7"/>
      <c r="V42" s="7"/>
      <c r="W42" s="7"/>
      <c r="X42" s="7"/>
      <c r="Y42" s="7"/>
      <c r="Z42" s="14"/>
      <c r="AA42" s="8"/>
      <c r="AB42" s="8"/>
      <c r="AC42" s="11"/>
      <c r="AD42" s="8"/>
      <c r="AE42" s="8"/>
      <c r="AF42" s="3"/>
      <c r="AG42" s="8"/>
      <c r="AH42" s="8"/>
      <c r="AI42" s="8"/>
      <c r="AJ42" s="8"/>
      <c r="AK42" s="8"/>
      <c r="AL42" s="3"/>
      <c r="AM42" s="7"/>
      <c r="AN42" s="3"/>
      <c r="AO42" s="7"/>
      <c r="AP42" s="3"/>
      <c r="AQ42" s="7"/>
      <c r="AR42" s="3"/>
      <c r="AS42" s="7"/>
      <c r="AT42" s="2"/>
      <c r="AU42" s="17"/>
      <c r="AV42" s="3"/>
      <c r="AW42" s="7"/>
      <c r="AX42" s="3"/>
      <c r="AY42" s="7"/>
    </row>
    <row r="43" spans="1:51" ht="19.899999999999999" customHeight="1" x14ac:dyDescent="0.3">
      <c r="A43" s="2">
        <v>39</v>
      </c>
      <c r="B43" s="9"/>
      <c r="C43" s="4"/>
      <c r="D43" s="5"/>
      <c r="E43" s="10"/>
      <c r="F43" s="5"/>
      <c r="G43" s="5"/>
      <c r="H43" s="6"/>
      <c r="I43" s="5"/>
      <c r="J43" s="21"/>
      <c r="K43" s="15"/>
      <c r="L43" s="13"/>
      <c r="M43" s="15"/>
      <c r="N43" s="13"/>
      <c r="O43" s="15"/>
      <c r="P43" s="3"/>
      <c r="Q43" s="7"/>
      <c r="R43" s="3"/>
      <c r="S43" s="7"/>
      <c r="T43" s="3"/>
      <c r="U43" s="7"/>
      <c r="V43" s="7"/>
      <c r="W43" s="7"/>
      <c r="X43" s="7"/>
      <c r="Y43" s="7"/>
      <c r="Z43" s="14"/>
      <c r="AA43" s="8"/>
      <c r="AB43" s="8"/>
      <c r="AC43" s="11"/>
      <c r="AD43" s="8"/>
      <c r="AE43" s="8"/>
      <c r="AF43" s="3"/>
      <c r="AG43" s="8"/>
      <c r="AH43" s="8"/>
      <c r="AI43" s="8"/>
      <c r="AJ43" s="8"/>
      <c r="AK43" s="8"/>
      <c r="AL43" s="3"/>
      <c r="AM43" s="7"/>
      <c r="AN43" s="3"/>
      <c r="AO43" s="7"/>
      <c r="AP43" s="3"/>
      <c r="AQ43" s="7"/>
      <c r="AR43" s="3"/>
      <c r="AS43" s="7"/>
      <c r="AT43" s="2"/>
      <c r="AU43" s="17"/>
      <c r="AV43" s="3"/>
      <c r="AW43" s="7"/>
      <c r="AX43" s="3"/>
      <c r="AY43" s="7"/>
    </row>
    <row r="44" spans="1:51" ht="19.899999999999999" customHeight="1" x14ac:dyDescent="0.3">
      <c r="A44" s="2">
        <v>40</v>
      </c>
      <c r="B44" s="9"/>
      <c r="C44" s="4"/>
      <c r="D44" s="5"/>
      <c r="E44" s="10"/>
      <c r="F44" s="5"/>
      <c r="G44" s="5"/>
      <c r="H44" s="6"/>
      <c r="I44" s="5"/>
      <c r="J44" s="21"/>
      <c r="K44" s="15"/>
      <c r="L44" s="13"/>
      <c r="M44" s="15"/>
      <c r="N44" s="13"/>
      <c r="O44" s="15"/>
      <c r="P44" s="3"/>
      <c r="Q44" s="7"/>
      <c r="R44" s="3"/>
      <c r="S44" s="7"/>
      <c r="T44" s="3"/>
      <c r="U44" s="7"/>
      <c r="V44" s="7"/>
      <c r="W44" s="7"/>
      <c r="X44" s="7"/>
      <c r="Y44" s="7"/>
      <c r="Z44" s="14"/>
      <c r="AA44" s="8"/>
      <c r="AB44" s="8"/>
      <c r="AC44" s="11"/>
      <c r="AD44" s="8"/>
      <c r="AE44" s="8"/>
      <c r="AF44" s="3"/>
      <c r="AG44" s="8"/>
      <c r="AH44" s="8"/>
      <c r="AI44" s="8"/>
      <c r="AJ44" s="8"/>
      <c r="AK44" s="8"/>
      <c r="AL44" s="3"/>
      <c r="AM44" s="7"/>
      <c r="AN44" s="3"/>
      <c r="AO44" s="7"/>
      <c r="AP44" s="3"/>
      <c r="AQ44" s="7"/>
      <c r="AR44" s="3"/>
      <c r="AS44" s="7"/>
      <c r="AT44" s="2"/>
      <c r="AU44" s="17"/>
      <c r="AV44" s="3"/>
      <c r="AW44" s="7"/>
      <c r="AX44" s="3"/>
      <c r="AY44" s="7"/>
    </row>
    <row r="45" spans="1:51" ht="19.5" customHeight="1" x14ac:dyDescent="0.3">
      <c r="A45" s="2">
        <v>41</v>
      </c>
      <c r="B45" s="9"/>
      <c r="C45" s="4"/>
      <c r="D45" s="5"/>
      <c r="E45" s="10"/>
      <c r="F45" s="5"/>
      <c r="G45" s="5"/>
      <c r="H45" s="6"/>
      <c r="I45" s="5"/>
      <c r="J45" s="21"/>
      <c r="K45" s="15"/>
      <c r="L45" s="13"/>
      <c r="M45" s="15"/>
      <c r="N45" s="13"/>
      <c r="O45" s="15"/>
      <c r="P45" s="3"/>
      <c r="Q45" s="7"/>
      <c r="R45" s="3"/>
      <c r="S45" s="7"/>
      <c r="T45" s="3"/>
      <c r="U45" s="7"/>
      <c r="V45" s="7"/>
      <c r="W45" s="7"/>
      <c r="X45" s="7"/>
      <c r="Y45" s="7"/>
      <c r="Z45" s="14"/>
      <c r="AA45" s="8"/>
      <c r="AB45" s="8"/>
      <c r="AC45" s="11"/>
      <c r="AD45" s="8"/>
      <c r="AE45" s="8"/>
      <c r="AF45" s="3"/>
      <c r="AG45" s="8"/>
      <c r="AH45" s="8"/>
      <c r="AI45" s="8"/>
      <c r="AJ45" s="8"/>
      <c r="AK45" s="8"/>
      <c r="AL45" s="3"/>
      <c r="AM45" s="7"/>
      <c r="AN45" s="3"/>
      <c r="AO45" s="7"/>
      <c r="AP45" s="3"/>
      <c r="AQ45" s="7"/>
      <c r="AR45" s="3"/>
      <c r="AS45" s="7"/>
      <c r="AT45" s="2"/>
      <c r="AU45" s="17"/>
      <c r="AV45" s="3"/>
      <c r="AW45" s="7"/>
      <c r="AX45" s="3"/>
      <c r="AY45" s="7"/>
    </row>
    <row r="46" spans="1:51" ht="19.899999999999999" customHeight="1" x14ac:dyDescent="0.3">
      <c r="A46" s="2">
        <v>42</v>
      </c>
      <c r="B46" s="9"/>
      <c r="C46" s="4"/>
      <c r="D46" s="5"/>
      <c r="E46" s="10"/>
      <c r="F46" s="5"/>
      <c r="G46" s="5"/>
      <c r="H46" s="6"/>
      <c r="I46" s="5"/>
      <c r="J46" s="21"/>
      <c r="K46" s="15"/>
      <c r="L46" s="13"/>
      <c r="M46" s="15"/>
      <c r="N46" s="13"/>
      <c r="O46" s="15"/>
      <c r="P46" s="3"/>
      <c r="Q46" s="7"/>
      <c r="R46" s="3"/>
      <c r="S46" s="7"/>
      <c r="T46" s="3"/>
      <c r="U46" s="7"/>
      <c r="V46" s="7"/>
      <c r="W46" s="7"/>
      <c r="X46" s="7"/>
      <c r="Y46" s="7"/>
      <c r="Z46" s="14"/>
      <c r="AA46" s="8"/>
      <c r="AB46" s="8"/>
      <c r="AC46" s="11"/>
      <c r="AD46" s="8"/>
      <c r="AE46" s="8"/>
      <c r="AF46" s="3"/>
      <c r="AG46" s="8"/>
      <c r="AH46" s="8"/>
      <c r="AI46" s="8"/>
      <c r="AJ46" s="8"/>
      <c r="AK46" s="8"/>
      <c r="AL46" s="3"/>
      <c r="AM46" s="7"/>
      <c r="AN46" s="3"/>
      <c r="AO46" s="7"/>
      <c r="AP46" s="3"/>
      <c r="AQ46" s="7"/>
      <c r="AR46" s="3"/>
      <c r="AS46" s="7"/>
      <c r="AT46" s="2"/>
      <c r="AU46" s="17"/>
      <c r="AV46" s="3"/>
      <c r="AW46" s="7"/>
      <c r="AX46" s="3"/>
      <c r="AY46" s="7"/>
    </row>
    <row r="47" spans="1:51" ht="19.899999999999999" customHeight="1" x14ac:dyDescent="0.3">
      <c r="A47" s="2">
        <v>43</v>
      </c>
      <c r="B47" s="9"/>
      <c r="C47" s="4"/>
      <c r="D47" s="5"/>
      <c r="E47" s="10"/>
      <c r="F47" s="5"/>
      <c r="G47" s="5"/>
      <c r="H47" s="6"/>
      <c r="I47" s="5"/>
      <c r="J47" s="21"/>
      <c r="K47" s="15"/>
      <c r="L47" s="13"/>
      <c r="M47" s="15"/>
      <c r="N47" s="13"/>
      <c r="O47" s="15"/>
      <c r="P47" s="3"/>
      <c r="Q47" s="7"/>
      <c r="R47" s="3"/>
      <c r="S47" s="7"/>
      <c r="T47" s="3"/>
      <c r="U47" s="7"/>
      <c r="V47" s="7"/>
      <c r="W47" s="7"/>
      <c r="X47" s="7"/>
      <c r="Y47" s="7"/>
      <c r="Z47" s="14"/>
      <c r="AA47" s="8"/>
      <c r="AB47" s="8"/>
      <c r="AC47" s="11"/>
      <c r="AD47" s="8"/>
      <c r="AE47" s="8"/>
      <c r="AF47" s="3"/>
      <c r="AG47" s="8"/>
      <c r="AH47" s="8"/>
      <c r="AI47" s="8"/>
      <c r="AJ47" s="8"/>
      <c r="AK47" s="8"/>
      <c r="AL47" s="3"/>
      <c r="AM47" s="7"/>
      <c r="AN47" s="3"/>
      <c r="AO47" s="7"/>
      <c r="AP47" s="3"/>
      <c r="AQ47" s="7"/>
      <c r="AR47" s="3"/>
      <c r="AS47" s="7"/>
      <c r="AT47" s="2"/>
      <c r="AU47" s="17"/>
      <c r="AV47" s="3"/>
      <c r="AW47" s="7"/>
      <c r="AX47" s="3"/>
      <c r="AY47" s="7"/>
    </row>
    <row r="48" spans="1:51" ht="19.899999999999999" customHeight="1" x14ac:dyDescent="0.3">
      <c r="A48" s="2">
        <v>44</v>
      </c>
      <c r="B48" s="9"/>
      <c r="C48" s="4"/>
      <c r="D48" s="5"/>
      <c r="E48" s="10"/>
      <c r="F48" s="5"/>
      <c r="G48" s="5"/>
      <c r="H48" s="6"/>
      <c r="I48" s="5"/>
      <c r="J48" s="21"/>
      <c r="K48" s="15"/>
      <c r="L48" s="13"/>
      <c r="M48" s="15"/>
      <c r="N48" s="13"/>
      <c r="O48" s="15"/>
      <c r="P48" s="3"/>
      <c r="Q48" s="7"/>
      <c r="R48" s="3"/>
      <c r="S48" s="7"/>
      <c r="T48" s="3"/>
      <c r="U48" s="7"/>
      <c r="V48" s="7"/>
      <c r="W48" s="7"/>
      <c r="X48" s="7"/>
      <c r="Y48" s="7"/>
      <c r="Z48" s="14"/>
      <c r="AA48" s="8"/>
      <c r="AB48" s="8"/>
      <c r="AC48" s="11"/>
      <c r="AD48" s="8"/>
      <c r="AE48" s="8"/>
      <c r="AF48" s="3"/>
      <c r="AG48" s="8"/>
      <c r="AH48" s="8"/>
      <c r="AI48" s="8"/>
      <c r="AJ48" s="8"/>
      <c r="AK48" s="8"/>
      <c r="AL48" s="3"/>
      <c r="AM48" s="7"/>
      <c r="AN48" s="3"/>
      <c r="AO48" s="7"/>
      <c r="AP48" s="3"/>
      <c r="AQ48" s="7"/>
      <c r="AR48" s="3"/>
      <c r="AS48" s="7"/>
      <c r="AT48" s="2"/>
      <c r="AU48" s="17"/>
      <c r="AV48" s="3"/>
      <c r="AW48" s="7"/>
      <c r="AX48" s="3"/>
      <c r="AY48" s="7"/>
    </row>
    <row r="49" spans="1:51" ht="19.899999999999999" customHeight="1" x14ac:dyDescent="0.3">
      <c r="A49" s="2">
        <v>45</v>
      </c>
      <c r="B49" s="9"/>
      <c r="C49" s="4"/>
      <c r="D49" s="5"/>
      <c r="E49" s="10"/>
      <c r="F49" s="5"/>
      <c r="G49" s="5"/>
      <c r="H49" s="6"/>
      <c r="I49" s="5"/>
      <c r="J49" s="21"/>
      <c r="K49" s="15"/>
      <c r="L49" s="13"/>
      <c r="M49" s="15"/>
      <c r="N49" s="13"/>
      <c r="O49" s="15"/>
      <c r="P49" s="3"/>
      <c r="Q49" s="7"/>
      <c r="R49" s="3"/>
      <c r="S49" s="7"/>
      <c r="T49" s="3"/>
      <c r="U49" s="7"/>
      <c r="V49" s="7"/>
      <c r="W49" s="7"/>
      <c r="X49" s="7"/>
      <c r="Y49" s="7"/>
      <c r="Z49" s="14"/>
      <c r="AA49" s="8"/>
      <c r="AB49" s="8"/>
      <c r="AC49" s="11"/>
      <c r="AD49" s="8"/>
      <c r="AE49" s="8"/>
      <c r="AF49" s="3"/>
      <c r="AG49" s="8"/>
      <c r="AH49" s="8"/>
      <c r="AI49" s="8"/>
      <c r="AJ49" s="8"/>
      <c r="AK49" s="8"/>
      <c r="AL49" s="3"/>
      <c r="AM49" s="7"/>
      <c r="AN49" s="3"/>
      <c r="AO49" s="7"/>
      <c r="AP49" s="3"/>
      <c r="AQ49" s="7"/>
      <c r="AR49" s="3"/>
      <c r="AS49" s="7"/>
      <c r="AT49" s="2"/>
      <c r="AU49" s="17"/>
      <c r="AV49" s="3"/>
      <c r="AW49" s="7"/>
      <c r="AX49" s="3"/>
      <c r="AY49" s="7"/>
    </row>
    <row r="50" spans="1:51" ht="19.899999999999999" customHeight="1" x14ac:dyDescent="0.3">
      <c r="A50" s="2">
        <v>46</v>
      </c>
      <c r="B50" s="9"/>
      <c r="C50" s="4"/>
      <c r="D50" s="5"/>
      <c r="E50" s="10"/>
      <c r="F50" s="5"/>
      <c r="G50" s="5"/>
      <c r="H50" s="6"/>
      <c r="I50" s="5"/>
      <c r="J50" s="21"/>
      <c r="K50" s="15"/>
      <c r="L50" s="13"/>
      <c r="M50" s="15"/>
      <c r="N50" s="13"/>
      <c r="O50" s="15"/>
      <c r="P50" s="3"/>
      <c r="Q50" s="7"/>
      <c r="R50" s="3"/>
      <c r="S50" s="7"/>
      <c r="T50" s="3"/>
      <c r="U50" s="7"/>
      <c r="V50" s="7"/>
      <c r="W50" s="7"/>
      <c r="X50" s="7"/>
      <c r="Y50" s="7"/>
      <c r="Z50" s="14"/>
      <c r="AA50" s="8"/>
      <c r="AB50" s="8"/>
      <c r="AC50" s="11"/>
      <c r="AD50" s="8"/>
      <c r="AE50" s="8"/>
      <c r="AF50" s="3"/>
      <c r="AG50" s="8"/>
      <c r="AH50" s="8"/>
      <c r="AI50" s="8"/>
      <c r="AJ50" s="8"/>
      <c r="AK50" s="8"/>
      <c r="AL50" s="3"/>
      <c r="AM50" s="7"/>
      <c r="AN50" s="3"/>
      <c r="AO50" s="7"/>
      <c r="AP50" s="3"/>
      <c r="AQ50" s="7"/>
      <c r="AR50" s="3"/>
      <c r="AS50" s="7"/>
      <c r="AT50" s="2"/>
      <c r="AU50" s="17"/>
      <c r="AV50" s="3"/>
      <c r="AW50" s="7"/>
      <c r="AX50" s="3"/>
      <c r="AY50" s="7"/>
    </row>
    <row r="51" spans="1:51" ht="19.899999999999999" customHeight="1" x14ac:dyDescent="0.3">
      <c r="A51" s="2">
        <v>47</v>
      </c>
      <c r="B51" s="9"/>
      <c r="C51" s="4"/>
      <c r="D51" s="5"/>
      <c r="E51" s="10"/>
      <c r="F51" s="5"/>
      <c r="G51" s="5"/>
      <c r="H51" s="6"/>
      <c r="I51" s="5"/>
      <c r="J51" s="21"/>
      <c r="K51" s="15"/>
      <c r="L51" s="13"/>
      <c r="M51" s="15"/>
      <c r="N51" s="13"/>
      <c r="O51" s="15"/>
      <c r="P51" s="3"/>
      <c r="Q51" s="7"/>
      <c r="R51" s="3"/>
      <c r="S51" s="7"/>
      <c r="T51" s="3"/>
      <c r="U51" s="7"/>
      <c r="V51" s="7"/>
      <c r="W51" s="7"/>
      <c r="X51" s="7"/>
      <c r="Y51" s="7"/>
      <c r="Z51" s="14"/>
      <c r="AA51" s="8"/>
      <c r="AB51" s="8"/>
      <c r="AC51" s="11"/>
      <c r="AD51" s="8"/>
      <c r="AE51" s="8"/>
      <c r="AF51" s="3"/>
      <c r="AG51" s="8"/>
      <c r="AH51" s="8"/>
      <c r="AI51" s="8"/>
      <c r="AJ51" s="8"/>
      <c r="AK51" s="8"/>
      <c r="AL51" s="3"/>
      <c r="AM51" s="7"/>
      <c r="AN51" s="3"/>
      <c r="AO51" s="7"/>
      <c r="AP51" s="3"/>
      <c r="AQ51" s="7"/>
      <c r="AR51" s="3"/>
      <c r="AS51" s="7"/>
      <c r="AT51" s="2"/>
      <c r="AU51" s="17"/>
      <c r="AV51" s="3"/>
      <c r="AW51" s="7"/>
      <c r="AX51" s="3"/>
      <c r="AY51" s="7"/>
    </row>
    <row r="52" spans="1:51" ht="19.899999999999999" customHeight="1" x14ac:dyDescent="0.3">
      <c r="A52" s="2">
        <v>48</v>
      </c>
      <c r="B52" s="9"/>
      <c r="C52" s="4"/>
      <c r="D52" s="5"/>
      <c r="E52" s="10"/>
      <c r="F52" s="5"/>
      <c r="G52" s="5"/>
      <c r="H52" s="6"/>
      <c r="I52" s="5"/>
      <c r="J52" s="21"/>
      <c r="K52" s="15"/>
      <c r="L52" s="13"/>
      <c r="M52" s="15"/>
      <c r="N52" s="13"/>
      <c r="O52" s="15"/>
      <c r="P52" s="3"/>
      <c r="Q52" s="7"/>
      <c r="R52" s="3"/>
      <c r="S52" s="7"/>
      <c r="T52" s="3"/>
      <c r="U52" s="7"/>
      <c r="V52" s="7"/>
      <c r="W52" s="7"/>
      <c r="X52" s="7"/>
      <c r="Y52" s="7"/>
      <c r="Z52" s="14"/>
      <c r="AA52" s="8"/>
      <c r="AB52" s="8"/>
      <c r="AC52" s="11"/>
      <c r="AD52" s="8"/>
      <c r="AE52" s="8"/>
      <c r="AF52" s="3"/>
      <c r="AG52" s="8"/>
      <c r="AH52" s="8"/>
      <c r="AI52" s="8"/>
      <c r="AJ52" s="8"/>
      <c r="AK52" s="8"/>
      <c r="AL52" s="3"/>
      <c r="AM52" s="7"/>
      <c r="AN52" s="3"/>
      <c r="AO52" s="7"/>
      <c r="AP52" s="3"/>
      <c r="AQ52" s="7"/>
      <c r="AR52" s="3"/>
      <c r="AS52" s="7"/>
      <c r="AT52" s="2"/>
      <c r="AU52" s="17"/>
      <c r="AV52" s="3"/>
      <c r="AW52" s="7"/>
      <c r="AX52" s="3"/>
      <c r="AY52" s="7"/>
    </row>
    <row r="53" spans="1:51" ht="19.899999999999999" customHeight="1" x14ac:dyDescent="0.3">
      <c r="A53" s="2">
        <v>49</v>
      </c>
      <c r="B53" s="9"/>
      <c r="C53" s="4"/>
      <c r="D53" s="5"/>
      <c r="E53" s="10"/>
      <c r="F53" s="5"/>
      <c r="G53" s="5"/>
      <c r="H53" s="6"/>
      <c r="I53" s="5"/>
      <c r="J53" s="21"/>
      <c r="K53" s="15"/>
      <c r="L53" s="13"/>
      <c r="M53" s="15"/>
      <c r="N53" s="13"/>
      <c r="O53" s="15"/>
      <c r="P53" s="3"/>
      <c r="Q53" s="7"/>
      <c r="R53" s="3"/>
      <c r="S53" s="7"/>
      <c r="T53" s="3"/>
      <c r="U53" s="7"/>
      <c r="V53" s="7"/>
      <c r="W53" s="7"/>
      <c r="X53" s="7"/>
      <c r="Y53" s="7"/>
      <c r="Z53" s="14"/>
      <c r="AA53" s="8"/>
      <c r="AB53" s="8"/>
      <c r="AC53" s="11"/>
      <c r="AD53" s="8"/>
      <c r="AE53" s="8"/>
      <c r="AF53" s="3"/>
      <c r="AG53" s="8"/>
      <c r="AH53" s="8"/>
      <c r="AI53" s="8"/>
      <c r="AJ53" s="8"/>
      <c r="AK53" s="8"/>
      <c r="AL53" s="3"/>
      <c r="AM53" s="7"/>
      <c r="AN53" s="3"/>
      <c r="AO53" s="7"/>
      <c r="AP53" s="3"/>
      <c r="AQ53" s="7"/>
      <c r="AR53" s="3"/>
      <c r="AS53" s="7"/>
      <c r="AT53" s="2"/>
      <c r="AU53" s="17"/>
      <c r="AV53" s="3"/>
      <c r="AW53" s="7"/>
      <c r="AX53" s="3"/>
      <c r="AY53" s="7"/>
    </row>
    <row r="54" spans="1:51" ht="19.899999999999999" customHeight="1" x14ac:dyDescent="0.3">
      <c r="A54" s="2">
        <v>50</v>
      </c>
      <c r="B54" s="9"/>
      <c r="C54" s="4"/>
      <c r="D54" s="5"/>
      <c r="E54" s="10"/>
      <c r="F54" s="5"/>
      <c r="G54" s="5"/>
      <c r="H54" s="6"/>
      <c r="I54" s="5"/>
      <c r="J54" s="21"/>
      <c r="K54" s="15"/>
      <c r="L54" s="13"/>
      <c r="M54" s="15"/>
      <c r="N54" s="13"/>
      <c r="O54" s="15"/>
      <c r="P54" s="3"/>
      <c r="Q54" s="7"/>
      <c r="R54" s="3"/>
      <c r="S54" s="7"/>
      <c r="T54" s="3"/>
      <c r="U54" s="7"/>
      <c r="V54" s="7"/>
      <c r="W54" s="7"/>
      <c r="X54" s="7"/>
      <c r="Y54" s="7"/>
      <c r="Z54" s="14"/>
      <c r="AA54" s="8"/>
      <c r="AB54" s="8"/>
      <c r="AC54" s="11"/>
      <c r="AD54" s="8"/>
      <c r="AE54" s="8"/>
      <c r="AF54" s="3"/>
      <c r="AG54" s="8"/>
      <c r="AH54" s="8"/>
      <c r="AI54" s="8"/>
      <c r="AJ54" s="8"/>
      <c r="AK54" s="8"/>
      <c r="AL54" s="3"/>
      <c r="AM54" s="7"/>
      <c r="AN54" s="3"/>
      <c r="AO54" s="7"/>
      <c r="AP54" s="3"/>
      <c r="AQ54" s="7"/>
      <c r="AR54" s="3"/>
      <c r="AS54" s="7"/>
      <c r="AT54" s="2"/>
      <c r="AU54" s="17"/>
      <c r="AV54" s="3"/>
      <c r="AW54" s="7"/>
      <c r="AX54" s="3"/>
      <c r="AY54" s="7"/>
    </row>
    <row r="55" spans="1:51" ht="19.899999999999999" customHeight="1" x14ac:dyDescent="0.3">
      <c r="A55" s="2">
        <v>51</v>
      </c>
      <c r="B55" s="9"/>
      <c r="C55" s="4"/>
      <c r="D55" s="5"/>
      <c r="E55" s="10"/>
      <c r="F55" s="5"/>
      <c r="G55" s="5"/>
      <c r="H55" s="6"/>
      <c r="I55" s="5"/>
      <c r="J55" s="21"/>
      <c r="K55" s="15"/>
      <c r="L55" s="13"/>
      <c r="M55" s="15"/>
      <c r="N55" s="13"/>
      <c r="O55" s="15"/>
      <c r="P55" s="3"/>
      <c r="Q55" s="7"/>
      <c r="R55" s="3"/>
      <c r="S55" s="7"/>
      <c r="T55" s="3"/>
      <c r="U55" s="7"/>
      <c r="V55" s="7"/>
      <c r="W55" s="7"/>
      <c r="X55" s="7"/>
      <c r="Y55" s="7"/>
      <c r="Z55" s="14"/>
      <c r="AA55" s="8"/>
      <c r="AB55" s="8"/>
      <c r="AC55" s="11"/>
      <c r="AD55" s="8"/>
      <c r="AE55" s="8"/>
      <c r="AF55" s="3"/>
      <c r="AG55" s="8"/>
      <c r="AH55" s="8"/>
      <c r="AI55" s="8"/>
      <c r="AJ55" s="8"/>
      <c r="AK55" s="8"/>
      <c r="AL55" s="3"/>
      <c r="AM55" s="7"/>
      <c r="AN55" s="3"/>
      <c r="AO55" s="7"/>
      <c r="AP55" s="3"/>
      <c r="AQ55" s="7"/>
      <c r="AR55" s="3"/>
      <c r="AS55" s="7"/>
      <c r="AT55" s="2"/>
      <c r="AU55" s="17"/>
      <c r="AV55" s="3"/>
      <c r="AW55" s="7"/>
      <c r="AX55" s="3"/>
      <c r="AY55" s="7"/>
    </row>
    <row r="56" spans="1:51" ht="19.899999999999999" customHeight="1" x14ac:dyDescent="0.3">
      <c r="A56" s="2">
        <v>52</v>
      </c>
      <c r="B56" s="9"/>
      <c r="C56" s="4"/>
      <c r="D56" s="5"/>
      <c r="E56" s="10"/>
      <c r="F56" s="5"/>
      <c r="G56" s="5"/>
      <c r="H56" s="6"/>
      <c r="I56" s="5"/>
      <c r="J56" s="21"/>
      <c r="K56" s="15"/>
      <c r="L56" s="13"/>
      <c r="M56" s="15"/>
      <c r="N56" s="13"/>
      <c r="O56" s="15"/>
      <c r="P56" s="3"/>
      <c r="Q56" s="7"/>
      <c r="R56" s="3"/>
      <c r="S56" s="7"/>
      <c r="T56" s="3"/>
      <c r="U56" s="7"/>
      <c r="V56" s="7"/>
      <c r="W56" s="7"/>
      <c r="X56" s="7"/>
      <c r="Y56" s="7"/>
      <c r="Z56" s="14"/>
      <c r="AA56" s="8"/>
      <c r="AB56" s="8"/>
      <c r="AC56" s="11"/>
      <c r="AD56" s="8"/>
      <c r="AE56" s="8"/>
      <c r="AF56" s="3"/>
      <c r="AG56" s="8"/>
      <c r="AH56" s="8"/>
      <c r="AI56" s="8"/>
      <c r="AJ56" s="8"/>
      <c r="AK56" s="8"/>
      <c r="AL56" s="3"/>
      <c r="AM56" s="7"/>
      <c r="AN56" s="3"/>
      <c r="AO56" s="7"/>
      <c r="AP56" s="3"/>
      <c r="AQ56" s="7"/>
      <c r="AR56" s="3"/>
      <c r="AS56" s="7"/>
      <c r="AT56" s="2"/>
      <c r="AU56" s="17"/>
      <c r="AV56" s="3"/>
      <c r="AW56" s="7"/>
      <c r="AX56" s="3"/>
      <c r="AY56" s="7"/>
    </row>
    <row r="57" spans="1:51" ht="19.899999999999999" customHeight="1" x14ac:dyDescent="0.3">
      <c r="A57" s="2">
        <v>53</v>
      </c>
      <c r="B57" s="9"/>
      <c r="C57" s="4"/>
      <c r="D57" s="5"/>
      <c r="E57" s="10"/>
      <c r="F57" s="5"/>
      <c r="G57" s="5"/>
      <c r="H57" s="6"/>
      <c r="I57" s="5"/>
      <c r="J57" s="21"/>
      <c r="K57" s="15"/>
      <c r="L57" s="13"/>
      <c r="M57" s="15"/>
      <c r="N57" s="13"/>
      <c r="O57" s="15"/>
      <c r="P57" s="3"/>
      <c r="Q57" s="7"/>
      <c r="R57" s="3"/>
      <c r="S57" s="7"/>
      <c r="T57" s="3"/>
      <c r="U57" s="7"/>
      <c r="V57" s="7"/>
      <c r="W57" s="7"/>
      <c r="X57" s="7"/>
      <c r="Y57" s="7"/>
      <c r="Z57" s="14"/>
      <c r="AA57" s="8"/>
      <c r="AB57" s="8"/>
      <c r="AC57" s="11"/>
      <c r="AD57" s="8"/>
      <c r="AE57" s="8"/>
      <c r="AF57" s="3"/>
      <c r="AG57" s="8"/>
      <c r="AH57" s="8"/>
      <c r="AI57" s="8"/>
      <c r="AJ57" s="8"/>
      <c r="AK57" s="8"/>
      <c r="AL57" s="3"/>
      <c r="AM57" s="7"/>
      <c r="AN57" s="3"/>
      <c r="AO57" s="7"/>
      <c r="AP57" s="3"/>
      <c r="AQ57" s="7"/>
      <c r="AR57" s="3"/>
      <c r="AS57" s="7"/>
      <c r="AT57" s="2"/>
      <c r="AU57" s="17"/>
      <c r="AV57" s="3"/>
      <c r="AW57" s="7"/>
      <c r="AX57" s="3"/>
      <c r="AY57" s="7"/>
    </row>
    <row r="58" spans="1:51" ht="19.899999999999999" customHeight="1" x14ac:dyDescent="0.3">
      <c r="A58" s="2">
        <v>54</v>
      </c>
      <c r="B58" s="9"/>
      <c r="C58" s="4"/>
      <c r="D58" s="5"/>
      <c r="E58" s="10"/>
      <c r="F58" s="5"/>
      <c r="G58" s="5"/>
      <c r="H58" s="6"/>
      <c r="I58" s="5"/>
      <c r="J58" s="21"/>
      <c r="K58" s="15"/>
      <c r="L58" s="13"/>
      <c r="M58" s="15"/>
      <c r="N58" s="13"/>
      <c r="O58" s="15"/>
      <c r="P58" s="3"/>
      <c r="Q58" s="7"/>
      <c r="R58" s="3"/>
      <c r="S58" s="7"/>
      <c r="T58" s="3"/>
      <c r="U58" s="7"/>
      <c r="V58" s="7"/>
      <c r="W58" s="7"/>
      <c r="X58" s="7"/>
      <c r="Y58" s="7"/>
      <c r="Z58" s="14"/>
      <c r="AA58" s="8"/>
      <c r="AB58" s="8"/>
      <c r="AC58" s="11"/>
      <c r="AD58" s="8"/>
      <c r="AE58" s="8"/>
      <c r="AF58" s="3"/>
      <c r="AG58" s="8"/>
      <c r="AH58" s="8"/>
      <c r="AI58" s="8"/>
      <c r="AJ58" s="8"/>
      <c r="AK58" s="8"/>
      <c r="AL58" s="3"/>
      <c r="AM58" s="7"/>
      <c r="AN58" s="3"/>
      <c r="AO58" s="7"/>
      <c r="AP58" s="3"/>
      <c r="AQ58" s="7"/>
      <c r="AR58" s="3"/>
      <c r="AS58" s="7"/>
      <c r="AT58" s="2"/>
      <c r="AU58" s="17"/>
      <c r="AV58" s="3"/>
      <c r="AW58" s="7"/>
      <c r="AX58" s="3"/>
      <c r="AY58" s="7"/>
    </row>
    <row r="59" spans="1:51" ht="19.899999999999999" customHeight="1" x14ac:dyDescent="0.3">
      <c r="A59" s="2">
        <v>55</v>
      </c>
      <c r="B59" s="9"/>
      <c r="C59" s="4"/>
      <c r="D59" s="5"/>
      <c r="E59" s="10"/>
      <c r="F59" s="5"/>
      <c r="G59" s="5"/>
      <c r="H59" s="6"/>
      <c r="I59" s="5"/>
      <c r="J59" s="21"/>
      <c r="K59" s="15"/>
      <c r="L59" s="13"/>
      <c r="M59" s="15"/>
      <c r="N59" s="13"/>
      <c r="O59" s="15"/>
      <c r="P59" s="3"/>
      <c r="Q59" s="7"/>
      <c r="R59" s="3"/>
      <c r="S59" s="7"/>
      <c r="T59" s="3"/>
      <c r="U59" s="7"/>
      <c r="V59" s="7"/>
      <c r="W59" s="7"/>
      <c r="X59" s="7"/>
      <c r="Y59" s="7"/>
      <c r="Z59" s="14"/>
      <c r="AA59" s="8"/>
      <c r="AB59" s="8"/>
      <c r="AC59" s="11"/>
      <c r="AD59" s="8"/>
      <c r="AE59" s="8"/>
      <c r="AF59" s="3"/>
      <c r="AG59" s="8"/>
      <c r="AH59" s="8"/>
      <c r="AI59" s="8"/>
      <c r="AJ59" s="8"/>
      <c r="AK59" s="8"/>
      <c r="AL59" s="3"/>
      <c r="AM59" s="7"/>
      <c r="AN59" s="3"/>
      <c r="AO59" s="7"/>
      <c r="AP59" s="3"/>
      <c r="AQ59" s="7"/>
      <c r="AR59" s="3"/>
      <c r="AS59" s="7"/>
      <c r="AT59" s="2"/>
      <c r="AU59" s="17"/>
      <c r="AV59" s="3"/>
      <c r="AW59" s="7"/>
      <c r="AX59" s="3"/>
      <c r="AY59" s="7"/>
    </row>
    <row r="60" spans="1:51" ht="19.899999999999999" customHeight="1" x14ac:dyDescent="0.3">
      <c r="A60" s="2">
        <v>56</v>
      </c>
      <c r="B60" s="9"/>
      <c r="C60" s="4"/>
      <c r="D60" s="5"/>
      <c r="E60" s="10"/>
      <c r="F60" s="5"/>
      <c r="G60" s="5"/>
      <c r="H60" s="6"/>
      <c r="I60" s="5"/>
      <c r="J60" s="21"/>
      <c r="K60" s="15"/>
      <c r="L60" s="13"/>
      <c r="M60" s="15"/>
      <c r="N60" s="13"/>
      <c r="O60" s="15"/>
      <c r="P60" s="3"/>
      <c r="Q60" s="7"/>
      <c r="R60" s="3"/>
      <c r="S60" s="7"/>
      <c r="T60" s="3"/>
      <c r="U60" s="7"/>
      <c r="V60" s="7"/>
      <c r="W60" s="7"/>
      <c r="X60" s="7"/>
      <c r="Y60" s="7"/>
      <c r="Z60" s="14"/>
      <c r="AA60" s="8"/>
      <c r="AB60" s="8"/>
      <c r="AC60" s="11"/>
      <c r="AD60" s="8"/>
      <c r="AE60" s="8"/>
      <c r="AF60" s="3"/>
      <c r="AG60" s="8"/>
      <c r="AH60" s="8"/>
      <c r="AI60" s="8"/>
      <c r="AJ60" s="8"/>
      <c r="AK60" s="8"/>
      <c r="AL60" s="3"/>
      <c r="AM60" s="7"/>
      <c r="AN60" s="3"/>
      <c r="AO60" s="7"/>
      <c r="AP60" s="3"/>
      <c r="AQ60" s="7"/>
      <c r="AR60" s="3"/>
      <c r="AS60" s="7"/>
      <c r="AT60" s="2"/>
      <c r="AU60" s="17"/>
      <c r="AV60" s="3"/>
      <c r="AW60" s="7"/>
      <c r="AX60" s="3"/>
      <c r="AY60" s="7"/>
    </row>
    <row r="61" spans="1:51" ht="21" customHeight="1" x14ac:dyDescent="0.3">
      <c r="A61" s="2">
        <v>57</v>
      </c>
      <c r="B61" s="9"/>
      <c r="C61" s="4"/>
      <c r="D61" s="5"/>
      <c r="E61" s="10"/>
      <c r="F61" s="5"/>
      <c r="G61" s="5"/>
      <c r="H61" s="6"/>
      <c r="I61" s="5"/>
      <c r="J61" s="21"/>
      <c r="K61" s="15"/>
      <c r="L61" s="13"/>
      <c r="M61" s="15"/>
      <c r="N61" s="13"/>
      <c r="O61" s="15"/>
      <c r="P61" s="3"/>
      <c r="Q61" s="7"/>
      <c r="R61" s="3"/>
      <c r="S61" s="7"/>
      <c r="T61" s="3"/>
      <c r="U61" s="7"/>
      <c r="V61" s="7"/>
      <c r="W61" s="7"/>
      <c r="X61" s="7"/>
      <c r="Y61" s="7"/>
      <c r="Z61" s="14"/>
      <c r="AA61" s="8"/>
      <c r="AB61" s="8"/>
      <c r="AC61" s="11"/>
      <c r="AD61" s="8"/>
      <c r="AE61" s="8"/>
      <c r="AF61" s="3"/>
      <c r="AG61" s="8"/>
      <c r="AH61" s="8"/>
      <c r="AI61" s="8"/>
      <c r="AJ61" s="8"/>
      <c r="AK61" s="8"/>
      <c r="AL61" s="3"/>
      <c r="AM61" s="7"/>
      <c r="AN61" s="3"/>
      <c r="AO61" s="7"/>
      <c r="AP61" s="3"/>
      <c r="AQ61" s="7"/>
      <c r="AR61" s="3"/>
      <c r="AS61" s="7"/>
      <c r="AT61" s="2"/>
      <c r="AU61" s="17"/>
      <c r="AV61" s="3"/>
      <c r="AW61" s="7"/>
      <c r="AX61" s="3"/>
      <c r="AY61" s="7"/>
    </row>
    <row r="62" spans="1:51" ht="21.75" customHeight="1" x14ac:dyDescent="0.3">
      <c r="A62" s="2">
        <v>58</v>
      </c>
      <c r="B62" s="9"/>
      <c r="C62" s="4"/>
      <c r="D62" s="5"/>
      <c r="E62" s="10"/>
      <c r="F62" s="5"/>
      <c r="G62" s="5"/>
      <c r="H62" s="6"/>
      <c r="I62" s="5"/>
      <c r="J62" s="21"/>
      <c r="K62" s="15"/>
      <c r="L62" s="13"/>
      <c r="M62" s="15"/>
      <c r="N62" s="13"/>
      <c r="O62" s="15"/>
      <c r="P62" s="3"/>
      <c r="Q62" s="7"/>
      <c r="R62" s="3"/>
      <c r="S62" s="7"/>
      <c r="T62" s="3"/>
      <c r="U62" s="7"/>
      <c r="V62" s="7"/>
      <c r="W62" s="7"/>
      <c r="X62" s="7"/>
      <c r="Y62" s="7"/>
      <c r="Z62" s="14"/>
      <c r="AA62" s="8"/>
      <c r="AB62" s="8"/>
      <c r="AC62" s="11"/>
      <c r="AD62" s="8"/>
      <c r="AE62" s="8"/>
      <c r="AF62" s="3"/>
      <c r="AG62" s="8"/>
      <c r="AH62" s="8"/>
      <c r="AI62" s="8"/>
      <c r="AJ62" s="8"/>
      <c r="AK62" s="8"/>
      <c r="AL62" s="3"/>
      <c r="AM62" s="7"/>
      <c r="AN62" s="3"/>
      <c r="AO62" s="7"/>
      <c r="AP62" s="3"/>
      <c r="AQ62" s="7"/>
      <c r="AR62" s="3"/>
      <c r="AS62" s="7"/>
      <c r="AT62" s="2"/>
      <c r="AU62" s="17"/>
      <c r="AV62" s="3"/>
      <c r="AW62" s="7"/>
      <c r="AX62" s="3"/>
      <c r="AY62" s="7"/>
    </row>
    <row r="63" spans="1:51" ht="19.899999999999999" customHeight="1" x14ac:dyDescent="0.3">
      <c r="A63" s="2">
        <v>59</v>
      </c>
      <c r="B63" s="9"/>
      <c r="C63" s="4"/>
      <c r="D63" s="5"/>
      <c r="E63" s="10"/>
      <c r="F63" s="5"/>
      <c r="G63" s="5"/>
      <c r="H63" s="6"/>
      <c r="I63" s="5"/>
      <c r="J63" s="21"/>
      <c r="K63" s="15"/>
      <c r="L63" s="13"/>
      <c r="M63" s="15"/>
      <c r="N63" s="13"/>
      <c r="O63" s="15"/>
      <c r="P63" s="3"/>
      <c r="Q63" s="7"/>
      <c r="R63" s="3"/>
      <c r="S63" s="7"/>
      <c r="T63" s="3"/>
      <c r="U63" s="7"/>
      <c r="V63" s="7"/>
      <c r="W63" s="7"/>
      <c r="X63" s="7"/>
      <c r="Y63" s="7"/>
      <c r="Z63" s="14"/>
      <c r="AA63" s="8"/>
      <c r="AB63" s="8"/>
      <c r="AC63" s="11"/>
      <c r="AD63" s="8"/>
      <c r="AE63" s="8"/>
      <c r="AF63" s="3"/>
      <c r="AG63" s="8"/>
      <c r="AH63" s="8"/>
      <c r="AI63" s="8"/>
      <c r="AJ63" s="8"/>
      <c r="AK63" s="8"/>
      <c r="AL63" s="3"/>
      <c r="AM63" s="7"/>
      <c r="AN63" s="3"/>
      <c r="AO63" s="7"/>
      <c r="AP63" s="3"/>
      <c r="AQ63" s="7"/>
      <c r="AR63" s="3"/>
      <c r="AS63" s="7"/>
      <c r="AT63" s="2"/>
      <c r="AU63" s="17"/>
      <c r="AV63" s="3"/>
      <c r="AW63" s="7"/>
      <c r="AX63" s="3"/>
      <c r="AY63" s="7"/>
    </row>
    <row r="64" spans="1:51" ht="19.899999999999999" customHeight="1" x14ac:dyDescent="0.3">
      <c r="A64" s="2">
        <v>60</v>
      </c>
      <c r="B64" s="9"/>
      <c r="C64" s="4"/>
      <c r="D64" s="5"/>
      <c r="E64" s="10"/>
      <c r="F64" s="5"/>
      <c r="G64" s="5"/>
      <c r="H64" s="6"/>
      <c r="I64" s="5"/>
      <c r="J64" s="21"/>
      <c r="K64" s="15"/>
      <c r="L64" s="13"/>
      <c r="M64" s="15"/>
      <c r="N64" s="13"/>
      <c r="O64" s="15"/>
      <c r="P64" s="3"/>
      <c r="Q64" s="7"/>
      <c r="R64" s="3"/>
      <c r="S64" s="7"/>
      <c r="T64" s="3"/>
      <c r="U64" s="7"/>
      <c r="V64" s="7"/>
      <c r="W64" s="7"/>
      <c r="X64" s="7"/>
      <c r="Y64" s="7"/>
      <c r="Z64" s="14"/>
      <c r="AA64" s="8"/>
      <c r="AB64" s="8"/>
      <c r="AC64" s="11"/>
      <c r="AD64" s="8"/>
      <c r="AE64" s="8"/>
      <c r="AF64" s="3"/>
      <c r="AG64" s="8"/>
      <c r="AH64" s="8"/>
      <c r="AI64" s="8"/>
      <c r="AJ64" s="8"/>
      <c r="AK64" s="8"/>
      <c r="AL64" s="3"/>
      <c r="AM64" s="7"/>
      <c r="AN64" s="3"/>
      <c r="AO64" s="7"/>
      <c r="AP64" s="3"/>
      <c r="AQ64" s="7"/>
      <c r="AR64" s="3"/>
      <c r="AS64" s="7"/>
      <c r="AT64" s="2"/>
      <c r="AU64" s="17"/>
      <c r="AV64" s="3"/>
      <c r="AW64" s="7"/>
      <c r="AX64" s="3"/>
      <c r="AY64" s="7"/>
    </row>
    <row r="65" spans="1:51" ht="19.899999999999999" customHeight="1" x14ac:dyDescent="0.3">
      <c r="A65" s="2">
        <v>61</v>
      </c>
      <c r="B65" s="9"/>
      <c r="C65" s="4"/>
      <c r="D65" s="5"/>
      <c r="E65" s="10"/>
      <c r="F65" s="5"/>
      <c r="G65" s="5"/>
      <c r="H65" s="6"/>
      <c r="I65" s="5"/>
      <c r="J65" s="21"/>
      <c r="K65" s="15"/>
      <c r="L65" s="13"/>
      <c r="M65" s="15"/>
      <c r="N65" s="13"/>
      <c r="O65" s="15"/>
      <c r="P65" s="3"/>
      <c r="Q65" s="7"/>
      <c r="R65" s="3"/>
      <c r="S65" s="7"/>
      <c r="T65" s="3"/>
      <c r="U65" s="7"/>
      <c r="V65" s="7"/>
      <c r="W65" s="7"/>
      <c r="X65" s="7"/>
      <c r="Y65" s="7"/>
      <c r="Z65" s="14"/>
      <c r="AA65" s="8"/>
      <c r="AB65" s="8"/>
      <c r="AC65" s="11"/>
      <c r="AD65" s="8"/>
      <c r="AE65" s="8"/>
      <c r="AF65" s="3"/>
      <c r="AG65" s="8"/>
      <c r="AH65" s="8"/>
      <c r="AI65" s="8"/>
      <c r="AJ65" s="8"/>
      <c r="AK65" s="8"/>
      <c r="AL65" s="3"/>
      <c r="AM65" s="7"/>
      <c r="AN65" s="3"/>
      <c r="AO65" s="7"/>
      <c r="AP65" s="3"/>
      <c r="AQ65" s="7"/>
      <c r="AR65" s="3"/>
      <c r="AS65" s="7"/>
      <c r="AT65" s="2"/>
      <c r="AU65" s="17"/>
      <c r="AV65" s="3"/>
      <c r="AW65" s="7"/>
      <c r="AX65" s="3"/>
      <c r="AY65" s="7"/>
    </row>
    <row r="66" spans="1:51" ht="19.899999999999999" customHeight="1" x14ac:dyDescent="0.3">
      <c r="A66" s="2">
        <v>62</v>
      </c>
      <c r="B66" s="9"/>
      <c r="C66" s="4"/>
      <c r="D66" s="5"/>
      <c r="E66" s="10"/>
      <c r="F66" s="5"/>
      <c r="G66" s="5"/>
      <c r="H66" s="6"/>
      <c r="I66" s="5"/>
      <c r="J66" s="21"/>
      <c r="K66" s="15"/>
      <c r="L66" s="13"/>
      <c r="M66" s="15"/>
      <c r="N66" s="13"/>
      <c r="O66" s="15"/>
      <c r="P66" s="3"/>
      <c r="Q66" s="7"/>
      <c r="R66" s="3"/>
      <c r="S66" s="7"/>
      <c r="T66" s="3"/>
      <c r="U66" s="7"/>
      <c r="V66" s="7"/>
      <c r="W66" s="7"/>
      <c r="X66" s="7"/>
      <c r="Y66" s="7"/>
      <c r="Z66" s="14"/>
      <c r="AA66" s="8"/>
      <c r="AB66" s="8"/>
      <c r="AC66" s="11"/>
      <c r="AD66" s="8"/>
      <c r="AE66" s="8"/>
      <c r="AF66" s="3"/>
      <c r="AG66" s="8"/>
      <c r="AH66" s="8"/>
      <c r="AI66" s="8"/>
      <c r="AJ66" s="8"/>
      <c r="AK66" s="8"/>
      <c r="AL66" s="3"/>
      <c r="AM66" s="7"/>
      <c r="AN66" s="3"/>
      <c r="AO66" s="7"/>
      <c r="AP66" s="3"/>
      <c r="AQ66" s="7"/>
      <c r="AR66" s="3"/>
      <c r="AS66" s="7"/>
      <c r="AT66" s="2"/>
      <c r="AU66" s="17"/>
      <c r="AV66" s="3"/>
      <c r="AW66" s="7"/>
      <c r="AX66" s="3"/>
      <c r="AY66" s="7"/>
    </row>
    <row r="67" spans="1:51" ht="19.899999999999999" customHeight="1" x14ac:dyDescent="0.3">
      <c r="A67" s="2">
        <v>63</v>
      </c>
      <c r="B67" s="9"/>
      <c r="C67" s="4"/>
      <c r="D67" s="5"/>
      <c r="E67" s="10"/>
      <c r="F67" s="5"/>
      <c r="G67" s="5"/>
      <c r="H67" s="6"/>
      <c r="I67" s="5"/>
      <c r="J67" s="21"/>
      <c r="K67" s="15"/>
      <c r="L67" s="13"/>
      <c r="M67" s="15"/>
      <c r="N67" s="13"/>
      <c r="O67" s="15"/>
      <c r="P67" s="3"/>
      <c r="Q67" s="7"/>
      <c r="R67" s="3"/>
      <c r="S67" s="7"/>
      <c r="T67" s="3"/>
      <c r="U67" s="7"/>
      <c r="V67" s="7"/>
      <c r="W67" s="7"/>
      <c r="X67" s="7"/>
      <c r="Y67" s="7"/>
      <c r="Z67" s="14"/>
      <c r="AA67" s="8"/>
      <c r="AB67" s="8"/>
      <c r="AC67" s="11"/>
      <c r="AD67" s="8"/>
      <c r="AE67" s="8"/>
      <c r="AF67" s="3"/>
      <c r="AG67" s="8"/>
      <c r="AH67" s="8"/>
      <c r="AI67" s="8"/>
      <c r="AJ67" s="8"/>
      <c r="AK67" s="8"/>
      <c r="AL67" s="3"/>
      <c r="AM67" s="7"/>
      <c r="AN67" s="3"/>
      <c r="AO67" s="7"/>
      <c r="AP67" s="3"/>
      <c r="AQ67" s="7"/>
      <c r="AR67" s="3"/>
      <c r="AS67" s="7"/>
      <c r="AT67" s="2"/>
      <c r="AU67" s="17"/>
      <c r="AV67" s="3"/>
      <c r="AW67" s="7"/>
      <c r="AX67" s="3"/>
      <c r="AY67" s="7"/>
    </row>
    <row r="68" spans="1:51" ht="19.899999999999999" customHeight="1" x14ac:dyDescent="0.3">
      <c r="A68" s="2">
        <v>64</v>
      </c>
      <c r="B68" s="9"/>
      <c r="C68" s="4"/>
      <c r="D68" s="5"/>
      <c r="E68" s="10"/>
      <c r="F68" s="5"/>
      <c r="G68" s="5"/>
      <c r="H68" s="6"/>
      <c r="I68" s="5"/>
      <c r="J68" s="21"/>
      <c r="K68" s="15"/>
      <c r="L68" s="13"/>
      <c r="M68" s="15"/>
      <c r="N68" s="13"/>
      <c r="O68" s="15"/>
      <c r="P68" s="3"/>
      <c r="Q68" s="7"/>
      <c r="R68" s="3"/>
      <c r="S68" s="7"/>
      <c r="T68" s="3"/>
      <c r="U68" s="7"/>
      <c r="V68" s="7"/>
      <c r="W68" s="7"/>
      <c r="X68" s="7"/>
      <c r="Y68" s="7"/>
      <c r="Z68" s="14"/>
      <c r="AA68" s="8"/>
      <c r="AB68" s="8"/>
      <c r="AC68" s="11"/>
      <c r="AD68" s="8"/>
      <c r="AE68" s="8"/>
      <c r="AF68" s="3"/>
      <c r="AG68" s="8"/>
      <c r="AH68" s="8"/>
      <c r="AI68" s="8"/>
      <c r="AJ68" s="8"/>
      <c r="AK68" s="8"/>
      <c r="AL68" s="3"/>
      <c r="AM68" s="7"/>
      <c r="AN68" s="3"/>
      <c r="AO68" s="7"/>
      <c r="AP68" s="3"/>
      <c r="AQ68" s="7"/>
      <c r="AR68" s="3"/>
      <c r="AS68" s="7"/>
      <c r="AT68" s="2"/>
      <c r="AU68" s="17"/>
      <c r="AV68" s="3"/>
      <c r="AW68" s="7"/>
      <c r="AX68" s="3"/>
      <c r="AY68" s="7"/>
    </row>
    <row r="69" spans="1:51" ht="19.899999999999999" customHeight="1" x14ac:dyDescent="0.3">
      <c r="A69" s="2">
        <v>65</v>
      </c>
      <c r="B69" s="9"/>
      <c r="C69" s="4"/>
      <c r="D69" s="5"/>
      <c r="E69" s="10"/>
      <c r="F69" s="5"/>
      <c r="G69" s="5"/>
      <c r="H69" s="6"/>
      <c r="I69" s="5"/>
      <c r="J69" s="21"/>
      <c r="K69" s="15"/>
      <c r="L69" s="13"/>
      <c r="M69" s="15"/>
      <c r="N69" s="13"/>
      <c r="O69" s="15"/>
      <c r="P69" s="3"/>
      <c r="Q69" s="7"/>
      <c r="R69" s="3"/>
      <c r="S69" s="7"/>
      <c r="T69" s="3"/>
      <c r="U69" s="7"/>
      <c r="V69" s="7"/>
      <c r="W69" s="7"/>
      <c r="X69" s="7"/>
      <c r="Y69" s="7"/>
      <c r="Z69" s="14"/>
      <c r="AA69" s="8"/>
      <c r="AB69" s="8"/>
      <c r="AC69" s="11"/>
      <c r="AD69" s="8"/>
      <c r="AE69" s="8"/>
      <c r="AF69" s="3"/>
      <c r="AG69" s="8"/>
      <c r="AH69" s="8"/>
      <c r="AI69" s="8"/>
      <c r="AJ69" s="8"/>
      <c r="AK69" s="8"/>
      <c r="AL69" s="3"/>
      <c r="AM69" s="7"/>
      <c r="AN69" s="3"/>
      <c r="AO69" s="7"/>
      <c r="AP69" s="3"/>
      <c r="AQ69" s="7"/>
      <c r="AR69" s="3"/>
      <c r="AS69" s="7"/>
      <c r="AT69" s="2"/>
      <c r="AU69" s="17"/>
      <c r="AV69" s="3"/>
      <c r="AW69" s="7"/>
      <c r="AX69" s="3"/>
      <c r="AY69" s="7"/>
    </row>
    <row r="70" spans="1:51" ht="19.899999999999999" customHeight="1" x14ac:dyDescent="0.3">
      <c r="A70" s="2">
        <v>66</v>
      </c>
      <c r="B70" s="9"/>
      <c r="C70" s="4"/>
      <c r="D70" s="5"/>
      <c r="E70" s="10"/>
      <c r="F70" s="5"/>
      <c r="G70" s="5"/>
      <c r="H70" s="6"/>
      <c r="I70" s="5"/>
      <c r="J70" s="21"/>
      <c r="K70" s="15"/>
      <c r="L70" s="13"/>
      <c r="M70" s="15"/>
      <c r="N70" s="13"/>
      <c r="O70" s="15"/>
      <c r="P70" s="3"/>
      <c r="Q70" s="7"/>
      <c r="R70" s="3"/>
      <c r="S70" s="7"/>
      <c r="T70" s="3"/>
      <c r="U70" s="7"/>
      <c r="V70" s="7"/>
      <c r="W70" s="7"/>
      <c r="X70" s="7"/>
      <c r="Y70" s="7"/>
      <c r="Z70" s="14"/>
      <c r="AA70" s="8"/>
      <c r="AB70" s="8"/>
      <c r="AC70" s="11"/>
      <c r="AD70" s="8"/>
      <c r="AE70" s="8"/>
      <c r="AF70" s="3"/>
      <c r="AG70" s="8"/>
      <c r="AH70" s="8"/>
      <c r="AI70" s="8"/>
      <c r="AJ70" s="8"/>
      <c r="AK70" s="8"/>
      <c r="AL70" s="3"/>
      <c r="AM70" s="7"/>
      <c r="AN70" s="3"/>
      <c r="AO70" s="7"/>
      <c r="AP70" s="3"/>
      <c r="AQ70" s="7"/>
      <c r="AR70" s="3"/>
      <c r="AS70" s="7"/>
      <c r="AT70" s="2"/>
      <c r="AU70" s="17"/>
      <c r="AV70" s="3"/>
      <c r="AW70" s="7"/>
      <c r="AX70" s="3"/>
      <c r="AY70" s="7"/>
    </row>
    <row r="71" spans="1:51" ht="19.899999999999999" customHeight="1" x14ac:dyDescent="0.3">
      <c r="A71" s="2">
        <v>67</v>
      </c>
      <c r="B71" s="9"/>
      <c r="C71" s="4"/>
      <c r="D71" s="5"/>
      <c r="E71" s="10"/>
      <c r="F71" s="5"/>
      <c r="G71" s="5"/>
      <c r="H71" s="6"/>
      <c r="I71" s="5"/>
      <c r="J71" s="21"/>
      <c r="K71" s="15"/>
      <c r="L71" s="13"/>
      <c r="M71" s="15"/>
      <c r="N71" s="13"/>
      <c r="O71" s="15"/>
      <c r="P71" s="3"/>
      <c r="Q71" s="7"/>
      <c r="R71" s="3"/>
      <c r="S71" s="7"/>
      <c r="T71" s="3"/>
      <c r="U71" s="7"/>
      <c r="V71" s="7"/>
      <c r="W71" s="7"/>
      <c r="X71" s="7"/>
      <c r="Y71" s="7"/>
      <c r="Z71" s="14"/>
      <c r="AA71" s="8"/>
      <c r="AB71" s="8"/>
      <c r="AC71" s="11"/>
      <c r="AD71" s="8"/>
      <c r="AE71" s="8"/>
      <c r="AF71" s="3"/>
      <c r="AG71" s="8"/>
      <c r="AH71" s="8"/>
      <c r="AI71" s="8"/>
      <c r="AJ71" s="8"/>
      <c r="AK71" s="8"/>
      <c r="AL71" s="3"/>
      <c r="AM71" s="7"/>
      <c r="AN71" s="3"/>
      <c r="AO71" s="7"/>
      <c r="AP71" s="3"/>
      <c r="AQ71" s="7"/>
      <c r="AR71" s="3"/>
      <c r="AS71" s="7"/>
      <c r="AT71" s="2"/>
      <c r="AU71" s="17"/>
      <c r="AV71" s="3"/>
      <c r="AW71" s="7"/>
      <c r="AX71" s="3"/>
      <c r="AY71" s="7"/>
    </row>
    <row r="72" spans="1:51" ht="19.899999999999999" customHeight="1" x14ac:dyDescent="0.3">
      <c r="A72" s="2">
        <v>68</v>
      </c>
      <c r="B72" s="9"/>
      <c r="C72" s="4"/>
      <c r="D72" s="5"/>
      <c r="E72" s="10"/>
      <c r="F72" s="5"/>
      <c r="G72" s="5"/>
      <c r="H72" s="6"/>
      <c r="I72" s="5"/>
      <c r="J72" s="21"/>
      <c r="K72" s="15"/>
      <c r="L72" s="13"/>
      <c r="M72" s="15"/>
      <c r="N72" s="13"/>
      <c r="O72" s="15"/>
      <c r="P72" s="3"/>
      <c r="Q72" s="7"/>
      <c r="R72" s="3"/>
      <c r="S72" s="7"/>
      <c r="T72" s="3"/>
      <c r="U72" s="7"/>
      <c r="V72" s="7"/>
      <c r="W72" s="7"/>
      <c r="X72" s="7"/>
      <c r="Y72" s="7"/>
      <c r="Z72" s="14"/>
      <c r="AA72" s="8"/>
      <c r="AB72" s="8"/>
      <c r="AC72" s="11"/>
      <c r="AD72" s="8"/>
      <c r="AE72" s="8"/>
      <c r="AF72" s="3"/>
      <c r="AG72" s="8"/>
      <c r="AH72" s="8"/>
      <c r="AI72" s="8"/>
      <c r="AJ72" s="8"/>
      <c r="AK72" s="8"/>
      <c r="AL72" s="3"/>
      <c r="AM72" s="7"/>
      <c r="AN72" s="3"/>
      <c r="AO72" s="7"/>
      <c r="AP72" s="3"/>
      <c r="AQ72" s="7"/>
      <c r="AR72" s="3"/>
      <c r="AS72" s="7"/>
      <c r="AT72" s="2"/>
      <c r="AU72" s="17"/>
      <c r="AV72" s="3"/>
      <c r="AW72" s="7"/>
      <c r="AX72" s="3"/>
      <c r="AY72" s="7"/>
    </row>
    <row r="73" spans="1:51" ht="19.899999999999999" customHeight="1" x14ac:dyDescent="0.3">
      <c r="A73" s="2">
        <v>69</v>
      </c>
      <c r="B73" s="9"/>
      <c r="C73" s="4"/>
      <c r="D73" s="5"/>
      <c r="E73" s="10"/>
      <c r="F73" s="5"/>
      <c r="G73" s="5"/>
      <c r="H73" s="6"/>
      <c r="I73" s="5"/>
      <c r="J73" s="21"/>
      <c r="K73" s="15"/>
      <c r="L73" s="13"/>
      <c r="M73" s="15"/>
      <c r="N73" s="13"/>
      <c r="O73" s="15"/>
      <c r="P73" s="3"/>
      <c r="Q73" s="7"/>
      <c r="R73" s="3"/>
      <c r="S73" s="7"/>
      <c r="T73" s="3"/>
      <c r="U73" s="7"/>
      <c r="V73" s="7"/>
      <c r="W73" s="7"/>
      <c r="X73" s="7"/>
      <c r="Y73" s="7"/>
      <c r="Z73" s="14"/>
      <c r="AA73" s="8"/>
      <c r="AB73" s="8"/>
      <c r="AC73" s="11"/>
      <c r="AD73" s="8"/>
      <c r="AE73" s="8"/>
      <c r="AF73" s="3"/>
      <c r="AG73" s="8"/>
      <c r="AH73" s="8"/>
      <c r="AI73" s="8"/>
      <c r="AJ73" s="8"/>
      <c r="AK73" s="8"/>
      <c r="AL73" s="3"/>
      <c r="AM73" s="7"/>
      <c r="AN73" s="3"/>
      <c r="AO73" s="7"/>
      <c r="AP73" s="3"/>
      <c r="AQ73" s="7"/>
      <c r="AR73" s="3"/>
      <c r="AS73" s="7"/>
      <c r="AT73" s="2"/>
      <c r="AU73" s="17"/>
      <c r="AV73" s="3"/>
      <c r="AW73" s="7"/>
      <c r="AX73" s="3"/>
      <c r="AY73" s="7"/>
    </row>
    <row r="74" spans="1:51" ht="19.899999999999999" customHeight="1" x14ac:dyDescent="0.3">
      <c r="A74" s="2">
        <v>70</v>
      </c>
      <c r="B74" s="9"/>
      <c r="C74" s="4"/>
      <c r="D74" s="5"/>
      <c r="E74" s="10"/>
      <c r="F74" s="5"/>
      <c r="G74" s="5"/>
      <c r="H74" s="6"/>
      <c r="I74" s="5"/>
      <c r="J74" s="21"/>
      <c r="K74" s="15"/>
      <c r="L74" s="13"/>
      <c r="M74" s="15"/>
      <c r="N74" s="13"/>
      <c r="O74" s="15"/>
      <c r="P74" s="3"/>
      <c r="Q74" s="7"/>
      <c r="R74" s="3"/>
      <c r="S74" s="7"/>
      <c r="T74" s="3"/>
      <c r="U74" s="7"/>
      <c r="V74" s="7"/>
      <c r="W74" s="7"/>
      <c r="X74" s="7"/>
      <c r="Y74" s="7"/>
      <c r="Z74" s="14"/>
      <c r="AA74" s="8"/>
      <c r="AB74" s="8"/>
      <c r="AC74" s="11"/>
      <c r="AD74" s="8"/>
      <c r="AE74" s="8"/>
      <c r="AF74" s="3"/>
      <c r="AG74" s="8"/>
      <c r="AH74" s="8"/>
      <c r="AI74" s="8"/>
      <c r="AJ74" s="8"/>
      <c r="AK74" s="8"/>
      <c r="AL74" s="3"/>
      <c r="AM74" s="7"/>
      <c r="AN74" s="3"/>
      <c r="AO74" s="7"/>
      <c r="AP74" s="3"/>
      <c r="AQ74" s="7"/>
      <c r="AR74" s="3"/>
      <c r="AS74" s="7"/>
      <c r="AT74" s="2"/>
      <c r="AU74" s="17"/>
      <c r="AV74" s="3"/>
      <c r="AW74" s="7"/>
      <c r="AX74" s="3"/>
      <c r="AY74" s="7"/>
    </row>
    <row r="75" spans="1:51" ht="19.899999999999999" customHeight="1" x14ac:dyDescent="0.3">
      <c r="A75" s="2">
        <v>71</v>
      </c>
      <c r="B75" s="9"/>
      <c r="C75" s="4"/>
      <c r="D75" s="5"/>
      <c r="E75" s="10"/>
      <c r="F75" s="5"/>
      <c r="G75" s="5"/>
      <c r="H75" s="6"/>
      <c r="I75" s="5"/>
      <c r="J75" s="21"/>
      <c r="K75" s="15"/>
      <c r="L75" s="13"/>
      <c r="M75" s="15"/>
      <c r="N75" s="13"/>
      <c r="O75" s="15"/>
      <c r="P75" s="3"/>
      <c r="Q75" s="7"/>
      <c r="R75" s="3"/>
      <c r="S75" s="7"/>
      <c r="T75" s="3"/>
      <c r="U75" s="7"/>
      <c r="V75" s="7"/>
      <c r="W75" s="7"/>
      <c r="X75" s="7"/>
      <c r="Y75" s="7"/>
      <c r="Z75" s="14"/>
      <c r="AA75" s="8"/>
      <c r="AB75" s="8"/>
      <c r="AC75" s="11"/>
      <c r="AD75" s="8"/>
      <c r="AE75" s="8"/>
      <c r="AF75" s="3"/>
      <c r="AG75" s="8"/>
      <c r="AH75" s="8"/>
      <c r="AI75" s="8"/>
      <c r="AJ75" s="8"/>
      <c r="AK75" s="8"/>
      <c r="AL75" s="3"/>
      <c r="AM75" s="7"/>
      <c r="AN75" s="3"/>
      <c r="AO75" s="7"/>
      <c r="AP75" s="3"/>
      <c r="AQ75" s="7"/>
      <c r="AR75" s="3"/>
      <c r="AS75" s="7"/>
      <c r="AT75" s="2"/>
      <c r="AU75" s="17"/>
      <c r="AV75" s="3"/>
      <c r="AW75" s="7"/>
      <c r="AX75" s="3"/>
      <c r="AY75" s="7"/>
    </row>
    <row r="76" spans="1:51" ht="19.899999999999999" customHeight="1" x14ac:dyDescent="0.3">
      <c r="A76" s="2">
        <v>72</v>
      </c>
      <c r="B76" s="9"/>
      <c r="C76" s="4"/>
      <c r="D76" s="5"/>
      <c r="E76" s="10"/>
      <c r="F76" s="5"/>
      <c r="G76" s="5"/>
      <c r="H76" s="6"/>
      <c r="I76" s="5"/>
      <c r="J76" s="21"/>
      <c r="K76" s="15"/>
      <c r="L76" s="13"/>
      <c r="M76" s="15"/>
      <c r="N76" s="13"/>
      <c r="O76" s="15"/>
      <c r="P76" s="3"/>
      <c r="Q76" s="7"/>
      <c r="R76" s="3"/>
      <c r="S76" s="7"/>
      <c r="T76" s="3"/>
      <c r="U76" s="7"/>
      <c r="V76" s="7"/>
      <c r="W76" s="7"/>
      <c r="X76" s="7"/>
      <c r="Y76" s="7"/>
      <c r="Z76" s="14"/>
      <c r="AA76" s="8"/>
      <c r="AB76" s="8"/>
      <c r="AC76" s="11"/>
      <c r="AD76" s="8"/>
      <c r="AE76" s="8"/>
      <c r="AF76" s="3"/>
      <c r="AG76" s="8"/>
      <c r="AH76" s="8"/>
      <c r="AI76" s="8"/>
      <c r="AJ76" s="8"/>
      <c r="AK76" s="8"/>
      <c r="AL76" s="3"/>
      <c r="AM76" s="7"/>
      <c r="AN76" s="3"/>
      <c r="AO76" s="7"/>
      <c r="AP76" s="3"/>
      <c r="AQ76" s="7"/>
      <c r="AR76" s="3"/>
      <c r="AS76" s="7"/>
      <c r="AT76" s="2"/>
      <c r="AU76" s="17"/>
      <c r="AV76" s="3"/>
      <c r="AW76" s="7"/>
      <c r="AX76" s="3"/>
      <c r="AY76" s="7"/>
    </row>
    <row r="77" spans="1:51" ht="19.899999999999999" customHeight="1" x14ac:dyDescent="0.3">
      <c r="A77" s="2">
        <v>73</v>
      </c>
      <c r="B77" s="9"/>
      <c r="C77" s="4"/>
      <c r="D77" s="5"/>
      <c r="E77" s="10"/>
      <c r="F77" s="5"/>
      <c r="G77" s="5"/>
      <c r="H77" s="6"/>
      <c r="I77" s="5"/>
      <c r="J77" s="21"/>
      <c r="K77" s="15"/>
      <c r="L77" s="13"/>
      <c r="M77" s="15"/>
      <c r="N77" s="13"/>
      <c r="O77" s="15"/>
      <c r="P77" s="3"/>
      <c r="Q77" s="7"/>
      <c r="R77" s="3"/>
      <c r="S77" s="7"/>
      <c r="T77" s="3"/>
      <c r="U77" s="7"/>
      <c r="V77" s="7"/>
      <c r="W77" s="7"/>
      <c r="X77" s="7"/>
      <c r="Y77" s="7"/>
      <c r="Z77" s="14"/>
      <c r="AA77" s="8"/>
      <c r="AB77" s="8"/>
      <c r="AC77" s="11"/>
      <c r="AD77" s="8"/>
      <c r="AE77" s="8"/>
      <c r="AF77" s="3"/>
      <c r="AG77" s="8"/>
      <c r="AH77" s="8"/>
      <c r="AI77" s="8"/>
      <c r="AJ77" s="8"/>
      <c r="AK77" s="8"/>
      <c r="AL77" s="3"/>
      <c r="AM77" s="7"/>
      <c r="AN77" s="3"/>
      <c r="AO77" s="7"/>
      <c r="AP77" s="3"/>
      <c r="AQ77" s="7"/>
      <c r="AR77" s="3"/>
      <c r="AS77" s="7"/>
      <c r="AT77" s="2"/>
      <c r="AU77" s="17"/>
      <c r="AV77" s="3"/>
      <c r="AW77" s="7"/>
      <c r="AX77" s="3"/>
      <c r="AY77" s="7"/>
    </row>
    <row r="78" spans="1:51" ht="19.899999999999999" customHeight="1" x14ac:dyDescent="0.3">
      <c r="A78" s="2">
        <v>74</v>
      </c>
      <c r="B78" s="9"/>
      <c r="C78" s="4"/>
      <c r="D78" s="5"/>
      <c r="E78" s="10"/>
      <c r="F78" s="5"/>
      <c r="G78" s="5"/>
      <c r="H78" s="6"/>
      <c r="I78" s="5"/>
      <c r="J78" s="21"/>
      <c r="K78" s="15"/>
      <c r="L78" s="13"/>
      <c r="M78" s="15"/>
      <c r="N78" s="13"/>
      <c r="O78" s="15"/>
      <c r="P78" s="3"/>
      <c r="Q78" s="7"/>
      <c r="R78" s="3"/>
      <c r="S78" s="7"/>
      <c r="T78" s="3"/>
      <c r="U78" s="7"/>
      <c r="V78" s="7"/>
      <c r="W78" s="7"/>
      <c r="X78" s="7"/>
      <c r="Y78" s="7"/>
      <c r="Z78" s="14"/>
      <c r="AA78" s="8"/>
      <c r="AB78" s="8"/>
      <c r="AC78" s="11"/>
      <c r="AD78" s="8"/>
      <c r="AE78" s="8"/>
      <c r="AF78" s="3"/>
      <c r="AG78" s="8"/>
      <c r="AH78" s="8"/>
      <c r="AI78" s="8"/>
      <c r="AJ78" s="8"/>
      <c r="AK78" s="8"/>
      <c r="AL78" s="3"/>
      <c r="AM78" s="7"/>
      <c r="AN78" s="3"/>
      <c r="AO78" s="7"/>
      <c r="AP78" s="3"/>
      <c r="AQ78" s="7"/>
      <c r="AR78" s="3"/>
      <c r="AS78" s="7"/>
      <c r="AT78" s="2"/>
      <c r="AU78" s="17"/>
      <c r="AV78" s="3"/>
      <c r="AW78" s="7"/>
      <c r="AX78" s="3"/>
      <c r="AY78" s="7"/>
    </row>
    <row r="79" spans="1:51" ht="19.899999999999999" customHeight="1" x14ac:dyDescent="0.3">
      <c r="A79" s="2">
        <v>75</v>
      </c>
      <c r="B79" s="9"/>
      <c r="C79" s="4"/>
      <c r="D79" s="5"/>
      <c r="E79" s="10"/>
      <c r="F79" s="5"/>
      <c r="G79" s="5"/>
      <c r="H79" s="6"/>
      <c r="I79" s="5"/>
      <c r="J79" s="21"/>
      <c r="K79" s="15"/>
      <c r="L79" s="13"/>
      <c r="M79" s="15"/>
      <c r="N79" s="13"/>
      <c r="O79" s="15"/>
      <c r="P79" s="3"/>
      <c r="Q79" s="7"/>
      <c r="R79" s="3"/>
      <c r="S79" s="7"/>
      <c r="T79" s="3"/>
      <c r="U79" s="7"/>
      <c r="V79" s="7"/>
      <c r="W79" s="7"/>
      <c r="X79" s="7"/>
      <c r="Y79" s="7"/>
      <c r="Z79" s="14"/>
      <c r="AA79" s="8"/>
      <c r="AB79" s="8"/>
      <c r="AC79" s="11"/>
      <c r="AD79" s="8"/>
      <c r="AE79" s="8"/>
      <c r="AF79" s="3"/>
      <c r="AG79" s="8"/>
      <c r="AH79" s="8"/>
      <c r="AI79" s="8"/>
      <c r="AJ79" s="8"/>
      <c r="AK79" s="8"/>
      <c r="AL79" s="3"/>
      <c r="AM79" s="7"/>
      <c r="AN79" s="3"/>
      <c r="AO79" s="7"/>
      <c r="AP79" s="3"/>
      <c r="AQ79" s="7"/>
      <c r="AR79" s="3"/>
      <c r="AS79" s="7"/>
      <c r="AT79" s="2"/>
      <c r="AU79" s="17"/>
      <c r="AV79" s="3"/>
      <c r="AW79" s="7"/>
      <c r="AX79" s="3"/>
      <c r="AY79" s="7"/>
    </row>
    <row r="80" spans="1:51" ht="19.899999999999999" customHeight="1" x14ac:dyDescent="0.3">
      <c r="A80" s="2">
        <v>76</v>
      </c>
      <c r="B80" s="9"/>
      <c r="C80" s="4"/>
      <c r="D80" s="5"/>
      <c r="E80" s="10"/>
      <c r="F80" s="5"/>
      <c r="G80" s="5"/>
      <c r="H80" s="6"/>
      <c r="I80" s="5"/>
      <c r="J80" s="21"/>
      <c r="K80" s="15"/>
      <c r="L80" s="13"/>
      <c r="M80" s="15"/>
      <c r="N80" s="13"/>
      <c r="O80" s="15"/>
      <c r="P80" s="3"/>
      <c r="Q80" s="7"/>
      <c r="R80" s="3"/>
      <c r="S80" s="7"/>
      <c r="T80" s="3"/>
      <c r="U80" s="7"/>
      <c r="V80" s="7"/>
      <c r="W80" s="7"/>
      <c r="X80" s="7"/>
      <c r="Y80" s="7"/>
      <c r="Z80" s="14"/>
      <c r="AA80" s="8"/>
      <c r="AB80" s="8"/>
      <c r="AC80" s="11"/>
      <c r="AD80" s="8"/>
      <c r="AE80" s="8"/>
      <c r="AF80" s="3"/>
      <c r="AG80" s="8"/>
      <c r="AH80" s="8"/>
      <c r="AI80" s="8"/>
      <c r="AJ80" s="8"/>
      <c r="AK80" s="8"/>
      <c r="AL80" s="3"/>
      <c r="AM80" s="7"/>
      <c r="AN80" s="3"/>
      <c r="AO80" s="7"/>
      <c r="AP80" s="3"/>
      <c r="AQ80" s="7"/>
      <c r="AR80" s="3"/>
      <c r="AS80" s="7"/>
      <c r="AT80" s="2"/>
      <c r="AU80" s="17"/>
      <c r="AV80" s="3"/>
      <c r="AW80" s="7"/>
      <c r="AX80" s="3"/>
      <c r="AY80" s="7"/>
    </row>
    <row r="81" spans="1:57" ht="19.899999999999999" customHeight="1" x14ac:dyDescent="0.3">
      <c r="A81" s="2">
        <v>77</v>
      </c>
      <c r="B81" s="9"/>
      <c r="C81" s="4"/>
      <c r="D81" s="5"/>
      <c r="E81" s="10"/>
      <c r="F81" s="5"/>
      <c r="G81" s="5"/>
      <c r="H81" s="6"/>
      <c r="I81" s="5"/>
      <c r="J81" s="21"/>
      <c r="K81" s="15"/>
      <c r="L81" s="13"/>
      <c r="M81" s="15"/>
      <c r="N81" s="13"/>
      <c r="O81" s="15"/>
      <c r="P81" s="3"/>
      <c r="Q81" s="7"/>
      <c r="R81" s="3"/>
      <c r="S81" s="7"/>
      <c r="T81" s="3"/>
      <c r="U81" s="7"/>
      <c r="V81" s="7"/>
      <c r="W81" s="7"/>
      <c r="X81" s="7"/>
      <c r="Y81" s="7"/>
      <c r="Z81" s="14"/>
      <c r="AA81" s="8"/>
      <c r="AB81" s="8"/>
      <c r="AC81" s="11"/>
      <c r="AD81" s="8"/>
      <c r="AE81" s="8"/>
      <c r="AF81" s="3"/>
      <c r="AG81" s="8"/>
      <c r="AH81" s="8"/>
      <c r="AI81" s="8"/>
      <c r="AJ81" s="8"/>
      <c r="AK81" s="8"/>
      <c r="AL81" s="3"/>
      <c r="AM81" s="7"/>
      <c r="AN81" s="3"/>
      <c r="AO81" s="7"/>
      <c r="AP81" s="3"/>
      <c r="AQ81" s="7"/>
      <c r="AR81" s="3"/>
      <c r="AS81" s="7"/>
      <c r="AT81" s="2"/>
      <c r="AU81" s="17"/>
      <c r="AV81" s="3"/>
      <c r="AW81" s="7"/>
      <c r="AX81" s="3"/>
      <c r="AY81" s="7"/>
    </row>
    <row r="82" spans="1:57" ht="19.899999999999999" customHeight="1" x14ac:dyDescent="0.3">
      <c r="A82" s="2">
        <v>78</v>
      </c>
      <c r="B82" s="9"/>
      <c r="C82" s="4"/>
      <c r="D82" s="5"/>
      <c r="E82" s="10"/>
      <c r="F82" s="5"/>
      <c r="G82" s="5"/>
      <c r="H82" s="6"/>
      <c r="I82" s="5"/>
      <c r="J82" s="21"/>
      <c r="K82" s="15"/>
      <c r="L82" s="13"/>
      <c r="M82" s="15"/>
      <c r="N82" s="13"/>
      <c r="O82" s="15"/>
      <c r="P82" s="3"/>
      <c r="Q82" s="7"/>
      <c r="R82" s="3"/>
      <c r="S82" s="7"/>
      <c r="T82" s="3"/>
      <c r="U82" s="7"/>
      <c r="V82" s="7"/>
      <c r="W82" s="7"/>
      <c r="X82" s="7"/>
      <c r="Y82" s="7"/>
      <c r="Z82" s="14"/>
      <c r="AA82" s="8"/>
      <c r="AB82" s="8"/>
      <c r="AC82" s="11"/>
      <c r="AD82" s="8"/>
      <c r="AE82" s="8"/>
      <c r="AF82" s="3"/>
      <c r="AG82" s="8"/>
      <c r="AH82" s="8"/>
      <c r="AI82" s="8"/>
      <c r="AJ82" s="8"/>
      <c r="AK82" s="8"/>
      <c r="AL82" s="3"/>
      <c r="AM82" s="7"/>
      <c r="AN82" s="3"/>
      <c r="AO82" s="7"/>
      <c r="AP82" s="3"/>
      <c r="AQ82" s="7"/>
      <c r="AR82" s="3"/>
      <c r="AS82" s="7"/>
      <c r="AT82" s="2"/>
      <c r="AU82" s="17"/>
      <c r="AV82" s="3"/>
      <c r="AW82" s="7"/>
      <c r="AX82" s="3"/>
      <c r="AY82" s="7"/>
    </row>
    <row r="83" spans="1:57" ht="19.899999999999999" customHeight="1" x14ac:dyDescent="0.3">
      <c r="A83" s="2">
        <v>79</v>
      </c>
      <c r="B83" s="9"/>
      <c r="C83" s="4"/>
      <c r="D83" s="5"/>
      <c r="E83" s="10"/>
      <c r="F83" s="5"/>
      <c r="G83" s="5"/>
      <c r="H83" s="6"/>
      <c r="I83" s="5"/>
      <c r="J83" s="21"/>
      <c r="K83" s="15"/>
      <c r="L83" s="13"/>
      <c r="M83" s="15"/>
      <c r="N83" s="13"/>
      <c r="O83" s="15"/>
      <c r="P83" s="3"/>
      <c r="Q83" s="7"/>
      <c r="R83" s="3"/>
      <c r="S83" s="7"/>
      <c r="T83" s="3"/>
      <c r="U83" s="7"/>
      <c r="V83" s="7"/>
      <c r="W83" s="7"/>
      <c r="X83" s="7"/>
      <c r="Y83" s="7"/>
      <c r="Z83" s="14"/>
      <c r="AA83" s="8"/>
      <c r="AB83" s="8"/>
      <c r="AC83" s="11"/>
      <c r="AD83" s="8"/>
      <c r="AE83" s="8"/>
      <c r="AF83" s="3"/>
      <c r="AG83" s="8"/>
      <c r="AH83" s="8"/>
      <c r="AI83" s="8"/>
      <c r="AJ83" s="8"/>
      <c r="AK83" s="8"/>
      <c r="AL83" s="3"/>
      <c r="AM83" s="7"/>
      <c r="AN83" s="3"/>
      <c r="AO83" s="7"/>
      <c r="AP83" s="3"/>
      <c r="AQ83" s="7"/>
      <c r="AR83" s="3"/>
      <c r="AS83" s="7"/>
      <c r="AT83" s="2"/>
      <c r="AU83" s="17"/>
      <c r="AV83" s="3"/>
      <c r="AW83" s="7"/>
      <c r="AX83" s="3"/>
      <c r="AY83" s="7"/>
    </row>
    <row r="84" spans="1:57" ht="19.899999999999999" customHeight="1" x14ac:dyDescent="0.3">
      <c r="A84" s="2">
        <v>80</v>
      </c>
      <c r="B84" s="9"/>
      <c r="C84" s="4"/>
      <c r="D84" s="5"/>
      <c r="E84" s="10"/>
      <c r="F84" s="5"/>
      <c r="G84" s="5"/>
      <c r="H84" s="6"/>
      <c r="I84" s="5"/>
      <c r="J84" s="21"/>
      <c r="K84" s="15"/>
      <c r="L84" s="13"/>
      <c r="M84" s="15"/>
      <c r="N84" s="13"/>
      <c r="O84" s="15"/>
      <c r="P84" s="3"/>
      <c r="Q84" s="7"/>
      <c r="R84" s="3"/>
      <c r="S84" s="7"/>
      <c r="T84" s="3"/>
      <c r="U84" s="7"/>
      <c r="V84" s="7"/>
      <c r="W84" s="7"/>
      <c r="X84" s="7"/>
      <c r="Y84" s="7"/>
      <c r="Z84" s="14"/>
      <c r="AA84" s="8"/>
      <c r="AB84" s="8"/>
      <c r="AC84" s="11"/>
      <c r="AD84" s="8"/>
      <c r="AE84" s="8"/>
      <c r="AF84" s="3"/>
      <c r="AG84" s="8"/>
      <c r="AH84" s="8"/>
      <c r="AI84" s="8"/>
      <c r="AJ84" s="8"/>
      <c r="AK84" s="8"/>
      <c r="AL84" s="3"/>
      <c r="AM84" s="7"/>
      <c r="AN84" s="3"/>
      <c r="AO84" s="7"/>
      <c r="AP84" s="3"/>
      <c r="AQ84" s="7"/>
      <c r="AR84" s="3"/>
      <c r="AS84" s="7"/>
      <c r="AT84" s="2"/>
      <c r="AU84" s="17"/>
      <c r="AV84" s="3"/>
      <c r="AW84" s="7"/>
      <c r="AX84" s="3"/>
      <c r="AY84" s="7"/>
    </row>
    <row r="85" spans="1:57" ht="19.899999999999999" customHeight="1" x14ac:dyDescent="0.3">
      <c r="A85" s="2">
        <v>81</v>
      </c>
      <c r="B85" s="9"/>
      <c r="C85" s="4"/>
      <c r="D85" s="5"/>
      <c r="E85" s="10"/>
      <c r="F85" s="5"/>
      <c r="G85" s="5"/>
      <c r="H85" s="6"/>
      <c r="I85" s="5"/>
      <c r="J85" s="21"/>
      <c r="K85" s="15"/>
      <c r="L85" s="13"/>
      <c r="M85" s="15"/>
      <c r="N85" s="13"/>
      <c r="O85" s="15"/>
      <c r="P85" s="3"/>
      <c r="Q85" s="7"/>
      <c r="R85" s="3"/>
      <c r="S85" s="7"/>
      <c r="T85" s="3"/>
      <c r="U85" s="7"/>
      <c r="V85" s="7"/>
      <c r="W85" s="7"/>
      <c r="X85" s="7"/>
      <c r="Y85" s="7"/>
      <c r="Z85" s="14"/>
      <c r="AA85" s="8"/>
      <c r="AB85" s="8"/>
      <c r="AC85" s="11"/>
      <c r="AD85" s="8"/>
      <c r="AE85" s="8"/>
      <c r="AF85" s="3"/>
      <c r="AG85" s="8"/>
      <c r="AH85" s="8"/>
      <c r="AI85" s="8"/>
      <c r="AJ85" s="8"/>
      <c r="AK85" s="8"/>
      <c r="AL85" s="3"/>
      <c r="AM85" s="7"/>
      <c r="AN85" s="3"/>
      <c r="AO85" s="7"/>
      <c r="AP85" s="3"/>
      <c r="AQ85" s="7"/>
      <c r="AR85" s="3"/>
      <c r="AS85" s="7"/>
      <c r="AT85" s="2"/>
      <c r="AU85" s="17"/>
      <c r="AV85" s="3"/>
      <c r="AW85" s="7"/>
      <c r="AX85" s="3"/>
      <c r="AY85" s="7"/>
    </row>
    <row r="86" spans="1:57" ht="19.899999999999999" customHeight="1" x14ac:dyDescent="0.3">
      <c r="A86" s="2">
        <v>82</v>
      </c>
      <c r="B86" s="9"/>
      <c r="C86" s="4"/>
      <c r="D86" s="5"/>
      <c r="E86" s="10"/>
      <c r="F86" s="5"/>
      <c r="G86" s="5"/>
      <c r="H86" s="6"/>
      <c r="I86" s="5"/>
      <c r="J86" s="21"/>
      <c r="K86" s="15"/>
      <c r="L86" s="13"/>
      <c r="M86" s="15"/>
      <c r="N86" s="13"/>
      <c r="O86" s="15"/>
      <c r="P86" s="3"/>
      <c r="Q86" s="7"/>
      <c r="R86" s="3"/>
      <c r="S86" s="7"/>
      <c r="T86" s="3"/>
      <c r="U86" s="7"/>
      <c r="V86" s="7"/>
      <c r="W86" s="7"/>
      <c r="X86" s="7"/>
      <c r="Y86" s="7"/>
      <c r="Z86" s="14"/>
      <c r="AA86" s="8"/>
      <c r="AB86" s="8"/>
      <c r="AC86" s="11"/>
      <c r="AD86" s="8"/>
      <c r="AE86" s="8"/>
      <c r="AF86" s="3"/>
      <c r="AG86" s="8"/>
      <c r="AH86" s="8"/>
      <c r="AI86" s="8"/>
      <c r="AJ86" s="8"/>
      <c r="AK86" s="8"/>
      <c r="AL86" s="3"/>
      <c r="AM86" s="7"/>
      <c r="AN86" s="3"/>
      <c r="AO86" s="7"/>
      <c r="AP86" s="3"/>
      <c r="AQ86" s="7"/>
      <c r="AR86" s="3"/>
      <c r="AS86" s="7"/>
      <c r="AT86" s="2"/>
      <c r="AU86" s="17"/>
      <c r="AV86" s="3"/>
      <c r="AW86" s="7"/>
      <c r="AX86" s="3"/>
      <c r="AY86" s="7"/>
    </row>
    <row r="87" spans="1:57" ht="19.899999999999999" customHeight="1" x14ac:dyDescent="0.3">
      <c r="A87" s="2">
        <v>83</v>
      </c>
      <c r="B87" s="9"/>
      <c r="C87" s="4"/>
      <c r="D87" s="5"/>
      <c r="E87" s="10"/>
      <c r="F87" s="5"/>
      <c r="G87" s="5"/>
      <c r="H87" s="6"/>
      <c r="I87" s="5"/>
      <c r="J87" s="21"/>
      <c r="K87" s="15"/>
      <c r="L87" s="13"/>
      <c r="M87" s="15"/>
      <c r="N87" s="13"/>
      <c r="O87" s="15"/>
      <c r="P87" s="3"/>
      <c r="Q87" s="7"/>
      <c r="R87" s="3"/>
      <c r="S87" s="7"/>
      <c r="T87" s="3"/>
      <c r="U87" s="7"/>
      <c r="V87" s="7"/>
      <c r="W87" s="7"/>
      <c r="X87" s="7"/>
      <c r="Y87" s="7"/>
      <c r="Z87" s="14"/>
      <c r="AA87" s="8"/>
      <c r="AB87" s="8"/>
      <c r="AC87" s="11"/>
      <c r="AD87" s="8"/>
      <c r="AE87" s="8"/>
      <c r="AF87" s="3"/>
      <c r="AG87" s="8"/>
      <c r="AH87" s="8"/>
      <c r="AI87" s="8"/>
      <c r="AJ87" s="8"/>
      <c r="AK87" s="8"/>
      <c r="AL87" s="3"/>
      <c r="AM87" s="7"/>
      <c r="AN87" s="3"/>
      <c r="AO87" s="7"/>
      <c r="AP87" s="3"/>
      <c r="AQ87" s="7"/>
      <c r="AR87" s="3"/>
      <c r="AS87" s="7"/>
      <c r="AT87" s="2"/>
      <c r="AU87" s="17"/>
      <c r="AV87" s="3"/>
      <c r="AW87" s="7"/>
      <c r="AX87" s="3"/>
      <c r="AY87" s="7"/>
    </row>
    <row r="88" spans="1:57" ht="19.899999999999999" customHeight="1" x14ac:dyDescent="0.3">
      <c r="A88" s="2">
        <v>84</v>
      </c>
      <c r="B88" s="9"/>
      <c r="C88" s="4"/>
      <c r="D88" s="5"/>
      <c r="E88" s="10"/>
      <c r="F88" s="5"/>
      <c r="G88" s="5"/>
      <c r="H88" s="6"/>
      <c r="I88" s="5"/>
      <c r="J88" s="21"/>
      <c r="K88" s="15"/>
      <c r="L88" s="13"/>
      <c r="M88" s="15"/>
      <c r="N88" s="13"/>
      <c r="O88" s="15"/>
      <c r="P88" s="3"/>
      <c r="Q88" s="7"/>
      <c r="R88" s="3"/>
      <c r="S88" s="7"/>
      <c r="T88" s="3"/>
      <c r="U88" s="7"/>
      <c r="V88" s="7"/>
      <c r="W88" s="7"/>
      <c r="X88" s="7"/>
      <c r="Y88" s="7"/>
      <c r="Z88" s="14"/>
      <c r="AA88" s="8"/>
      <c r="AB88" s="8"/>
      <c r="AC88" s="11"/>
      <c r="AD88" s="8"/>
      <c r="AE88" s="8"/>
      <c r="AF88" s="3"/>
      <c r="AG88" s="8"/>
      <c r="AH88" s="8"/>
      <c r="AI88" s="8"/>
      <c r="AJ88" s="8"/>
      <c r="AK88" s="8"/>
      <c r="AL88" s="3"/>
      <c r="AM88" s="7"/>
      <c r="AN88" s="3"/>
      <c r="AO88" s="7"/>
      <c r="AP88" s="3"/>
      <c r="AQ88" s="7"/>
      <c r="AR88" s="3"/>
      <c r="AS88" s="7"/>
      <c r="AT88" s="2"/>
      <c r="AU88" s="17"/>
      <c r="AV88" s="3"/>
      <c r="AW88" s="7"/>
      <c r="AX88" s="3"/>
      <c r="AY88" s="7"/>
    </row>
    <row r="89" spans="1:57" ht="19.899999999999999" customHeight="1" x14ac:dyDescent="0.3">
      <c r="A89" s="2">
        <v>85</v>
      </c>
      <c r="B89" s="9"/>
      <c r="C89" s="4"/>
      <c r="D89" s="5"/>
      <c r="E89" s="10"/>
      <c r="F89" s="5"/>
      <c r="G89" s="5"/>
      <c r="H89" s="6"/>
      <c r="I89" s="5"/>
      <c r="J89" s="21"/>
      <c r="K89" s="15"/>
      <c r="L89" s="13"/>
      <c r="M89" s="15"/>
      <c r="N89" s="13"/>
      <c r="O89" s="15"/>
      <c r="P89" s="3"/>
      <c r="Q89" s="7"/>
      <c r="R89" s="3"/>
      <c r="S89" s="7"/>
      <c r="T89" s="3"/>
      <c r="U89" s="7"/>
      <c r="V89" s="7"/>
      <c r="W89" s="7"/>
      <c r="X89" s="7"/>
      <c r="Y89" s="7"/>
      <c r="Z89" s="14"/>
      <c r="AA89" s="8"/>
      <c r="AB89" s="8"/>
      <c r="AC89" s="11"/>
      <c r="AD89" s="8"/>
      <c r="AE89" s="8"/>
      <c r="AF89" s="3"/>
      <c r="AG89" s="8"/>
      <c r="AH89" s="8"/>
      <c r="AI89" s="8"/>
      <c r="AJ89" s="8"/>
      <c r="AK89" s="8"/>
      <c r="AL89" s="3"/>
      <c r="AM89" s="7"/>
      <c r="AN89" s="3"/>
      <c r="AO89" s="7"/>
      <c r="AP89" s="3"/>
      <c r="AQ89" s="7"/>
      <c r="AR89" s="3"/>
      <c r="AS89" s="7"/>
      <c r="AT89" s="2"/>
      <c r="AU89" s="17"/>
      <c r="AV89" s="3"/>
      <c r="AW89" s="7"/>
      <c r="AX89" s="3"/>
      <c r="AY89" s="7"/>
    </row>
    <row r="90" spans="1:57" ht="19.899999999999999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22"/>
      <c r="K90" s="23"/>
      <c r="L90" s="24"/>
      <c r="M90" s="23"/>
      <c r="N90" s="24"/>
      <c r="O90" s="23"/>
      <c r="P90" s="3"/>
      <c r="Q90" s="3"/>
      <c r="R90" s="3"/>
      <c r="S90" s="3"/>
      <c r="T90" s="3"/>
      <c r="U90" s="3"/>
      <c r="V90" s="3"/>
      <c r="W90" s="3"/>
      <c r="X90" s="3"/>
      <c r="Y90" s="3"/>
      <c r="Z90" s="14"/>
      <c r="AA90" s="3"/>
      <c r="AB90" s="3"/>
      <c r="AC90" s="3"/>
      <c r="AD90" s="3"/>
      <c r="AE90" s="8"/>
      <c r="AF90" s="3"/>
      <c r="AG90" s="8"/>
      <c r="AH90" s="8"/>
      <c r="AI90" s="8"/>
      <c r="AJ90" s="8"/>
      <c r="AK90" s="8"/>
      <c r="AL90" s="8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7"/>
      <c r="AX90" s="3"/>
      <c r="AY90" s="7"/>
      <c r="AZ90" s="3"/>
      <c r="BA90" s="3"/>
      <c r="BB90" s="3"/>
      <c r="BC90" s="3"/>
      <c r="BD90" s="3"/>
      <c r="BE90" s="3"/>
    </row>
    <row r="91" spans="1:57" ht="19.899999999999999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22"/>
      <c r="K91" s="23"/>
      <c r="L91" s="24"/>
      <c r="M91" s="23"/>
      <c r="N91" s="24"/>
      <c r="O91" s="23"/>
      <c r="P91" s="3"/>
      <c r="Q91" s="3"/>
      <c r="R91" s="3"/>
      <c r="S91" s="3"/>
      <c r="T91" s="3"/>
      <c r="U91" s="3"/>
      <c r="V91" s="3"/>
      <c r="W91" s="3"/>
      <c r="X91" s="3"/>
      <c r="Y91" s="3"/>
      <c r="Z91" s="14"/>
      <c r="AA91" s="3"/>
      <c r="AB91" s="3"/>
      <c r="AC91" s="3"/>
      <c r="AD91" s="3"/>
      <c r="AE91" s="8"/>
      <c r="AF91" s="3"/>
      <c r="AG91" s="8"/>
      <c r="AH91" s="8"/>
      <c r="AI91" s="8"/>
      <c r="AJ91" s="8"/>
      <c r="AK91" s="8"/>
      <c r="AL91" s="8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7"/>
      <c r="AX91" s="3"/>
      <c r="AY91" s="7"/>
      <c r="AZ91" s="3"/>
      <c r="BA91" s="3"/>
      <c r="BB91" s="3"/>
      <c r="BC91" s="3"/>
      <c r="BD91" s="3"/>
      <c r="BE91" s="3"/>
    </row>
    <row r="92" spans="1:57" ht="19.899999999999999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22"/>
      <c r="K92" s="23"/>
      <c r="L92" s="24"/>
      <c r="M92" s="23"/>
      <c r="N92" s="24"/>
      <c r="O92" s="23"/>
      <c r="P92" s="3"/>
      <c r="Q92" s="3"/>
      <c r="R92" s="3"/>
      <c r="S92" s="3"/>
      <c r="T92" s="3"/>
      <c r="U92" s="3"/>
      <c r="V92" s="3"/>
      <c r="W92" s="3"/>
      <c r="X92" s="3"/>
      <c r="Y92" s="3"/>
      <c r="Z92" s="14"/>
      <c r="AA92" s="3"/>
      <c r="AB92" s="3"/>
      <c r="AC92" s="3"/>
      <c r="AD92" s="3"/>
      <c r="AE92" s="8"/>
      <c r="AF92" s="3"/>
      <c r="AG92" s="8"/>
      <c r="AH92" s="8"/>
      <c r="AI92" s="8"/>
      <c r="AJ92" s="8"/>
      <c r="AK92" s="8"/>
      <c r="AL92" s="8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7"/>
      <c r="AX92" s="3"/>
      <c r="AY92" s="7"/>
      <c r="AZ92" s="3"/>
      <c r="BA92" s="3"/>
      <c r="BB92" s="3"/>
      <c r="BC92" s="3"/>
      <c r="BD92" s="3"/>
      <c r="BE92" s="3"/>
    </row>
    <row r="93" spans="1:57" ht="19.899999999999999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22"/>
      <c r="K93" s="23"/>
      <c r="L93" s="24"/>
      <c r="M93" s="23"/>
      <c r="N93" s="24"/>
      <c r="O93" s="23"/>
      <c r="P93" s="3"/>
      <c r="Q93" s="3"/>
      <c r="R93" s="3"/>
      <c r="S93" s="3"/>
      <c r="T93" s="3"/>
      <c r="U93" s="3"/>
      <c r="V93" s="3"/>
      <c r="W93" s="3"/>
      <c r="X93" s="3"/>
      <c r="Y93" s="3"/>
      <c r="Z93" s="14"/>
      <c r="AA93" s="3"/>
      <c r="AB93" s="3"/>
      <c r="AC93" s="3"/>
      <c r="AD93" s="3"/>
      <c r="AE93" s="8"/>
      <c r="AF93" s="3"/>
      <c r="AG93" s="8"/>
      <c r="AH93" s="8"/>
      <c r="AI93" s="8"/>
      <c r="AJ93" s="8"/>
      <c r="AK93" s="8"/>
      <c r="AL93" s="8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7"/>
      <c r="AX93" s="3"/>
      <c r="AY93" s="7"/>
      <c r="AZ93" s="3"/>
      <c r="BA93" s="3"/>
      <c r="BB93" s="3"/>
      <c r="BC93" s="3"/>
      <c r="BD93" s="3"/>
      <c r="BE93" s="3"/>
    </row>
    <row r="94" spans="1:57" ht="19.899999999999999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22"/>
      <c r="K94" s="23"/>
      <c r="L94" s="24"/>
      <c r="M94" s="23"/>
      <c r="N94" s="24"/>
      <c r="O94" s="23"/>
      <c r="P94" s="3"/>
      <c r="Q94" s="3"/>
      <c r="R94" s="3"/>
      <c r="S94" s="3"/>
      <c r="T94" s="3"/>
      <c r="U94" s="3"/>
      <c r="V94" s="3"/>
      <c r="W94" s="3"/>
      <c r="X94" s="3"/>
      <c r="Y94" s="3"/>
      <c r="Z94" s="14"/>
      <c r="AA94" s="3"/>
      <c r="AB94" s="3"/>
      <c r="AC94" s="3"/>
      <c r="AD94" s="3"/>
      <c r="AE94" s="8"/>
      <c r="AF94" s="3"/>
      <c r="AG94" s="8"/>
      <c r="AH94" s="8"/>
      <c r="AI94" s="8"/>
      <c r="AJ94" s="8"/>
      <c r="AK94" s="8"/>
      <c r="AL94" s="8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7"/>
      <c r="AX94" s="3"/>
      <c r="AY94" s="7"/>
      <c r="AZ94" s="3"/>
      <c r="BA94" s="3"/>
      <c r="BB94" s="3"/>
      <c r="BC94" s="3"/>
      <c r="BD94" s="3"/>
      <c r="BE94" s="3"/>
    </row>
    <row r="95" spans="1:57" ht="19.899999999999999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22"/>
      <c r="K95" s="23"/>
      <c r="L95" s="24"/>
      <c r="M95" s="23"/>
      <c r="N95" s="24"/>
      <c r="O95" s="23"/>
      <c r="P95" s="3"/>
      <c r="Q95" s="3"/>
      <c r="R95" s="3"/>
      <c r="S95" s="3"/>
      <c r="T95" s="3"/>
      <c r="U95" s="3"/>
      <c r="V95" s="3"/>
      <c r="W95" s="3"/>
      <c r="X95" s="3"/>
      <c r="Y95" s="3"/>
      <c r="Z95" s="14"/>
      <c r="AA95" s="3"/>
      <c r="AB95" s="3"/>
      <c r="AC95" s="3"/>
      <c r="AD95" s="3"/>
      <c r="AE95" s="8"/>
      <c r="AF95" s="3"/>
      <c r="AG95" s="8"/>
      <c r="AH95" s="8"/>
      <c r="AI95" s="8"/>
      <c r="AJ95" s="8"/>
      <c r="AK95" s="8"/>
      <c r="AL95" s="8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7"/>
      <c r="AX95" s="3"/>
      <c r="AY95" s="7"/>
      <c r="AZ95" s="3"/>
      <c r="BA95" s="3"/>
      <c r="BB95" s="3"/>
      <c r="BC95" s="3"/>
      <c r="BD95" s="3"/>
      <c r="BE95" s="3"/>
    </row>
    <row r="96" spans="1:57" ht="19.899999999999999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22"/>
      <c r="K96" s="23"/>
      <c r="L96" s="24"/>
      <c r="M96" s="23"/>
      <c r="N96" s="24"/>
      <c r="O96" s="23"/>
      <c r="P96" s="3"/>
      <c r="Q96" s="3"/>
      <c r="R96" s="3"/>
      <c r="S96" s="3"/>
      <c r="T96" s="3"/>
      <c r="U96" s="3"/>
      <c r="V96" s="3"/>
      <c r="W96" s="3"/>
      <c r="X96" s="3"/>
      <c r="Y96" s="3"/>
      <c r="Z96" s="14"/>
      <c r="AA96" s="3"/>
      <c r="AB96" s="3"/>
      <c r="AC96" s="3"/>
      <c r="AD96" s="3"/>
      <c r="AE96" s="8"/>
      <c r="AF96" s="3"/>
      <c r="AG96" s="8"/>
      <c r="AH96" s="8"/>
      <c r="AI96" s="8"/>
      <c r="AJ96" s="8"/>
      <c r="AK96" s="8"/>
      <c r="AL96" s="8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7"/>
      <c r="AX96" s="3"/>
      <c r="AY96" s="7"/>
      <c r="AZ96" s="3"/>
      <c r="BA96" s="3"/>
      <c r="BB96" s="3"/>
      <c r="BC96" s="3"/>
      <c r="BD96" s="3"/>
      <c r="BE96" s="3"/>
    </row>
    <row r="97" spans="1:93" ht="19.899999999999999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22"/>
      <c r="K97" s="23"/>
      <c r="L97" s="24"/>
      <c r="M97" s="23"/>
      <c r="N97" s="24"/>
      <c r="O97" s="23"/>
      <c r="P97" s="3"/>
      <c r="Q97" s="3"/>
      <c r="R97" s="3"/>
      <c r="S97" s="3"/>
      <c r="T97" s="3"/>
      <c r="U97" s="3"/>
      <c r="V97" s="3"/>
      <c r="W97" s="3"/>
      <c r="X97" s="3"/>
      <c r="Y97" s="3"/>
      <c r="Z97" s="14"/>
      <c r="AA97" s="3"/>
      <c r="AB97" s="3"/>
      <c r="AC97" s="3"/>
      <c r="AD97" s="3"/>
      <c r="AE97" s="8"/>
      <c r="AF97" s="3"/>
      <c r="AG97" s="8"/>
      <c r="AH97" s="8"/>
      <c r="AI97" s="8"/>
      <c r="AJ97" s="8"/>
      <c r="AK97" s="8"/>
      <c r="AL97" s="8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7"/>
      <c r="AX97" s="3"/>
      <c r="AY97" s="7"/>
      <c r="AZ97" s="3"/>
      <c r="BA97" s="3"/>
      <c r="BB97" s="3"/>
      <c r="BC97" s="3"/>
      <c r="BD97" s="3"/>
      <c r="BE97" s="3"/>
    </row>
    <row r="98" spans="1:93" ht="19.899999999999999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22"/>
      <c r="K98" s="23"/>
      <c r="L98" s="24"/>
      <c r="M98" s="23"/>
      <c r="N98" s="24"/>
      <c r="O98" s="23"/>
      <c r="P98" s="3"/>
      <c r="Q98" s="3"/>
      <c r="R98" s="3"/>
      <c r="S98" s="3"/>
      <c r="T98" s="3"/>
      <c r="U98" s="3"/>
      <c r="V98" s="3"/>
      <c r="W98" s="3"/>
      <c r="X98" s="3"/>
      <c r="Y98" s="3"/>
      <c r="Z98" s="14"/>
      <c r="AA98" s="3"/>
      <c r="AB98" s="3"/>
      <c r="AC98" s="3"/>
      <c r="AD98" s="3"/>
      <c r="AE98" s="8"/>
      <c r="AF98" s="3"/>
      <c r="AG98" s="8"/>
      <c r="AH98" s="8"/>
      <c r="AI98" s="8"/>
      <c r="AJ98" s="8"/>
      <c r="AK98" s="8"/>
      <c r="AL98" s="8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7"/>
      <c r="AX98" s="3"/>
      <c r="AY98" s="7"/>
      <c r="AZ98" s="3"/>
      <c r="BA98" s="3"/>
      <c r="BB98" s="3"/>
      <c r="BC98" s="3"/>
      <c r="BD98" s="3"/>
      <c r="BE98" s="3"/>
    </row>
    <row r="99" spans="1:93" ht="19.899999999999999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22"/>
      <c r="K99" s="23"/>
      <c r="L99" s="24"/>
      <c r="M99" s="23"/>
      <c r="N99" s="24"/>
      <c r="O99" s="23"/>
      <c r="P99" s="3"/>
      <c r="Q99" s="3"/>
      <c r="R99" s="3"/>
      <c r="S99" s="3"/>
      <c r="T99" s="3"/>
      <c r="U99" s="3"/>
      <c r="V99" s="3"/>
      <c r="W99" s="3"/>
      <c r="X99" s="3"/>
      <c r="Y99" s="3"/>
      <c r="Z99" s="14"/>
      <c r="AA99" s="3"/>
      <c r="AB99" s="3"/>
      <c r="AC99" s="3"/>
      <c r="AD99" s="3"/>
      <c r="AE99" s="8"/>
      <c r="AF99" s="3"/>
      <c r="AG99" s="8"/>
      <c r="AH99" s="8"/>
      <c r="AI99" s="8"/>
      <c r="AJ99" s="8"/>
      <c r="AK99" s="8"/>
      <c r="AL99" s="8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7"/>
      <c r="AX99" s="3"/>
      <c r="AY99" s="7"/>
      <c r="AZ99" s="3"/>
      <c r="BA99" s="3"/>
      <c r="BB99" s="3"/>
      <c r="BC99" s="3"/>
      <c r="BD99" s="3"/>
      <c r="BE99" s="3"/>
    </row>
    <row r="100" spans="1:93" ht="19.899999999999999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22"/>
      <c r="K100" s="23"/>
      <c r="L100" s="24"/>
      <c r="M100" s="23"/>
      <c r="N100" s="24"/>
      <c r="O100" s="2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14"/>
      <c r="AA100" s="3"/>
      <c r="AB100" s="3"/>
      <c r="AC100" s="3"/>
      <c r="AD100" s="3"/>
      <c r="AE100" s="8"/>
      <c r="AF100" s="3"/>
      <c r="AG100" s="8"/>
      <c r="AH100" s="8"/>
      <c r="AI100" s="8"/>
      <c r="AJ100" s="8"/>
      <c r="AK100" s="8"/>
      <c r="AL100" s="8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7"/>
      <c r="AX100" s="3"/>
      <c r="AY100" s="7"/>
      <c r="AZ100" s="3"/>
      <c r="BA100" s="3"/>
      <c r="BB100" s="3"/>
      <c r="BC100" s="3"/>
      <c r="BD100" s="3"/>
      <c r="BE100" s="3"/>
    </row>
    <row r="101" spans="1:93" ht="19.899999999999999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22"/>
      <c r="K101" s="23"/>
      <c r="L101" s="24"/>
      <c r="M101" s="23"/>
      <c r="N101" s="24"/>
      <c r="O101" s="2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14"/>
      <c r="AA101" s="3"/>
      <c r="AB101" s="3"/>
      <c r="AC101" s="3"/>
      <c r="AD101" s="3"/>
      <c r="AE101" s="8"/>
      <c r="AF101" s="3"/>
      <c r="AG101" s="8"/>
      <c r="AH101" s="8"/>
      <c r="AI101" s="8"/>
      <c r="AJ101" s="8"/>
      <c r="AK101" s="8"/>
      <c r="AL101" s="8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7"/>
      <c r="AX101" s="3"/>
      <c r="AY101" s="7"/>
      <c r="AZ101" s="3"/>
      <c r="BA101" s="3"/>
      <c r="BB101" s="3"/>
      <c r="BC101" s="3"/>
      <c r="BD101" s="3"/>
      <c r="BE101" s="3"/>
    </row>
    <row r="103" spans="1:93" ht="19.899999999999999" customHeight="1" x14ac:dyDescent="0.3">
      <c r="B103" s="48" t="s">
        <v>16</v>
      </c>
      <c r="C103" s="48" t="s">
        <v>17</v>
      </c>
      <c r="D103" s="48" t="s">
        <v>18</v>
      </c>
      <c r="E103" s="48" t="s">
        <v>19</v>
      </c>
      <c r="F103" s="48" t="s">
        <v>20</v>
      </c>
      <c r="G103" s="48" t="s">
        <v>21</v>
      </c>
      <c r="H103" s="48" t="s">
        <v>138</v>
      </c>
      <c r="I103" s="48" t="s">
        <v>139</v>
      </c>
      <c r="J103" s="48" t="s">
        <v>140</v>
      </c>
      <c r="K103" s="48" t="s">
        <v>141</v>
      </c>
      <c r="L103" s="48" t="s">
        <v>22</v>
      </c>
      <c r="M103" s="48" t="s">
        <v>23</v>
      </c>
      <c r="N103" s="48" t="s">
        <v>120</v>
      </c>
      <c r="O103" s="48" t="s">
        <v>136</v>
      </c>
      <c r="P103" s="48" t="s">
        <v>24</v>
      </c>
      <c r="Q103" s="48" t="s">
        <v>121</v>
      </c>
      <c r="R103" s="48" t="s">
        <v>122</v>
      </c>
      <c r="S103" s="48" t="s">
        <v>123</v>
      </c>
      <c r="T103" s="48" t="s">
        <v>124</v>
      </c>
      <c r="U103" s="48" t="s">
        <v>125</v>
      </c>
      <c r="V103" s="48" t="s">
        <v>66</v>
      </c>
      <c r="W103" s="48" t="s">
        <v>25</v>
      </c>
      <c r="X103" s="48" t="s">
        <v>26</v>
      </c>
      <c r="Y103" s="48" t="s">
        <v>27</v>
      </c>
      <c r="Z103" s="48" t="s">
        <v>28</v>
      </c>
      <c r="AA103" s="48" t="s">
        <v>67</v>
      </c>
      <c r="AB103" s="48" t="s">
        <v>68</v>
      </c>
      <c r="AC103" s="48" t="s">
        <v>69</v>
      </c>
      <c r="AD103" s="48" t="s">
        <v>70</v>
      </c>
      <c r="AE103" s="48" t="s">
        <v>71</v>
      </c>
      <c r="AF103" s="48" t="s">
        <v>72</v>
      </c>
      <c r="AG103" s="48" t="s">
        <v>29</v>
      </c>
      <c r="AH103" s="48" t="s">
        <v>30</v>
      </c>
      <c r="AI103" s="48" t="s">
        <v>31</v>
      </c>
      <c r="AJ103" s="48" t="s">
        <v>32</v>
      </c>
      <c r="AK103" s="48" t="s">
        <v>146</v>
      </c>
      <c r="AL103" s="48" t="s">
        <v>73</v>
      </c>
      <c r="AM103" s="48" t="s">
        <v>74</v>
      </c>
      <c r="AN103" s="48" t="s">
        <v>38</v>
      </c>
      <c r="AO103" s="48" t="s">
        <v>39</v>
      </c>
      <c r="AP103" s="48" t="s">
        <v>40</v>
      </c>
      <c r="AQ103" s="48" t="s">
        <v>41</v>
      </c>
      <c r="AR103" s="48" t="s">
        <v>42</v>
      </c>
      <c r="AS103" s="48" t="s">
        <v>43</v>
      </c>
      <c r="AT103" s="48" t="s">
        <v>44</v>
      </c>
      <c r="AU103" s="48" t="s">
        <v>45</v>
      </c>
      <c r="AV103" s="48" t="s">
        <v>117</v>
      </c>
      <c r="AW103" s="48" t="s">
        <v>118</v>
      </c>
      <c r="AX103" s="48" t="s">
        <v>46</v>
      </c>
      <c r="AY103" s="48" t="s">
        <v>47</v>
      </c>
      <c r="AZ103" s="48" t="s">
        <v>56</v>
      </c>
      <c r="BA103" s="48" t="s">
        <v>57</v>
      </c>
      <c r="BB103" s="48" t="s">
        <v>58</v>
      </c>
      <c r="BC103" s="48" t="s">
        <v>59</v>
      </c>
      <c r="BD103" s="48" t="s">
        <v>64</v>
      </c>
      <c r="BE103" s="48" t="s">
        <v>60</v>
      </c>
      <c r="BF103" s="48" t="s">
        <v>61</v>
      </c>
      <c r="BG103" s="48" t="s">
        <v>62</v>
      </c>
      <c r="BH103" s="48" t="s">
        <v>63</v>
      </c>
      <c r="BI103" s="48" t="s">
        <v>75</v>
      </c>
      <c r="BJ103" s="48" t="s">
        <v>91</v>
      </c>
      <c r="BK103" s="48" t="s">
        <v>77</v>
      </c>
      <c r="BL103" s="48" t="s">
        <v>78</v>
      </c>
      <c r="BM103" s="48" t="s">
        <v>79</v>
      </c>
      <c r="BN103" s="48" t="s">
        <v>80</v>
      </c>
      <c r="BO103" s="48" t="s">
        <v>81</v>
      </c>
      <c r="BP103" s="48" t="s">
        <v>82</v>
      </c>
      <c r="BQ103" s="48" t="s">
        <v>83</v>
      </c>
      <c r="BR103" s="48" t="s">
        <v>84</v>
      </c>
      <c r="BS103" s="48" t="s">
        <v>85</v>
      </c>
      <c r="BT103" s="48" t="s">
        <v>92</v>
      </c>
      <c r="BU103" s="48" t="s">
        <v>93</v>
      </c>
      <c r="BV103" s="48" t="s">
        <v>76</v>
      </c>
      <c r="BW103" s="48" t="s">
        <v>94</v>
      </c>
      <c r="BX103" s="48" t="s">
        <v>95</v>
      </c>
      <c r="BY103" s="48" t="s">
        <v>96</v>
      </c>
      <c r="BZ103" s="48" t="s">
        <v>97</v>
      </c>
      <c r="CA103" s="48" t="s">
        <v>98</v>
      </c>
      <c r="CB103" s="48" t="s">
        <v>99</v>
      </c>
      <c r="CC103" s="48" t="s">
        <v>100</v>
      </c>
      <c r="CD103" s="48" t="s">
        <v>101</v>
      </c>
      <c r="CE103" s="48" t="s">
        <v>102</v>
      </c>
      <c r="CF103" s="48" t="s">
        <v>103</v>
      </c>
      <c r="CG103" s="48" t="s">
        <v>104</v>
      </c>
      <c r="CH103" s="48" t="s">
        <v>105</v>
      </c>
      <c r="CI103" s="48" t="s">
        <v>91</v>
      </c>
      <c r="CJ103" s="48" t="s">
        <v>107</v>
      </c>
      <c r="CK103" s="48" t="s">
        <v>147</v>
      </c>
      <c r="CL103" s="48" t="s">
        <v>133</v>
      </c>
      <c r="CM103" s="48" t="s">
        <v>148</v>
      </c>
      <c r="CN103" s="48" t="s">
        <v>149</v>
      </c>
      <c r="CO103" s="48" t="s">
        <v>137</v>
      </c>
    </row>
    <row r="104" spans="1:93" ht="19.899999999999999" customHeight="1" x14ac:dyDescent="0.3">
      <c r="B104" s="48" t="s">
        <v>33</v>
      </c>
      <c r="C104" s="48">
        <v>159</v>
      </c>
      <c r="D104" s="48">
        <v>1.42</v>
      </c>
      <c r="E104" s="48">
        <v>3538</v>
      </c>
      <c r="F104" s="48">
        <v>1.35</v>
      </c>
      <c r="G104" s="48">
        <v>1.49</v>
      </c>
      <c r="H104" s="48">
        <v>0.28599999999999998</v>
      </c>
      <c r="I104" s="48">
        <v>0.622</v>
      </c>
      <c r="J104" s="48">
        <v>1.38</v>
      </c>
      <c r="K104" s="48">
        <v>1.57</v>
      </c>
      <c r="L104" s="48">
        <v>0.66</v>
      </c>
      <c r="M104" s="48">
        <v>77.599999999999994</v>
      </c>
      <c r="N104" s="48">
        <v>3.4</v>
      </c>
      <c r="O104" s="48">
        <v>97.1</v>
      </c>
      <c r="P104" s="48">
        <v>0.93</v>
      </c>
      <c r="Q104" s="48">
        <v>0.72</v>
      </c>
      <c r="R104" s="48">
        <v>74.3</v>
      </c>
      <c r="S104" s="48">
        <v>1.43</v>
      </c>
      <c r="T104" s="48">
        <v>95</v>
      </c>
      <c r="U104" s="48">
        <v>0.93</v>
      </c>
      <c r="V104" s="48">
        <v>954</v>
      </c>
      <c r="W104" s="48">
        <v>58</v>
      </c>
      <c r="X104" s="48">
        <v>1.36</v>
      </c>
      <c r="Y104" s="48">
        <v>81</v>
      </c>
      <c r="Z104" s="48">
        <v>1.38</v>
      </c>
      <c r="AA104" s="48">
        <v>127</v>
      </c>
      <c r="AB104" s="48">
        <v>1.38</v>
      </c>
      <c r="AC104" s="48">
        <v>0.17806670435274169</v>
      </c>
      <c r="AD104" s="48">
        <v>0.57009609949123796</v>
      </c>
      <c r="AE104" s="48">
        <v>0.25522894290559639</v>
      </c>
      <c r="AF104" s="48">
        <v>8.6206896551724144E-2</v>
      </c>
      <c r="AG104" s="48">
        <v>148</v>
      </c>
      <c r="AH104" s="48">
        <v>142</v>
      </c>
      <c r="AI104" s="48">
        <v>126</v>
      </c>
      <c r="AJ104" s="48">
        <v>107</v>
      </c>
      <c r="AK104" s="48">
        <v>78</v>
      </c>
      <c r="AL104" s="48">
        <v>31</v>
      </c>
      <c r="AM104" s="48">
        <v>1.8937252685132841E-2</v>
      </c>
      <c r="AN104" s="48">
        <v>140</v>
      </c>
      <c r="AO104" s="48">
        <v>1.41</v>
      </c>
      <c r="AP104" s="48">
        <v>70</v>
      </c>
      <c r="AQ104" s="48">
        <v>1.42</v>
      </c>
      <c r="AR104" s="48">
        <v>46</v>
      </c>
      <c r="AS104" s="48">
        <v>1.48</v>
      </c>
      <c r="AT104" s="48">
        <v>59</v>
      </c>
      <c r="AU104" s="48">
        <v>1.37</v>
      </c>
      <c r="AV104" s="48">
        <v>25</v>
      </c>
      <c r="AW104" s="48">
        <v>1.4</v>
      </c>
      <c r="AX104" s="48">
        <v>20</v>
      </c>
      <c r="AY104" s="48">
        <v>1.39</v>
      </c>
      <c r="AZ104" s="48">
        <v>1.26</v>
      </c>
      <c r="BA104" s="48">
        <v>126.4</v>
      </c>
      <c r="BB104" s="48">
        <v>0.74099999999999999</v>
      </c>
      <c r="BC104" s="48">
        <v>7.0999999999999994E-2</v>
      </c>
      <c r="BD104" s="48">
        <v>0.23300000000000001</v>
      </c>
      <c r="BE104" s="48">
        <v>104</v>
      </c>
      <c r="BF104" s="48">
        <v>6.7000000000000004E-2</v>
      </c>
      <c r="BG104" s="48">
        <v>0.5171465295629819</v>
      </c>
      <c r="BH104" s="48">
        <v>59.77827763496142</v>
      </c>
      <c r="BI104" s="48">
        <v>0.19</v>
      </c>
      <c r="BJ104" s="48">
        <v>0.221</v>
      </c>
      <c r="BK104" s="48">
        <v>0.01</v>
      </c>
      <c r="BL104" s="48">
        <v>3.46</v>
      </c>
      <c r="BM104" s="48">
        <v>100</v>
      </c>
      <c r="BN104" s="48">
        <v>60</v>
      </c>
      <c r="BO104" s="48">
        <v>74</v>
      </c>
      <c r="BP104" s="48">
        <v>94</v>
      </c>
      <c r="BQ104" s="48">
        <v>44</v>
      </c>
      <c r="BR104" s="48">
        <v>1</v>
      </c>
      <c r="BS104" s="48">
        <v>30</v>
      </c>
      <c r="BT104" s="48">
        <v>0.61799999999999999</v>
      </c>
      <c r="BU104" s="48">
        <v>1.602190753852561</v>
      </c>
      <c r="BV104" s="48">
        <v>0.15</v>
      </c>
      <c r="BW104" s="48">
        <v>0.16</v>
      </c>
      <c r="BX104" s="48">
        <v>0.1</v>
      </c>
      <c r="BY104" s="48">
        <v>0.161</v>
      </c>
      <c r="BZ104" s="48">
        <v>2.98</v>
      </c>
      <c r="CA104" s="48">
        <v>0.54799999999999993</v>
      </c>
      <c r="CB104" s="48">
        <v>69</v>
      </c>
      <c r="CC104" s="48">
        <v>0.02</v>
      </c>
      <c r="CD104" s="48">
        <v>1.7000000000000001E-2</v>
      </c>
      <c r="CE104" s="48">
        <v>8.0000000000000002E-3</v>
      </c>
      <c r="CF104" s="48">
        <v>0.42</v>
      </c>
      <c r="CG104" s="48">
        <v>0.45</v>
      </c>
      <c r="CH104" s="48">
        <v>1.94</v>
      </c>
      <c r="CI104" s="48">
        <v>0.20399999999999999</v>
      </c>
      <c r="CJ104" s="48">
        <v>0.21</v>
      </c>
      <c r="CK104" s="48">
        <v>34</v>
      </c>
      <c r="CL104" s="48">
        <v>1.4</v>
      </c>
      <c r="CM104" s="48">
        <v>17</v>
      </c>
      <c r="CN104" s="48">
        <v>1.41</v>
      </c>
      <c r="CO104" s="48">
        <v>2316.232586311326</v>
      </c>
    </row>
    <row r="105" spans="1:93" ht="19.899999999999999" customHeight="1" x14ac:dyDescent="0.3">
      <c r="B105" s="48" t="s">
        <v>34</v>
      </c>
      <c r="C105" s="48">
        <v>200</v>
      </c>
      <c r="D105" s="48">
        <v>1.32</v>
      </c>
      <c r="E105" s="48">
        <v>4310</v>
      </c>
      <c r="F105" s="48">
        <v>1.31</v>
      </c>
      <c r="G105" s="48">
        <v>1.34</v>
      </c>
      <c r="H105" s="48">
        <v>0.214</v>
      </c>
      <c r="I105" s="48">
        <v>0.63500000000000001</v>
      </c>
      <c r="J105" s="48">
        <v>1.22</v>
      </c>
      <c r="K105" s="48">
        <v>1.39</v>
      </c>
      <c r="L105" s="48">
        <v>0.59</v>
      </c>
      <c r="M105" s="48">
        <v>77.599999999999994</v>
      </c>
      <c r="N105" s="48">
        <v>3.42</v>
      </c>
      <c r="O105" s="48">
        <v>87.1</v>
      </c>
      <c r="P105" s="48">
        <v>0.83</v>
      </c>
      <c r="Q105" s="48">
        <v>0.64</v>
      </c>
      <c r="R105" s="48">
        <v>75.5</v>
      </c>
      <c r="S105" s="48">
        <v>1.24</v>
      </c>
      <c r="T105" s="48">
        <v>84.3</v>
      </c>
      <c r="U105" s="48">
        <v>0.79</v>
      </c>
      <c r="V105" s="48">
        <v>1058</v>
      </c>
      <c r="W105" s="48">
        <v>63</v>
      </c>
      <c r="X105" s="48">
        <v>1.3</v>
      </c>
      <c r="Y105" s="48">
        <v>112</v>
      </c>
      <c r="Z105" s="48">
        <v>1.31</v>
      </c>
      <c r="AA105" s="48">
        <v>173</v>
      </c>
      <c r="AB105" s="48">
        <v>1.33</v>
      </c>
      <c r="AC105" s="48">
        <v>0.1361948955916473</v>
      </c>
      <c r="AD105" s="48">
        <v>0.53503480278422277</v>
      </c>
      <c r="AE105" s="48">
        <v>0.22088167053364269</v>
      </c>
      <c r="AF105" s="48">
        <v>6.450116009280743E-2</v>
      </c>
      <c r="AG105" s="48">
        <v>186</v>
      </c>
      <c r="AH105" s="48">
        <v>162</v>
      </c>
      <c r="AI105" s="48">
        <v>133</v>
      </c>
      <c r="AJ105" s="48">
        <v>116</v>
      </c>
      <c r="AK105" s="48">
        <v>81</v>
      </c>
      <c r="AL105" s="48">
        <v>71</v>
      </c>
      <c r="AM105" s="48">
        <v>2.7610208816705339E-2</v>
      </c>
      <c r="AN105" s="48">
        <v>183</v>
      </c>
      <c r="AO105" s="48">
        <v>1.32</v>
      </c>
      <c r="AP105" s="48">
        <v>79</v>
      </c>
      <c r="AQ105" s="48">
        <v>1.34</v>
      </c>
      <c r="AR105" s="48">
        <v>46</v>
      </c>
      <c r="AS105" s="48">
        <v>1.32</v>
      </c>
      <c r="AT105" s="48">
        <v>97</v>
      </c>
      <c r="AU105" s="48">
        <v>1.34</v>
      </c>
      <c r="AV105" s="48">
        <v>40</v>
      </c>
      <c r="AW105" s="48">
        <v>1.32</v>
      </c>
      <c r="AX105" s="48">
        <v>23</v>
      </c>
      <c r="AY105" s="48">
        <v>1.31</v>
      </c>
      <c r="AZ105" s="48">
        <v>1.08</v>
      </c>
      <c r="BA105" s="48">
        <v>110</v>
      </c>
      <c r="BB105" s="48">
        <v>0.76</v>
      </c>
      <c r="BC105" s="48">
        <v>8.1000000000000003E-2</v>
      </c>
      <c r="BD105" s="48">
        <v>0.249</v>
      </c>
      <c r="BE105" s="48">
        <v>105</v>
      </c>
      <c r="BF105" s="48">
        <v>0.108</v>
      </c>
      <c r="BG105" s="48">
        <v>0.50760107816711586</v>
      </c>
      <c r="BH105" s="48">
        <v>56.792991913746633</v>
      </c>
      <c r="BI105" s="48">
        <v>0.16</v>
      </c>
      <c r="BJ105" s="48">
        <v>0.21199999999999999</v>
      </c>
      <c r="BK105" s="48">
        <v>7.0000000000000007E-2</v>
      </c>
      <c r="BL105" s="48">
        <v>4.5599999999999996</v>
      </c>
      <c r="BM105" s="48">
        <v>98</v>
      </c>
      <c r="BN105" s="48">
        <v>50</v>
      </c>
      <c r="BO105" s="48">
        <v>65</v>
      </c>
      <c r="BP105" s="48">
        <v>82</v>
      </c>
      <c r="BQ105" s="48">
        <v>67</v>
      </c>
      <c r="BR105" s="48">
        <v>85</v>
      </c>
      <c r="BS105" s="48">
        <v>64</v>
      </c>
      <c r="BT105" s="48">
        <v>0.433</v>
      </c>
      <c r="BU105" s="48">
        <v>1.4715288860517071</v>
      </c>
      <c r="BV105" s="48">
        <v>0.12</v>
      </c>
      <c r="BW105" s="48">
        <v>0.13</v>
      </c>
      <c r="BX105" s="48">
        <v>0.11</v>
      </c>
      <c r="BY105" s="48">
        <v>0.19900000000000001</v>
      </c>
      <c r="BZ105" s="48">
        <v>2.48</v>
      </c>
      <c r="CA105" s="48">
        <v>0.63100000000000001</v>
      </c>
      <c r="CB105" s="48">
        <v>75</v>
      </c>
      <c r="CC105" s="48">
        <v>0.28999999999999998</v>
      </c>
      <c r="CD105" s="48">
        <v>0.34699999999999998</v>
      </c>
      <c r="CE105" s="48">
        <v>0.22500000000000001</v>
      </c>
      <c r="CF105" s="48">
        <v>1.0900000000000001</v>
      </c>
      <c r="CG105" s="48">
        <v>0.59</v>
      </c>
      <c r="CH105" s="48">
        <v>2.42</v>
      </c>
      <c r="CI105" s="48">
        <v>0.19600000000000001</v>
      </c>
      <c r="CJ105" s="48">
        <v>0.19</v>
      </c>
      <c r="CK105" s="48">
        <v>62</v>
      </c>
      <c r="CL105" s="48">
        <v>1.34</v>
      </c>
      <c r="CM105" s="48">
        <v>42</v>
      </c>
      <c r="CN105" s="48">
        <v>1.32</v>
      </c>
      <c r="CO105" s="48">
        <v>2874.0189256888389</v>
      </c>
    </row>
    <row r="106" spans="1:93" ht="19.899999999999999" customHeight="1" x14ac:dyDescent="0.3">
      <c r="B106" s="48" t="s">
        <v>35</v>
      </c>
      <c r="C106" s="48">
        <v>180</v>
      </c>
      <c r="D106" s="48">
        <v>1.25</v>
      </c>
      <c r="E106" s="48">
        <v>3944</v>
      </c>
      <c r="F106" s="48">
        <v>1.18</v>
      </c>
      <c r="G106" s="48">
        <v>1.32</v>
      </c>
      <c r="H106" s="48">
        <v>0.215</v>
      </c>
      <c r="I106" s="48">
        <v>0.65300000000000002</v>
      </c>
      <c r="J106" s="48">
        <v>1.24</v>
      </c>
      <c r="K106" s="48">
        <v>1.17</v>
      </c>
      <c r="L106" s="48">
        <v>0.59</v>
      </c>
      <c r="M106" s="48">
        <v>76</v>
      </c>
      <c r="N106" s="48">
        <v>2.8</v>
      </c>
      <c r="O106" s="48">
        <v>81.5</v>
      </c>
      <c r="P106" s="48">
        <v>0.81</v>
      </c>
      <c r="Q106" s="48">
        <v>0.64</v>
      </c>
      <c r="R106" s="48">
        <v>73.5</v>
      </c>
      <c r="S106" s="48">
        <v>1.2</v>
      </c>
      <c r="T106" s="48">
        <v>78.599999999999994</v>
      </c>
      <c r="U106" s="48">
        <v>0.76</v>
      </c>
      <c r="V106" s="48">
        <v>877</v>
      </c>
      <c r="W106" s="48">
        <v>66</v>
      </c>
      <c r="X106" s="48">
        <v>1.17</v>
      </c>
      <c r="Y106" s="48">
        <v>104</v>
      </c>
      <c r="Z106" s="48">
        <v>1.19</v>
      </c>
      <c r="AA106" s="48">
        <v>148</v>
      </c>
      <c r="AB106" s="48">
        <v>1.24</v>
      </c>
      <c r="AC106" s="48">
        <v>0.1402129817444219</v>
      </c>
      <c r="AD106" s="48">
        <v>0.52434077079107511</v>
      </c>
      <c r="AE106" s="48">
        <v>0.21222109533468561</v>
      </c>
      <c r="AF106" s="48">
        <v>6.2880324543610547E-2</v>
      </c>
      <c r="AG106" s="48">
        <v>157</v>
      </c>
      <c r="AH106" s="48">
        <v>143</v>
      </c>
      <c r="AI106" s="48">
        <v>108</v>
      </c>
      <c r="AJ106" s="48">
        <v>86</v>
      </c>
      <c r="AK106" s="48">
        <v>66</v>
      </c>
      <c r="AL106" s="48">
        <v>71</v>
      </c>
      <c r="AM106" s="48">
        <v>3.169371196754564E-2</v>
      </c>
      <c r="AN106" s="48">
        <v>166</v>
      </c>
      <c r="AO106" s="48">
        <v>1.26</v>
      </c>
      <c r="AP106" s="48">
        <v>47</v>
      </c>
      <c r="AQ106" s="48">
        <v>1.1499999999999999</v>
      </c>
      <c r="AR106" s="48">
        <v>26</v>
      </c>
      <c r="AS106" s="48">
        <v>1.08</v>
      </c>
      <c r="AT106" s="48">
        <v>66</v>
      </c>
      <c r="AU106" s="48">
        <v>1.21</v>
      </c>
      <c r="AV106" s="48">
        <v>6</v>
      </c>
      <c r="AW106" s="48">
        <v>0.95</v>
      </c>
      <c r="AX106" s="48">
        <v>2</v>
      </c>
      <c r="AY106" s="48">
        <v>0.97</v>
      </c>
      <c r="AZ106" s="48">
        <v>1.0900000000000001</v>
      </c>
      <c r="BA106" s="48">
        <v>105.6</v>
      </c>
      <c r="BB106" s="48">
        <v>0.75</v>
      </c>
      <c r="BC106" s="48">
        <v>0.105</v>
      </c>
      <c r="BD106" s="48">
        <v>0.255</v>
      </c>
      <c r="BE106" s="48">
        <v>100</v>
      </c>
      <c r="BF106" s="48">
        <v>0.12</v>
      </c>
      <c r="BG106" s="48">
        <v>0.49056830601092882</v>
      </c>
      <c r="BH106" s="48">
        <v>53.65989071038252</v>
      </c>
      <c r="BI106" s="48">
        <v>0.16</v>
      </c>
      <c r="BJ106" s="48">
        <v>0.2</v>
      </c>
      <c r="BK106" s="48">
        <v>0.08</v>
      </c>
      <c r="BL106" s="48">
        <v>3.48</v>
      </c>
      <c r="BM106" s="48">
        <v>93</v>
      </c>
      <c r="BN106" s="48">
        <v>34</v>
      </c>
      <c r="BO106" s="48">
        <v>57</v>
      </c>
      <c r="BP106" s="48">
        <v>83</v>
      </c>
      <c r="BQ106" s="48">
        <v>76</v>
      </c>
      <c r="BR106" s="48">
        <v>92</v>
      </c>
      <c r="BS106" s="48">
        <v>60</v>
      </c>
      <c r="BT106" s="48">
        <v>0.42099999999999999</v>
      </c>
      <c r="BU106" s="48">
        <v>1.4864270246860121</v>
      </c>
      <c r="BV106" s="48">
        <v>0.12</v>
      </c>
      <c r="BW106" s="48">
        <v>0.12</v>
      </c>
      <c r="BX106" s="48">
        <v>0.09</v>
      </c>
      <c r="BY106" s="48">
        <v>0.186</v>
      </c>
      <c r="BZ106" s="48">
        <v>2.09</v>
      </c>
      <c r="CA106" s="48">
        <v>0.57899999999999996</v>
      </c>
      <c r="CB106" s="48">
        <v>77</v>
      </c>
      <c r="CC106" s="48">
        <v>0.37</v>
      </c>
      <c r="CD106" s="48">
        <v>0.45300000000000001</v>
      </c>
      <c r="CE106" s="48">
        <v>0.26300000000000001</v>
      </c>
      <c r="CF106" s="48">
        <v>0.74</v>
      </c>
      <c r="CG106" s="48">
        <v>0.68</v>
      </c>
      <c r="CH106" s="48">
        <v>2.4</v>
      </c>
      <c r="CI106" s="48">
        <v>0.191</v>
      </c>
      <c r="CJ106" s="48">
        <v>0.14000000000000001</v>
      </c>
      <c r="CK106" s="48">
        <v>27</v>
      </c>
      <c r="CL106" s="48">
        <v>1.18</v>
      </c>
      <c r="CM106" s="48">
        <v>20</v>
      </c>
      <c r="CN106" s="48">
        <v>1.17</v>
      </c>
      <c r="CO106" s="48">
        <v>3159.9469081823859</v>
      </c>
    </row>
    <row r="107" spans="1:93" ht="19.899999999999999" customHeight="1" x14ac:dyDescent="0.3">
      <c r="B107" s="48" t="s">
        <v>36</v>
      </c>
      <c r="C107" s="48">
        <v>159</v>
      </c>
      <c r="D107" s="48">
        <v>1.2</v>
      </c>
      <c r="E107" s="48">
        <v>3538</v>
      </c>
      <c r="F107" s="48">
        <v>1.19</v>
      </c>
      <c r="G107" s="48">
        <v>1.22</v>
      </c>
      <c r="H107" s="48">
        <v>0.161</v>
      </c>
      <c r="I107" s="48">
        <v>0.68299999999999994</v>
      </c>
      <c r="J107" s="48">
        <v>1.1299999999999999</v>
      </c>
      <c r="K107" s="48">
        <v>1.21</v>
      </c>
      <c r="L107" s="48">
        <v>0.54</v>
      </c>
      <c r="M107" s="48">
        <v>76.900000000000006</v>
      </c>
      <c r="N107" s="48">
        <v>2.2599999999999998</v>
      </c>
      <c r="O107" s="48">
        <v>79.400000000000006</v>
      </c>
      <c r="P107" s="48">
        <v>0.79</v>
      </c>
      <c r="Q107" s="48">
        <v>0.59</v>
      </c>
      <c r="R107" s="48">
        <v>73.900000000000006</v>
      </c>
      <c r="S107" s="48">
        <v>1.07</v>
      </c>
      <c r="T107" s="48">
        <v>76</v>
      </c>
      <c r="U107" s="48">
        <v>0.73</v>
      </c>
      <c r="V107" s="48">
        <v>884</v>
      </c>
      <c r="W107" s="48">
        <v>58</v>
      </c>
      <c r="X107" s="48">
        <v>1.1000000000000001</v>
      </c>
      <c r="Y107" s="48">
        <v>81</v>
      </c>
      <c r="Z107" s="48">
        <v>1.1100000000000001</v>
      </c>
      <c r="AA107" s="48">
        <v>127</v>
      </c>
      <c r="AB107" s="48">
        <v>1.17</v>
      </c>
      <c r="AC107" s="48">
        <v>0.10966647823629171</v>
      </c>
      <c r="AD107" s="48">
        <v>0.53476540418315432</v>
      </c>
      <c r="AE107" s="48">
        <v>0.19502543810062181</v>
      </c>
      <c r="AF107" s="48">
        <v>4.9180327868852458E-2</v>
      </c>
      <c r="AG107" s="48">
        <v>142</v>
      </c>
      <c r="AH107" s="48">
        <v>120</v>
      </c>
      <c r="AI107" s="48">
        <v>95</v>
      </c>
      <c r="AJ107" s="48">
        <v>71</v>
      </c>
      <c r="AK107" s="48">
        <v>38</v>
      </c>
      <c r="AL107" s="48">
        <v>62</v>
      </c>
      <c r="AM107" s="48">
        <v>2.939513849632561E-2</v>
      </c>
      <c r="AN107" s="48">
        <v>140</v>
      </c>
      <c r="AO107" s="48">
        <v>1.19</v>
      </c>
      <c r="AP107" s="48">
        <v>70</v>
      </c>
      <c r="AQ107" s="48">
        <v>1.1599999999999999</v>
      </c>
      <c r="AR107" s="48">
        <v>46</v>
      </c>
      <c r="AS107" s="48">
        <v>1.1000000000000001</v>
      </c>
      <c r="AT107" s="48">
        <v>59</v>
      </c>
      <c r="AU107" s="48">
        <v>1.1200000000000001</v>
      </c>
      <c r="AV107" s="48">
        <v>25</v>
      </c>
      <c r="AW107" s="48">
        <v>1.03</v>
      </c>
      <c r="AX107" s="48">
        <v>20</v>
      </c>
      <c r="AY107" s="48">
        <v>0.98</v>
      </c>
      <c r="AZ107" s="48">
        <v>1.01</v>
      </c>
      <c r="BA107" s="48">
        <v>99.2</v>
      </c>
      <c r="BB107" s="48">
        <v>0.76300000000000001</v>
      </c>
      <c r="BC107" s="48">
        <v>0.14499999999999999</v>
      </c>
      <c r="BD107" s="48">
        <v>0.26800000000000002</v>
      </c>
      <c r="BE107" s="48">
        <v>101</v>
      </c>
      <c r="BF107" s="48">
        <v>0.14399999999999999</v>
      </c>
      <c r="BG107" s="48">
        <v>0.5046143958868895</v>
      </c>
      <c r="BH107" s="48">
        <v>54.179177377892039</v>
      </c>
      <c r="BI107" s="48">
        <v>0.16</v>
      </c>
      <c r="BJ107" s="48">
        <v>0.16200000000000001</v>
      </c>
      <c r="BK107" s="48">
        <v>0.05</v>
      </c>
      <c r="BL107" s="48">
        <v>3.73</v>
      </c>
      <c r="BM107" s="48">
        <v>88</v>
      </c>
      <c r="BN107" s="48">
        <v>8</v>
      </c>
      <c r="BO107" s="48">
        <v>55</v>
      </c>
      <c r="BP107" s="48">
        <v>57</v>
      </c>
      <c r="BQ107" s="48">
        <v>76</v>
      </c>
      <c r="BR107" s="48">
        <v>93</v>
      </c>
      <c r="BS107" s="48">
        <v>60</v>
      </c>
      <c r="BT107" s="48">
        <v>0.32400000000000001</v>
      </c>
      <c r="BU107" s="48">
        <v>1.3087796751353611</v>
      </c>
      <c r="BV107" s="48">
        <v>0.09</v>
      </c>
      <c r="BW107" s="48">
        <v>0.11</v>
      </c>
      <c r="BX107" s="48">
        <v>0.08</v>
      </c>
      <c r="BY107" s="48">
        <v>0.19800000000000001</v>
      </c>
      <c r="BZ107" s="48">
        <v>2.21</v>
      </c>
      <c r="CA107" s="48">
        <v>0.57100000000000006</v>
      </c>
      <c r="CB107" s="48">
        <v>79</v>
      </c>
      <c r="CC107" s="48">
        <v>0.39</v>
      </c>
      <c r="CD107" s="48">
        <v>0.49700000000000011</v>
      </c>
      <c r="CE107" s="48">
        <v>0.318</v>
      </c>
      <c r="CF107" s="48">
        <v>1.1599999999999999</v>
      </c>
      <c r="CG107" s="48">
        <v>0.67</v>
      </c>
      <c r="CH107" s="48">
        <v>2.25</v>
      </c>
      <c r="CI107" s="48">
        <v>0.19900000000000001</v>
      </c>
      <c r="CJ107" s="48">
        <v>0.14000000000000001</v>
      </c>
      <c r="CK107" s="48">
        <v>34</v>
      </c>
      <c r="CL107" s="48">
        <v>1.06</v>
      </c>
      <c r="CM107" s="48">
        <v>17</v>
      </c>
      <c r="CN107" s="48">
        <v>1.1299999999999999</v>
      </c>
      <c r="CO107" s="48">
        <v>3152.744886975242</v>
      </c>
    </row>
    <row r="108" spans="1:93" ht="19.899999999999999" customHeight="1" x14ac:dyDescent="0.3">
      <c r="B108" s="48" t="s">
        <v>37</v>
      </c>
      <c r="C108" s="48">
        <v>216</v>
      </c>
      <c r="D108" s="48">
        <v>1.2</v>
      </c>
      <c r="E108" s="48">
        <v>4697</v>
      </c>
      <c r="F108" s="48">
        <v>1.19</v>
      </c>
      <c r="G108" s="48">
        <v>1.21</v>
      </c>
      <c r="H108" s="48">
        <v>0.184</v>
      </c>
      <c r="I108" s="48">
        <v>0.54299999999999993</v>
      </c>
      <c r="J108" s="48">
        <v>1.03</v>
      </c>
      <c r="K108" s="48">
        <v>1.1499999999999999</v>
      </c>
      <c r="L108" s="48">
        <v>0.61</v>
      </c>
      <c r="M108" s="48">
        <v>76.400000000000006</v>
      </c>
      <c r="N108" s="48">
        <v>1.68</v>
      </c>
      <c r="O108" s="48">
        <v>82</v>
      </c>
      <c r="P108" s="48">
        <v>0.73</v>
      </c>
      <c r="Q108" s="48">
        <v>0.63</v>
      </c>
      <c r="R108" s="48">
        <v>73.900000000000006</v>
      </c>
      <c r="S108" s="48">
        <v>1.1499999999999999</v>
      </c>
      <c r="T108" s="48">
        <v>82</v>
      </c>
      <c r="U108" s="48">
        <v>0.74</v>
      </c>
      <c r="V108" s="48">
        <v>560</v>
      </c>
      <c r="W108" s="48">
        <v>47</v>
      </c>
      <c r="X108" s="48">
        <v>1.1100000000000001</v>
      </c>
      <c r="Y108" s="48">
        <v>93</v>
      </c>
      <c r="Z108" s="48">
        <v>1.1499999999999999</v>
      </c>
      <c r="AA108" s="48">
        <v>155</v>
      </c>
      <c r="AB108" s="48">
        <v>1.17</v>
      </c>
      <c r="AC108" s="48">
        <v>0.1000638705556738</v>
      </c>
      <c r="AD108" s="48">
        <v>0.48392591015541842</v>
      </c>
      <c r="AE108" s="48">
        <v>0.18352139663615069</v>
      </c>
      <c r="AF108" s="48">
        <v>5.2799659357036413E-2</v>
      </c>
      <c r="AG108" s="48">
        <v>191</v>
      </c>
      <c r="AH108" s="48">
        <v>169</v>
      </c>
      <c r="AI108" s="48">
        <v>124</v>
      </c>
      <c r="AJ108" s="48">
        <v>82</v>
      </c>
      <c r="AK108" s="48">
        <v>58</v>
      </c>
      <c r="AL108" s="48">
        <v>79</v>
      </c>
      <c r="AM108" s="48">
        <v>2.533532041728763E-2</v>
      </c>
      <c r="AN108" s="48">
        <v>140</v>
      </c>
      <c r="AO108" s="48">
        <v>1.17</v>
      </c>
      <c r="AP108" s="48">
        <v>50</v>
      </c>
      <c r="AQ108" s="48">
        <v>1.1499999999999999</v>
      </c>
      <c r="AR108" s="48">
        <v>31</v>
      </c>
      <c r="AS108" s="48">
        <v>1.1100000000000001</v>
      </c>
      <c r="AT108" s="48">
        <v>41</v>
      </c>
      <c r="AU108" s="48">
        <v>1.1200000000000001</v>
      </c>
      <c r="AV108" s="48">
        <v>16</v>
      </c>
      <c r="AW108" s="48">
        <v>1.05</v>
      </c>
      <c r="AX108" s="48">
        <v>9</v>
      </c>
      <c r="AY108" s="48">
        <v>0.99</v>
      </c>
      <c r="AZ108" s="48">
        <v>0.97</v>
      </c>
      <c r="BA108" s="48">
        <v>102.1</v>
      </c>
      <c r="BB108" s="48">
        <v>0.73799999999999999</v>
      </c>
      <c r="BC108" s="48">
        <v>0.106</v>
      </c>
      <c r="BD108" s="48">
        <v>0.27300000000000002</v>
      </c>
      <c r="BE108" s="48">
        <v>112</v>
      </c>
      <c r="BF108" s="48">
        <v>0.112</v>
      </c>
      <c r="BG108" s="48">
        <v>0.45631028207461338</v>
      </c>
      <c r="BH108" s="48">
        <v>59.147452229299368</v>
      </c>
      <c r="BI108" s="48">
        <v>0.14000000000000001</v>
      </c>
      <c r="BJ108" s="48">
        <v>0.2</v>
      </c>
      <c r="BK108" s="48">
        <v>0.05</v>
      </c>
      <c r="BL108" s="48">
        <v>7.89</v>
      </c>
      <c r="BM108" s="48">
        <v>83</v>
      </c>
      <c r="BN108" s="48">
        <v>35</v>
      </c>
      <c r="BO108" s="48">
        <v>47</v>
      </c>
      <c r="BP108" s="48">
        <v>50</v>
      </c>
      <c r="BQ108" s="48">
        <v>64</v>
      </c>
      <c r="BR108" s="48">
        <v>0</v>
      </c>
      <c r="BS108" s="48">
        <v>85</v>
      </c>
      <c r="BT108" s="48">
        <v>0.53200000000000003</v>
      </c>
      <c r="BU108" s="48">
        <v>1.366786098172698</v>
      </c>
      <c r="BV108" s="48">
        <v>0.12</v>
      </c>
      <c r="BW108" s="48">
        <v>0.11</v>
      </c>
      <c r="BX108" s="48">
        <v>0.09</v>
      </c>
      <c r="BY108" s="48">
        <v>0.23599999999999999</v>
      </c>
      <c r="BZ108" s="48">
        <v>3.14</v>
      </c>
      <c r="CA108" s="48">
        <v>0.66200000000000003</v>
      </c>
      <c r="CB108" s="48">
        <v>75</v>
      </c>
      <c r="CC108" s="48">
        <v>0.01</v>
      </c>
      <c r="CD108" s="48">
        <v>1.0999999999999999E-2</v>
      </c>
      <c r="CE108" s="48">
        <v>6.0000000000000001E-3</v>
      </c>
      <c r="CF108" s="48">
        <v>1.49</v>
      </c>
      <c r="CG108" s="48">
        <v>0.69</v>
      </c>
      <c r="CH108" s="48">
        <v>2.4300000000000002</v>
      </c>
      <c r="CI108" s="48">
        <v>0.191</v>
      </c>
      <c r="CJ108" s="48">
        <v>0.22</v>
      </c>
      <c r="CK108" s="48">
        <v>29</v>
      </c>
      <c r="CL108" s="48">
        <v>1.1200000000000001</v>
      </c>
      <c r="CM108" s="48">
        <v>12</v>
      </c>
      <c r="CN108" s="48">
        <v>1</v>
      </c>
      <c r="CO108" s="48">
        <v>2223.1105923548289</v>
      </c>
    </row>
    <row r="109" spans="1:93" ht="19.899999999999999" customHeight="1" x14ac:dyDescent="0.3">
      <c r="B109" s="48" t="s">
        <v>108</v>
      </c>
      <c r="C109" s="48">
        <v>195</v>
      </c>
      <c r="D109" s="48">
        <v>1.17</v>
      </c>
      <c r="E109" s="48">
        <v>4300</v>
      </c>
      <c r="F109" s="48">
        <v>1.19</v>
      </c>
      <c r="G109" s="48">
        <v>1.1499999999999999</v>
      </c>
      <c r="H109" s="48">
        <v>0.18099999999999999</v>
      </c>
      <c r="I109" s="48">
        <v>0.54200000000000004</v>
      </c>
      <c r="J109" s="48">
        <v>1.02</v>
      </c>
      <c r="K109" s="48">
        <v>1.25</v>
      </c>
      <c r="L109" s="48">
        <v>0.63</v>
      </c>
      <c r="M109" s="48">
        <v>75</v>
      </c>
      <c r="N109" s="48">
        <v>1.47</v>
      </c>
      <c r="O109" s="48">
        <v>81</v>
      </c>
      <c r="P109" s="48">
        <v>0.72</v>
      </c>
      <c r="Q109" s="48">
        <v>0.65</v>
      </c>
      <c r="R109" s="48">
        <v>72.599999999999994</v>
      </c>
      <c r="S109" s="48">
        <v>1.1399999999999999</v>
      </c>
      <c r="T109" s="48">
        <v>81.2</v>
      </c>
      <c r="U109" s="48">
        <v>0.74</v>
      </c>
      <c r="V109" s="48">
        <v>418</v>
      </c>
      <c r="W109" s="48">
        <v>43</v>
      </c>
      <c r="X109" s="48">
        <v>1.2</v>
      </c>
      <c r="Y109" s="48">
        <v>80</v>
      </c>
      <c r="Z109" s="48">
        <v>1.1299999999999999</v>
      </c>
      <c r="AA109" s="48">
        <v>139</v>
      </c>
      <c r="AB109" s="48">
        <v>1.1499999999999999</v>
      </c>
      <c r="AC109" s="48">
        <v>9.813953488372093E-2</v>
      </c>
      <c r="AD109" s="48">
        <v>0.48627906976744179</v>
      </c>
      <c r="AE109" s="48">
        <v>0.1783720930232558</v>
      </c>
      <c r="AF109" s="48">
        <v>5.1162790697674418E-2</v>
      </c>
      <c r="AG109" s="48">
        <v>167</v>
      </c>
      <c r="AH109" s="48">
        <v>135</v>
      </c>
      <c r="AI109" s="48">
        <v>104</v>
      </c>
      <c r="AJ109" s="48">
        <v>76</v>
      </c>
      <c r="AK109" s="48">
        <v>50</v>
      </c>
      <c r="AL109" s="48">
        <v>66</v>
      </c>
      <c r="AM109" s="48">
        <v>3.093023255813954E-2</v>
      </c>
      <c r="AN109" s="48">
        <v>141</v>
      </c>
      <c r="AO109" s="48">
        <v>1.1499999999999999</v>
      </c>
      <c r="AP109" s="48">
        <v>55</v>
      </c>
      <c r="AQ109" s="48">
        <v>1.1299999999999999</v>
      </c>
      <c r="AR109" s="48">
        <v>43</v>
      </c>
      <c r="AS109" s="48">
        <v>1.1499999999999999</v>
      </c>
      <c r="AT109" s="48">
        <v>27</v>
      </c>
      <c r="AU109" s="48">
        <v>1.19</v>
      </c>
      <c r="AV109" s="48">
        <v>11</v>
      </c>
      <c r="AW109" s="48">
        <v>1.1100000000000001</v>
      </c>
      <c r="AX109" s="48">
        <v>11</v>
      </c>
      <c r="AY109" s="48">
        <v>1.1100000000000001</v>
      </c>
      <c r="AZ109" s="48">
        <v>0.99</v>
      </c>
      <c r="BA109" s="48">
        <v>103.8</v>
      </c>
      <c r="BB109" s="48">
        <v>0.73199999999999998</v>
      </c>
      <c r="BC109" s="48">
        <v>0.10100000000000001</v>
      </c>
      <c r="BD109" s="48">
        <v>0.27600000000000002</v>
      </c>
      <c r="BE109" s="48">
        <v>112</v>
      </c>
      <c r="BF109" s="48">
        <v>0.125</v>
      </c>
      <c r="BG109" s="48">
        <v>0.44640781324440221</v>
      </c>
      <c r="BH109" s="48">
        <v>57.092043830395433</v>
      </c>
      <c r="BI109" s="48">
        <v>0.16</v>
      </c>
      <c r="BJ109" s="48">
        <v>0.19800000000000001</v>
      </c>
      <c r="BK109" s="48">
        <v>0.04</v>
      </c>
      <c r="BL109" s="48">
        <v>6</v>
      </c>
      <c r="BM109" s="48">
        <v>80</v>
      </c>
      <c r="BN109" s="48">
        <v>36</v>
      </c>
      <c r="BO109" s="48">
        <v>68</v>
      </c>
      <c r="BP109" s="48">
        <v>48</v>
      </c>
      <c r="BQ109" s="48">
        <v>75</v>
      </c>
      <c r="BR109" s="48">
        <v>0</v>
      </c>
      <c r="BS109" s="48">
        <v>63</v>
      </c>
      <c r="BT109" s="48">
        <v>0.501</v>
      </c>
      <c r="BU109" s="48">
        <v>1.377054498269896</v>
      </c>
      <c r="BV109" s="48">
        <v>0.12</v>
      </c>
      <c r="BW109" s="48">
        <v>0.12</v>
      </c>
      <c r="BX109" s="48">
        <v>0.09</v>
      </c>
      <c r="BY109" s="48">
        <v>0.224</v>
      </c>
      <c r="BZ109" s="48">
        <v>3.11</v>
      </c>
      <c r="CA109" s="48">
        <v>0.58499999999999996</v>
      </c>
      <c r="CB109" s="48">
        <v>72</v>
      </c>
      <c r="CC109" s="48">
        <v>0</v>
      </c>
      <c r="CD109" s="48">
        <v>4.0000000000000001E-3</v>
      </c>
      <c r="CE109" s="48">
        <v>3.0000000000000001E-3</v>
      </c>
      <c r="CF109" s="48">
        <v>1.1200000000000001</v>
      </c>
      <c r="CG109" s="48">
        <v>0.47</v>
      </c>
      <c r="CH109" s="48">
        <v>2.65</v>
      </c>
      <c r="CI109" s="48">
        <v>0.219</v>
      </c>
      <c r="CJ109" s="48">
        <v>0.22</v>
      </c>
      <c r="CK109" s="48">
        <v>17</v>
      </c>
      <c r="CL109" s="48">
        <v>1.1000000000000001</v>
      </c>
      <c r="CM109" s="48">
        <v>4</v>
      </c>
      <c r="CN109" s="48">
        <v>1.1599999999999999</v>
      </c>
      <c r="CO109" s="48">
        <v>2211.7137355584082</v>
      </c>
    </row>
    <row r="110" spans="1:93" ht="19.899999999999999" customHeight="1" x14ac:dyDescent="0.3">
      <c r="J110" s="18"/>
      <c r="K110" s="18"/>
      <c r="L110" s="18"/>
      <c r="M110" s="18"/>
      <c r="N110" s="18"/>
      <c r="O110" s="18"/>
      <c r="Z110" s="18"/>
      <c r="AE110" s="18"/>
      <c r="AG110" s="18"/>
      <c r="AH110" s="18"/>
      <c r="AI110" s="18"/>
      <c r="AJ110" s="18"/>
      <c r="AK110" s="18"/>
      <c r="AL110" s="18"/>
    </row>
    <row r="111" spans="1:93" ht="19.899999999999999" customHeight="1" x14ac:dyDescent="0.3">
      <c r="J111" s="18"/>
      <c r="K111" s="18"/>
      <c r="L111" s="18"/>
      <c r="M111" s="18"/>
      <c r="N111" s="18"/>
      <c r="O111" s="18"/>
      <c r="Z111" s="18"/>
      <c r="AE111" s="18"/>
      <c r="AG111" s="18"/>
      <c r="AH111" s="18"/>
      <c r="AI111" s="18"/>
      <c r="AJ111" s="18"/>
      <c r="AK111" s="18"/>
      <c r="AL111" s="18"/>
    </row>
    <row r="112" spans="1:93" ht="19.899999999999999" customHeight="1" x14ac:dyDescent="0.3">
      <c r="J112" s="18"/>
      <c r="K112" s="18"/>
      <c r="L112" s="18"/>
      <c r="M112" s="18"/>
      <c r="N112" s="18"/>
      <c r="O112" s="18"/>
      <c r="Z112" s="18"/>
      <c r="AE112" s="18"/>
      <c r="AG112" s="18"/>
      <c r="AH112" s="18"/>
      <c r="AI112" s="18"/>
      <c r="AJ112" s="18"/>
      <c r="AK112" s="18"/>
      <c r="AL112" s="18"/>
    </row>
    <row r="113" spans="10:38" ht="19.899999999999999" customHeight="1" x14ac:dyDescent="0.3">
      <c r="J113" s="18"/>
      <c r="K113" s="18"/>
      <c r="L113" s="18"/>
      <c r="M113" s="18"/>
      <c r="N113" s="18"/>
      <c r="O113" s="18"/>
      <c r="Z113" s="18"/>
      <c r="AE113" s="18"/>
      <c r="AG113" s="18"/>
      <c r="AH113" s="18"/>
      <c r="AI113" s="18"/>
      <c r="AJ113" s="18"/>
      <c r="AK113" s="18"/>
      <c r="AL113" s="18"/>
    </row>
    <row r="114" spans="10:38" ht="19.899999999999999" customHeight="1" x14ac:dyDescent="0.3">
      <c r="J114" s="18"/>
      <c r="K114" s="18"/>
      <c r="L114" s="18"/>
      <c r="M114" s="18"/>
      <c r="N114" s="18"/>
      <c r="O114" s="18"/>
      <c r="Z114" s="18"/>
      <c r="AE114" s="18"/>
      <c r="AG114" s="18"/>
      <c r="AH114" s="18"/>
      <c r="AI114" s="18"/>
      <c r="AJ114" s="18"/>
      <c r="AK114" s="18"/>
      <c r="AL114" s="18"/>
    </row>
    <row r="115" spans="10:38" ht="19.899999999999999" customHeight="1" x14ac:dyDescent="0.3">
      <c r="J115" s="18"/>
      <c r="K115" s="18"/>
      <c r="L115" s="18"/>
      <c r="M115" s="18"/>
      <c r="N115" s="18"/>
      <c r="O115" s="18"/>
      <c r="Z115" s="18"/>
      <c r="AE115" s="18"/>
      <c r="AG115" s="18"/>
      <c r="AH115" s="18"/>
      <c r="AI115" s="18"/>
      <c r="AJ115" s="18"/>
      <c r="AK115" s="18"/>
      <c r="AL115" s="18"/>
    </row>
    <row r="116" spans="10:38" ht="19.899999999999999" customHeight="1" x14ac:dyDescent="0.3">
      <c r="J116" s="18"/>
      <c r="K116" s="18"/>
      <c r="L116" s="18"/>
      <c r="M116" s="18"/>
      <c r="N116" s="18"/>
      <c r="O116" s="18"/>
      <c r="Z116" s="18"/>
      <c r="AE116" s="18"/>
      <c r="AG116" s="18"/>
      <c r="AH116" s="18"/>
      <c r="AI116" s="18"/>
      <c r="AJ116" s="18"/>
      <c r="AK116" s="18"/>
      <c r="AL116" s="18"/>
    </row>
    <row r="117" spans="10:38" ht="19.899999999999999" customHeight="1" x14ac:dyDescent="0.3">
      <c r="J117" s="18"/>
      <c r="K117" s="18"/>
      <c r="L117" s="18"/>
      <c r="M117" s="18"/>
      <c r="N117" s="18"/>
      <c r="O117" s="18"/>
      <c r="Z117" s="18"/>
      <c r="AE117" s="18"/>
      <c r="AG117" s="18"/>
      <c r="AH117" s="18"/>
      <c r="AI117" s="18"/>
      <c r="AJ117" s="18"/>
      <c r="AK117" s="18"/>
      <c r="AL117" s="18"/>
    </row>
    <row r="118" spans="10:38" ht="19.899999999999999" customHeight="1" x14ac:dyDescent="0.3">
      <c r="J118" s="18"/>
      <c r="K118" s="18"/>
      <c r="L118" s="18"/>
      <c r="M118" s="18"/>
      <c r="N118" s="18"/>
      <c r="O118" s="18"/>
      <c r="Z118" s="18"/>
      <c r="AE118" s="18"/>
      <c r="AG118" s="18"/>
      <c r="AH118" s="18"/>
      <c r="AI118" s="18"/>
      <c r="AJ118" s="18"/>
      <c r="AK118" s="18"/>
      <c r="AL118" s="18"/>
    </row>
    <row r="119" spans="10:38" ht="19.899999999999999" customHeight="1" x14ac:dyDescent="0.3">
      <c r="J119" s="18"/>
      <c r="K119" s="18"/>
      <c r="L119" s="18"/>
      <c r="M119" s="18"/>
      <c r="N119" s="18"/>
      <c r="O119" s="18"/>
      <c r="Z119" s="18"/>
      <c r="AE119" s="18"/>
      <c r="AG119" s="18"/>
      <c r="AH119" s="18"/>
      <c r="AI119" s="18"/>
      <c r="AJ119" s="18"/>
      <c r="AK119" s="18"/>
      <c r="AL119" s="18"/>
    </row>
    <row r="120" spans="10:38" ht="19.899999999999999" customHeight="1" x14ac:dyDescent="0.3">
      <c r="J120" s="18"/>
      <c r="K120" s="18"/>
      <c r="L120" s="18"/>
      <c r="M120" s="18"/>
      <c r="N120" s="18"/>
      <c r="O120" s="18"/>
      <c r="Z120" s="18"/>
      <c r="AE120" s="18"/>
      <c r="AG120" s="18"/>
      <c r="AH120" s="18"/>
      <c r="AI120" s="18"/>
      <c r="AJ120" s="18"/>
      <c r="AK120" s="18"/>
      <c r="AL120" s="18"/>
    </row>
    <row r="121" spans="10:38" ht="19.899999999999999" customHeight="1" x14ac:dyDescent="0.3">
      <c r="J121" s="18"/>
      <c r="K121" s="18"/>
      <c r="L121" s="18"/>
      <c r="M121" s="18"/>
      <c r="N121" s="18"/>
      <c r="O121" s="18"/>
      <c r="Z121" s="18"/>
      <c r="AE121" s="18"/>
      <c r="AG121" s="18"/>
      <c r="AH121" s="18"/>
      <c r="AI121" s="18"/>
      <c r="AJ121" s="18"/>
      <c r="AK121" s="18"/>
      <c r="AL121" s="18"/>
    </row>
    <row r="122" spans="10:38" ht="19.899999999999999" customHeight="1" x14ac:dyDescent="0.3">
      <c r="J122" s="18"/>
      <c r="K122" s="18"/>
      <c r="L122" s="18"/>
      <c r="M122" s="18"/>
      <c r="N122" s="18"/>
      <c r="O122" s="18"/>
      <c r="Z122" s="18"/>
      <c r="AE122" s="18"/>
      <c r="AG122" s="18"/>
      <c r="AH122" s="18"/>
      <c r="AI122" s="18"/>
      <c r="AJ122" s="18"/>
      <c r="AK122" s="18"/>
      <c r="AL122" s="18"/>
    </row>
    <row r="123" spans="10:38" ht="19.899999999999999" customHeight="1" x14ac:dyDescent="0.3">
      <c r="J123" s="18"/>
      <c r="K123" s="18"/>
      <c r="L123" s="18"/>
      <c r="M123" s="18"/>
      <c r="N123" s="18"/>
      <c r="O123" s="18"/>
      <c r="Z123" s="18"/>
      <c r="AE123" s="18"/>
      <c r="AG123" s="18"/>
      <c r="AH123" s="18"/>
      <c r="AI123" s="18"/>
      <c r="AJ123" s="18"/>
      <c r="AK123" s="18"/>
      <c r="AL123" s="18"/>
    </row>
    <row r="124" spans="10:38" ht="19.899999999999999" customHeight="1" x14ac:dyDescent="0.3">
      <c r="J124" s="18"/>
      <c r="K124" s="18"/>
      <c r="L124" s="18"/>
      <c r="M124" s="18"/>
      <c r="N124" s="18"/>
      <c r="O124" s="18"/>
      <c r="Z124" s="18"/>
      <c r="AE124" s="18"/>
      <c r="AG124" s="18"/>
      <c r="AH124" s="18"/>
      <c r="AI124" s="18"/>
      <c r="AJ124" s="18"/>
      <c r="AK124" s="18"/>
      <c r="AL124" s="18"/>
    </row>
    <row r="125" spans="10:38" ht="19.899999999999999" customHeight="1" x14ac:dyDescent="0.3">
      <c r="J125" s="18"/>
      <c r="K125" s="18"/>
      <c r="L125" s="18"/>
      <c r="M125" s="18"/>
      <c r="N125" s="18"/>
      <c r="O125" s="18"/>
      <c r="Z125" s="18"/>
      <c r="AE125" s="18"/>
      <c r="AG125" s="18"/>
      <c r="AH125" s="18"/>
      <c r="AI125" s="18"/>
      <c r="AJ125" s="18"/>
      <c r="AK125" s="18"/>
      <c r="AL125" s="18"/>
    </row>
    <row r="126" spans="10:38" ht="19.899999999999999" customHeight="1" x14ac:dyDescent="0.3">
      <c r="J126" s="18"/>
      <c r="K126" s="18"/>
      <c r="L126" s="18"/>
      <c r="M126" s="18"/>
      <c r="N126" s="18"/>
      <c r="O126" s="18"/>
      <c r="Z126" s="18"/>
      <c r="AE126" s="18"/>
      <c r="AG126" s="18"/>
      <c r="AH126" s="18"/>
      <c r="AI126" s="18"/>
      <c r="AJ126" s="18"/>
      <c r="AK126" s="18"/>
      <c r="AL126" s="18"/>
    </row>
    <row r="127" spans="10:38" ht="19.899999999999999" customHeight="1" x14ac:dyDescent="0.3">
      <c r="J127" s="18"/>
      <c r="K127" s="18"/>
      <c r="L127" s="18"/>
      <c r="M127" s="18"/>
      <c r="N127" s="18"/>
      <c r="O127" s="18"/>
      <c r="Z127" s="18"/>
      <c r="AE127" s="18"/>
      <c r="AG127" s="18"/>
      <c r="AH127" s="18"/>
      <c r="AI127" s="18"/>
      <c r="AJ127" s="18"/>
      <c r="AK127" s="18"/>
      <c r="AL127" s="18"/>
    </row>
    <row r="128" spans="10:38" ht="19.899999999999999" customHeight="1" x14ac:dyDescent="0.3">
      <c r="J128" s="18"/>
      <c r="K128" s="18"/>
      <c r="L128" s="18"/>
      <c r="M128" s="18"/>
      <c r="N128" s="18"/>
      <c r="O128" s="18"/>
      <c r="Z128" s="18"/>
      <c r="AE128" s="18"/>
      <c r="AG128" s="18"/>
      <c r="AH128" s="18"/>
      <c r="AI128" s="18"/>
      <c r="AJ128" s="18"/>
      <c r="AK128" s="18"/>
      <c r="AL128" s="18"/>
    </row>
    <row r="129" spans="10:38" ht="19.899999999999999" customHeight="1" x14ac:dyDescent="0.3">
      <c r="J129" s="18"/>
      <c r="K129" s="18"/>
      <c r="L129" s="18"/>
      <c r="M129" s="18"/>
      <c r="N129" s="18"/>
      <c r="O129" s="18"/>
      <c r="Z129" s="18"/>
      <c r="AE129" s="18"/>
      <c r="AG129" s="18"/>
      <c r="AH129" s="18"/>
      <c r="AI129" s="18"/>
      <c r="AJ129" s="18"/>
      <c r="AK129" s="18"/>
      <c r="AL129" s="18"/>
    </row>
    <row r="130" spans="10:38" ht="19.899999999999999" customHeight="1" x14ac:dyDescent="0.3">
      <c r="J130" s="18"/>
      <c r="K130" s="18"/>
      <c r="L130" s="18"/>
      <c r="M130" s="18"/>
      <c r="N130" s="18"/>
      <c r="O130" s="18"/>
      <c r="Z130" s="18"/>
      <c r="AE130" s="18"/>
      <c r="AG130" s="18"/>
      <c r="AH130" s="18"/>
      <c r="AI130" s="18"/>
      <c r="AJ130" s="18"/>
      <c r="AK130" s="18"/>
      <c r="AL130" s="18"/>
    </row>
    <row r="131" spans="10:38" ht="19.899999999999999" customHeight="1" x14ac:dyDescent="0.3">
      <c r="J131" s="18"/>
      <c r="K131" s="18"/>
      <c r="L131" s="18"/>
      <c r="M131" s="18"/>
      <c r="N131" s="18"/>
      <c r="O131" s="18"/>
      <c r="Z131" s="18"/>
      <c r="AE131" s="18"/>
      <c r="AG131" s="18"/>
      <c r="AH131" s="18"/>
      <c r="AI131" s="18"/>
      <c r="AJ131" s="18"/>
      <c r="AK131" s="18"/>
      <c r="AL131" s="18"/>
    </row>
    <row r="132" spans="10:38" ht="19.899999999999999" customHeight="1" x14ac:dyDescent="0.3">
      <c r="J132" s="18"/>
      <c r="K132" s="18"/>
      <c r="L132" s="18"/>
      <c r="M132" s="18"/>
      <c r="N132" s="18"/>
      <c r="O132" s="18"/>
      <c r="Z132" s="18"/>
      <c r="AE132" s="18"/>
      <c r="AG132" s="18"/>
      <c r="AH132" s="18"/>
      <c r="AI132" s="18"/>
      <c r="AJ132" s="18"/>
      <c r="AK132" s="18"/>
      <c r="AL132" s="18"/>
    </row>
    <row r="133" spans="10:38" ht="19.899999999999999" customHeight="1" x14ac:dyDescent="0.3">
      <c r="J133" s="18"/>
      <c r="K133" s="18"/>
      <c r="L133" s="18"/>
      <c r="M133" s="18"/>
      <c r="N133" s="18"/>
      <c r="O133" s="18"/>
      <c r="Z133" s="18"/>
      <c r="AE133" s="18"/>
      <c r="AG133" s="18"/>
      <c r="AH133" s="18"/>
      <c r="AI133" s="18"/>
      <c r="AJ133" s="18"/>
      <c r="AK133" s="18"/>
      <c r="AL133" s="18"/>
    </row>
    <row r="134" spans="10:38" ht="19.899999999999999" customHeight="1" x14ac:dyDescent="0.3">
      <c r="J134" s="18"/>
      <c r="K134" s="18"/>
      <c r="L134" s="18"/>
      <c r="M134" s="18"/>
      <c r="N134" s="18"/>
      <c r="O134" s="18"/>
      <c r="Z134" s="18"/>
      <c r="AE134" s="18"/>
      <c r="AG134" s="18"/>
      <c r="AH134" s="18"/>
      <c r="AI134" s="18"/>
      <c r="AJ134" s="18"/>
      <c r="AK134" s="18"/>
      <c r="AL134" s="18"/>
    </row>
    <row r="135" spans="10:38" ht="19.899999999999999" customHeight="1" x14ac:dyDescent="0.3">
      <c r="J135" s="18"/>
      <c r="K135" s="18"/>
      <c r="L135" s="18"/>
      <c r="M135" s="18"/>
      <c r="N135" s="18"/>
      <c r="O135" s="18"/>
      <c r="Z135" s="18"/>
      <c r="AE135" s="18"/>
      <c r="AG135" s="18"/>
      <c r="AH135" s="18"/>
      <c r="AI135" s="18"/>
      <c r="AJ135" s="18"/>
      <c r="AK135" s="18"/>
      <c r="AL135" s="18"/>
    </row>
    <row r="136" spans="10:38" ht="19.899999999999999" customHeight="1" x14ac:dyDescent="0.3">
      <c r="J136" s="18"/>
      <c r="K136" s="18"/>
      <c r="L136" s="18"/>
      <c r="M136" s="18"/>
      <c r="N136" s="18"/>
      <c r="O136" s="18"/>
      <c r="Z136" s="18"/>
      <c r="AE136" s="18"/>
      <c r="AG136" s="18"/>
      <c r="AH136" s="18"/>
      <c r="AI136" s="18"/>
      <c r="AJ136" s="18"/>
      <c r="AK136" s="18"/>
      <c r="AL136" s="18"/>
    </row>
    <row r="137" spans="10:38" ht="19.899999999999999" customHeight="1" x14ac:dyDescent="0.3">
      <c r="J137" s="18"/>
      <c r="K137" s="18"/>
      <c r="L137" s="18"/>
      <c r="M137" s="18"/>
      <c r="N137" s="18"/>
      <c r="O137" s="18"/>
      <c r="Z137" s="18"/>
      <c r="AE137" s="18"/>
      <c r="AG137" s="18"/>
      <c r="AH137" s="18"/>
      <c r="AI137" s="18"/>
      <c r="AJ137" s="18"/>
      <c r="AK137" s="18"/>
      <c r="AL137" s="18"/>
    </row>
    <row r="138" spans="10:38" ht="19.899999999999999" customHeight="1" x14ac:dyDescent="0.3">
      <c r="J138" s="18"/>
      <c r="K138" s="18"/>
      <c r="L138" s="18"/>
      <c r="M138" s="18"/>
      <c r="N138" s="18"/>
      <c r="O138" s="18"/>
      <c r="Z138" s="18"/>
      <c r="AE138" s="18"/>
      <c r="AG138" s="18"/>
      <c r="AH138" s="18"/>
      <c r="AI138" s="18"/>
      <c r="AJ138" s="18"/>
      <c r="AK138" s="18"/>
      <c r="AL138" s="18"/>
    </row>
    <row r="139" spans="10:38" ht="19.899999999999999" customHeight="1" x14ac:dyDescent="0.3">
      <c r="J139" s="18"/>
      <c r="K139" s="18"/>
      <c r="L139" s="18"/>
      <c r="M139" s="18"/>
      <c r="N139" s="18"/>
      <c r="O139" s="18"/>
      <c r="Z139" s="18"/>
      <c r="AE139" s="18"/>
      <c r="AG139" s="18"/>
      <c r="AH139" s="18"/>
      <c r="AI139" s="18"/>
      <c r="AJ139" s="18"/>
      <c r="AK139" s="18"/>
      <c r="AL139" s="18"/>
    </row>
    <row r="140" spans="10:38" ht="19.899999999999999" customHeight="1" x14ac:dyDescent="0.3">
      <c r="J140" s="18"/>
      <c r="K140" s="18"/>
      <c r="L140" s="18"/>
      <c r="M140" s="18"/>
      <c r="N140" s="18"/>
      <c r="O140" s="18"/>
      <c r="Z140" s="18"/>
      <c r="AE140" s="18"/>
      <c r="AG140" s="18"/>
      <c r="AH140" s="18"/>
      <c r="AI140" s="18"/>
      <c r="AJ140" s="18"/>
      <c r="AK140" s="18"/>
      <c r="AL140" s="18"/>
    </row>
    <row r="141" spans="10:38" ht="19.899999999999999" customHeight="1" x14ac:dyDescent="0.3">
      <c r="J141" s="18"/>
      <c r="K141" s="18"/>
      <c r="L141" s="18"/>
      <c r="M141" s="18"/>
      <c r="N141" s="18"/>
      <c r="O141" s="18"/>
      <c r="Z141" s="18"/>
      <c r="AE141" s="18"/>
      <c r="AG141" s="18"/>
      <c r="AH141" s="18"/>
      <c r="AI141" s="18"/>
      <c r="AJ141" s="18"/>
      <c r="AK141" s="18"/>
      <c r="AL141" s="18"/>
    </row>
    <row r="142" spans="10:38" ht="19.899999999999999" customHeight="1" x14ac:dyDescent="0.3">
      <c r="J142" s="18"/>
      <c r="K142" s="18"/>
      <c r="L142" s="18"/>
      <c r="M142" s="18"/>
      <c r="N142" s="18"/>
      <c r="O142" s="18"/>
      <c r="Z142" s="18"/>
      <c r="AE142" s="18"/>
      <c r="AG142" s="18"/>
      <c r="AH142" s="18"/>
      <c r="AI142" s="18"/>
      <c r="AJ142" s="18"/>
      <c r="AK142" s="18"/>
      <c r="AL142" s="18"/>
    </row>
    <row r="143" spans="10:38" ht="19.899999999999999" customHeight="1" x14ac:dyDescent="0.3">
      <c r="J143" s="18"/>
      <c r="K143" s="18"/>
      <c r="L143" s="18"/>
      <c r="M143" s="18"/>
      <c r="N143" s="18"/>
      <c r="O143" s="18"/>
      <c r="Z143" s="18"/>
      <c r="AE143" s="18"/>
      <c r="AG143" s="18"/>
      <c r="AH143" s="18"/>
      <c r="AI143" s="18"/>
      <c r="AJ143" s="18"/>
      <c r="AK143" s="18"/>
      <c r="AL143" s="18"/>
    </row>
    <row r="144" spans="10:38" ht="19.899999999999999" customHeight="1" x14ac:dyDescent="0.3">
      <c r="J144" s="18"/>
      <c r="K144" s="18"/>
      <c r="L144" s="18"/>
      <c r="M144" s="18"/>
      <c r="N144" s="18"/>
      <c r="O144" s="18"/>
      <c r="Z144" s="18"/>
      <c r="AE144" s="18"/>
      <c r="AG144" s="18"/>
      <c r="AH144" s="18"/>
      <c r="AI144" s="18"/>
      <c r="AJ144" s="18"/>
      <c r="AK144" s="18"/>
      <c r="AL144" s="18"/>
    </row>
    <row r="145" spans="10:38" ht="19.899999999999999" customHeight="1" x14ac:dyDescent="0.3">
      <c r="J145" s="18"/>
      <c r="K145" s="18"/>
      <c r="L145" s="18"/>
      <c r="M145" s="18"/>
      <c r="N145" s="18"/>
      <c r="O145" s="18"/>
      <c r="Z145" s="18"/>
      <c r="AE145" s="18"/>
      <c r="AG145" s="18"/>
      <c r="AH145" s="18"/>
      <c r="AI145" s="18"/>
      <c r="AJ145" s="18"/>
      <c r="AK145" s="18"/>
      <c r="AL145" s="18"/>
    </row>
    <row r="146" spans="10:38" ht="19.899999999999999" customHeight="1" x14ac:dyDescent="0.3">
      <c r="J146" s="18"/>
      <c r="K146" s="18"/>
      <c r="L146" s="18"/>
      <c r="M146" s="18"/>
      <c r="N146" s="18"/>
      <c r="O146" s="18"/>
      <c r="Z146" s="18"/>
      <c r="AE146" s="18"/>
      <c r="AG146" s="18"/>
      <c r="AH146" s="18"/>
      <c r="AI146" s="18"/>
      <c r="AJ146" s="18"/>
      <c r="AK146" s="18"/>
      <c r="AL146" s="18"/>
    </row>
    <row r="147" spans="10:38" ht="19.899999999999999" customHeight="1" x14ac:dyDescent="0.3">
      <c r="J147" s="18"/>
      <c r="K147" s="18"/>
      <c r="L147" s="18"/>
      <c r="M147" s="18"/>
      <c r="N147" s="18"/>
      <c r="O147" s="18"/>
      <c r="Z147" s="18"/>
      <c r="AE147" s="18"/>
      <c r="AG147" s="18"/>
      <c r="AH147" s="18"/>
      <c r="AI147" s="18"/>
      <c r="AJ147" s="18"/>
      <c r="AK147" s="18"/>
      <c r="AL147" s="18"/>
    </row>
    <row r="148" spans="10:38" ht="19.899999999999999" customHeight="1" x14ac:dyDescent="0.3">
      <c r="J148" s="18"/>
      <c r="K148" s="18"/>
      <c r="L148" s="18"/>
      <c r="M148" s="18"/>
      <c r="N148" s="18"/>
      <c r="O148" s="18"/>
      <c r="Z148" s="18"/>
      <c r="AE148" s="18"/>
      <c r="AG148" s="18"/>
      <c r="AH148" s="18"/>
      <c r="AI148" s="18"/>
      <c r="AJ148" s="18"/>
      <c r="AK148" s="18"/>
      <c r="AL148" s="18"/>
    </row>
    <row r="149" spans="10:38" ht="19.899999999999999" customHeight="1" x14ac:dyDescent="0.3">
      <c r="J149" s="18"/>
      <c r="K149" s="18"/>
      <c r="L149" s="18"/>
      <c r="M149" s="18"/>
      <c r="N149" s="18"/>
      <c r="O149" s="18"/>
      <c r="Z149" s="18"/>
      <c r="AE149" s="18"/>
      <c r="AG149" s="18"/>
      <c r="AH149" s="18"/>
      <c r="AI149" s="18"/>
      <c r="AJ149" s="18"/>
      <c r="AK149" s="18"/>
      <c r="AL149" s="18"/>
    </row>
    <row r="150" spans="10:38" ht="19.899999999999999" customHeight="1" x14ac:dyDescent="0.3">
      <c r="J150" s="18"/>
      <c r="K150" s="18"/>
      <c r="L150" s="18"/>
      <c r="M150" s="18"/>
      <c r="N150" s="18"/>
      <c r="O150" s="18"/>
      <c r="Z150" s="18"/>
      <c r="AE150" s="18"/>
      <c r="AG150" s="18"/>
      <c r="AH150" s="18"/>
      <c r="AI150" s="18"/>
      <c r="AJ150" s="18"/>
      <c r="AK150" s="18"/>
      <c r="AL150" s="18"/>
    </row>
    <row r="151" spans="10:38" ht="19.899999999999999" customHeight="1" x14ac:dyDescent="0.3">
      <c r="J151" s="18"/>
      <c r="K151" s="18"/>
      <c r="L151" s="18"/>
      <c r="M151" s="18"/>
      <c r="N151" s="18"/>
      <c r="O151" s="18"/>
      <c r="Z151" s="18"/>
      <c r="AE151" s="18"/>
      <c r="AG151" s="18"/>
      <c r="AH151" s="18"/>
      <c r="AI151" s="18"/>
      <c r="AJ151" s="18"/>
      <c r="AK151" s="18"/>
      <c r="AL151" s="18"/>
    </row>
    <row r="152" spans="10:38" ht="19.899999999999999" customHeight="1" x14ac:dyDescent="0.3">
      <c r="J152" s="18"/>
      <c r="K152" s="18"/>
      <c r="L152" s="18"/>
      <c r="M152" s="18"/>
      <c r="N152" s="18"/>
      <c r="O152" s="18"/>
      <c r="Z152" s="18"/>
      <c r="AE152" s="18"/>
      <c r="AG152" s="18"/>
      <c r="AH152" s="18"/>
      <c r="AI152" s="18"/>
      <c r="AJ152" s="18"/>
      <c r="AK152" s="18"/>
      <c r="AL152" s="18"/>
    </row>
    <row r="153" spans="10:38" ht="19.899999999999999" customHeight="1" x14ac:dyDescent="0.3">
      <c r="J153" s="18"/>
      <c r="K153" s="18"/>
      <c r="L153" s="18"/>
      <c r="M153" s="18"/>
      <c r="N153" s="18"/>
      <c r="O153" s="18"/>
      <c r="Z153" s="18"/>
      <c r="AE153" s="18"/>
      <c r="AG153" s="18"/>
      <c r="AH153" s="18"/>
      <c r="AI153" s="18"/>
      <c r="AJ153" s="18"/>
      <c r="AK153" s="18"/>
      <c r="AL153" s="18"/>
    </row>
    <row r="154" spans="10:38" ht="19.899999999999999" customHeight="1" x14ac:dyDescent="0.3">
      <c r="J154" s="18"/>
      <c r="K154" s="18"/>
      <c r="L154" s="18"/>
      <c r="M154" s="18"/>
      <c r="N154" s="18"/>
      <c r="O154" s="18"/>
      <c r="Z154" s="18"/>
      <c r="AE154" s="18"/>
      <c r="AG154" s="18"/>
      <c r="AH154" s="18"/>
      <c r="AI154" s="18"/>
      <c r="AJ154" s="18"/>
      <c r="AK154" s="18"/>
      <c r="AL154" s="18"/>
    </row>
    <row r="155" spans="10:38" ht="19.899999999999999" customHeight="1" x14ac:dyDescent="0.3">
      <c r="J155" s="18"/>
      <c r="K155" s="18"/>
      <c r="L155" s="18"/>
      <c r="M155" s="18"/>
      <c r="N155" s="18"/>
      <c r="O155" s="18"/>
      <c r="Z155" s="18"/>
      <c r="AE155" s="18"/>
      <c r="AG155" s="18"/>
      <c r="AH155" s="18"/>
      <c r="AI155" s="18"/>
      <c r="AJ155" s="18"/>
      <c r="AK155" s="18"/>
      <c r="AL155" s="18"/>
    </row>
    <row r="156" spans="10:38" ht="19.899999999999999" customHeight="1" x14ac:dyDescent="0.3">
      <c r="J156" s="18"/>
      <c r="K156" s="18"/>
      <c r="L156" s="18"/>
      <c r="M156" s="18"/>
      <c r="N156" s="18"/>
      <c r="O156" s="18"/>
      <c r="Z156" s="18"/>
      <c r="AE156" s="18"/>
      <c r="AG156" s="18"/>
      <c r="AH156" s="18"/>
      <c r="AI156" s="18"/>
      <c r="AJ156" s="18"/>
      <c r="AK156" s="18"/>
      <c r="AL156" s="18"/>
    </row>
    <row r="157" spans="10:38" ht="19.899999999999999" customHeight="1" x14ac:dyDescent="0.3">
      <c r="J157" s="18"/>
      <c r="K157" s="18"/>
      <c r="L157" s="18"/>
      <c r="M157" s="18"/>
      <c r="N157" s="18"/>
      <c r="O157" s="18"/>
      <c r="Z157" s="18"/>
      <c r="AE157" s="18"/>
      <c r="AG157" s="18"/>
      <c r="AH157" s="18"/>
      <c r="AI157" s="18"/>
      <c r="AJ157" s="18"/>
      <c r="AK157" s="18"/>
      <c r="AL157" s="18"/>
    </row>
    <row r="158" spans="10:38" ht="19.899999999999999" customHeight="1" x14ac:dyDescent="0.3">
      <c r="J158" s="18"/>
      <c r="K158" s="18"/>
      <c r="L158" s="18"/>
      <c r="M158" s="18"/>
      <c r="N158" s="18"/>
      <c r="O158" s="18"/>
      <c r="Z158" s="18"/>
      <c r="AE158" s="18"/>
      <c r="AG158" s="18"/>
      <c r="AH158" s="18"/>
      <c r="AI158" s="18"/>
      <c r="AJ158" s="18"/>
      <c r="AK158" s="18"/>
      <c r="AL158" s="18"/>
    </row>
    <row r="159" spans="10:38" ht="19.899999999999999" customHeight="1" x14ac:dyDescent="0.3">
      <c r="J159" s="18"/>
      <c r="K159" s="18"/>
      <c r="L159" s="18"/>
      <c r="M159" s="18"/>
      <c r="N159" s="18"/>
      <c r="O159" s="18"/>
      <c r="Z159" s="18"/>
      <c r="AE159" s="18"/>
      <c r="AG159" s="18"/>
      <c r="AH159" s="18"/>
      <c r="AI159" s="18"/>
      <c r="AJ159" s="18"/>
      <c r="AK159" s="18"/>
      <c r="AL159" s="18"/>
    </row>
    <row r="160" spans="10:38" ht="19.899999999999999" customHeight="1" x14ac:dyDescent="0.3">
      <c r="J160" s="18"/>
      <c r="K160" s="18"/>
      <c r="L160" s="18"/>
      <c r="M160" s="18"/>
      <c r="N160" s="18"/>
      <c r="O160" s="18"/>
      <c r="Z160" s="18"/>
      <c r="AE160" s="18"/>
      <c r="AG160" s="18"/>
      <c r="AH160" s="18"/>
      <c r="AI160" s="18"/>
      <c r="AJ160" s="18"/>
      <c r="AK160" s="18"/>
      <c r="AL160" s="18"/>
    </row>
    <row r="161" spans="10:38" ht="19.899999999999999" customHeight="1" x14ac:dyDescent="0.3">
      <c r="J161" s="18"/>
      <c r="K161" s="18"/>
      <c r="L161" s="18"/>
      <c r="M161" s="18"/>
      <c r="N161" s="18"/>
      <c r="O161" s="18"/>
      <c r="Z161" s="18"/>
      <c r="AE161" s="18"/>
      <c r="AG161" s="18"/>
      <c r="AH161" s="18"/>
      <c r="AI161" s="18"/>
      <c r="AJ161" s="18"/>
      <c r="AK161" s="18"/>
      <c r="AL161" s="18"/>
    </row>
    <row r="162" spans="10:38" ht="19.899999999999999" customHeight="1" x14ac:dyDescent="0.3">
      <c r="J162" s="18"/>
      <c r="K162" s="18"/>
      <c r="L162" s="18"/>
      <c r="M162" s="18"/>
      <c r="N162" s="18"/>
      <c r="O162" s="18"/>
      <c r="Z162" s="18"/>
      <c r="AE162" s="18"/>
      <c r="AG162" s="18"/>
      <c r="AH162" s="18"/>
      <c r="AI162" s="18"/>
      <c r="AJ162" s="18"/>
      <c r="AK162" s="18"/>
      <c r="AL162" s="18"/>
    </row>
    <row r="163" spans="10:38" ht="19.899999999999999" customHeight="1" x14ac:dyDescent="0.3">
      <c r="J163" s="18"/>
      <c r="K163" s="18"/>
      <c r="L163" s="18"/>
      <c r="M163" s="18"/>
      <c r="N163" s="18"/>
      <c r="O163" s="18"/>
      <c r="Z163" s="18"/>
      <c r="AE163" s="18"/>
      <c r="AG163" s="18"/>
      <c r="AH163" s="18"/>
      <c r="AI163" s="18"/>
      <c r="AJ163" s="18"/>
      <c r="AK163" s="18"/>
      <c r="AL163" s="18"/>
    </row>
    <row r="164" spans="10:38" ht="19.899999999999999" customHeight="1" x14ac:dyDescent="0.3">
      <c r="J164" s="18"/>
      <c r="K164" s="18"/>
      <c r="L164" s="18"/>
      <c r="M164" s="18"/>
      <c r="N164" s="18"/>
      <c r="O164" s="18"/>
      <c r="Z164" s="18"/>
      <c r="AE164" s="18"/>
      <c r="AG164" s="18"/>
      <c r="AH164" s="18"/>
      <c r="AI164" s="18"/>
      <c r="AJ164" s="18"/>
      <c r="AK164" s="18"/>
      <c r="AL164" s="18"/>
    </row>
    <row r="165" spans="10:38" ht="19.899999999999999" customHeight="1" x14ac:dyDescent="0.3">
      <c r="J165" s="18"/>
      <c r="K165" s="18"/>
      <c r="L165" s="18"/>
      <c r="M165" s="18"/>
      <c r="N165" s="18"/>
      <c r="O165" s="18"/>
      <c r="Z165" s="18"/>
      <c r="AE165" s="18"/>
      <c r="AG165" s="18"/>
      <c r="AH165" s="18"/>
      <c r="AI165" s="18"/>
      <c r="AJ165" s="18"/>
      <c r="AK165" s="18"/>
      <c r="AL165" s="18"/>
    </row>
    <row r="166" spans="10:38" ht="19.899999999999999" customHeight="1" x14ac:dyDescent="0.3">
      <c r="J166" s="18"/>
      <c r="K166" s="18"/>
      <c r="L166" s="18"/>
      <c r="M166" s="18"/>
      <c r="N166" s="18"/>
      <c r="O166" s="18"/>
      <c r="Z166" s="18"/>
      <c r="AE166" s="18"/>
      <c r="AG166" s="18"/>
      <c r="AH166" s="18"/>
      <c r="AI166" s="18"/>
      <c r="AJ166" s="18"/>
      <c r="AK166" s="18"/>
      <c r="AL166" s="18"/>
    </row>
    <row r="167" spans="10:38" ht="19.899999999999999" customHeight="1" x14ac:dyDescent="0.3">
      <c r="J167" s="18"/>
      <c r="K167" s="18"/>
      <c r="L167" s="18"/>
      <c r="M167" s="18"/>
      <c r="N167" s="18"/>
      <c r="O167" s="18"/>
      <c r="Z167" s="18"/>
      <c r="AE167" s="18"/>
      <c r="AG167" s="18"/>
      <c r="AH167" s="18"/>
      <c r="AI167" s="18"/>
      <c r="AJ167" s="18"/>
      <c r="AK167" s="18"/>
      <c r="AL167" s="18"/>
    </row>
    <row r="168" spans="10:38" ht="19.899999999999999" customHeight="1" x14ac:dyDescent="0.3">
      <c r="J168" s="18"/>
      <c r="K168" s="18"/>
      <c r="L168" s="18"/>
      <c r="M168" s="18"/>
      <c r="N168" s="18"/>
      <c r="O168" s="18"/>
      <c r="Z168" s="18"/>
      <c r="AE168" s="18"/>
      <c r="AG168" s="18"/>
      <c r="AH168" s="18"/>
      <c r="AI168" s="18"/>
      <c r="AJ168" s="18"/>
      <c r="AK168" s="18"/>
      <c r="AL168" s="18"/>
    </row>
    <row r="169" spans="10:38" ht="19.899999999999999" customHeight="1" x14ac:dyDescent="0.3">
      <c r="J169" s="18"/>
      <c r="K169" s="18"/>
      <c r="L169" s="18"/>
      <c r="M169" s="18"/>
      <c r="N169" s="18"/>
      <c r="O169" s="18"/>
      <c r="Z169" s="18"/>
      <c r="AE169" s="18"/>
      <c r="AG169" s="18"/>
      <c r="AH169" s="18"/>
      <c r="AI169" s="18"/>
      <c r="AJ169" s="18"/>
      <c r="AK169" s="18"/>
      <c r="AL169" s="18"/>
    </row>
    <row r="170" spans="10:38" ht="19.899999999999999" customHeight="1" x14ac:dyDescent="0.3">
      <c r="J170" s="18"/>
      <c r="K170" s="18"/>
      <c r="L170" s="18"/>
      <c r="M170" s="18"/>
      <c r="N170" s="18"/>
      <c r="O170" s="18"/>
      <c r="Z170" s="18"/>
      <c r="AE170" s="18"/>
      <c r="AG170" s="18"/>
      <c r="AH170" s="18"/>
      <c r="AI170" s="18"/>
      <c r="AJ170" s="18"/>
      <c r="AK170" s="18"/>
      <c r="AL170" s="18"/>
    </row>
    <row r="171" spans="10:38" ht="19.899999999999999" customHeight="1" x14ac:dyDescent="0.3">
      <c r="J171" s="18"/>
      <c r="K171" s="18"/>
      <c r="L171" s="18"/>
      <c r="M171" s="18"/>
      <c r="N171" s="18"/>
      <c r="O171" s="18"/>
      <c r="Z171" s="18"/>
      <c r="AE171" s="18"/>
      <c r="AG171" s="18"/>
      <c r="AH171" s="18"/>
      <c r="AI171" s="18"/>
      <c r="AJ171" s="18"/>
      <c r="AK171" s="18"/>
      <c r="AL171" s="18"/>
    </row>
    <row r="172" spans="10:38" ht="19.899999999999999" customHeight="1" x14ac:dyDescent="0.3">
      <c r="J172" s="18"/>
      <c r="K172" s="18"/>
      <c r="L172" s="18"/>
      <c r="M172" s="18"/>
      <c r="N172" s="18"/>
      <c r="O172" s="18"/>
      <c r="Z172" s="18"/>
      <c r="AE172" s="18"/>
      <c r="AG172" s="18"/>
      <c r="AH172" s="18"/>
      <c r="AI172" s="18"/>
      <c r="AJ172" s="18"/>
      <c r="AK172" s="18"/>
      <c r="AL172" s="18"/>
    </row>
    <row r="173" spans="10:38" ht="19.899999999999999" customHeight="1" x14ac:dyDescent="0.3">
      <c r="J173" s="18"/>
      <c r="K173" s="18"/>
      <c r="L173" s="18"/>
      <c r="M173" s="18"/>
      <c r="N173" s="18"/>
      <c r="O173" s="18"/>
      <c r="Z173" s="18"/>
      <c r="AE173" s="18"/>
      <c r="AG173" s="18"/>
      <c r="AH173" s="18"/>
      <c r="AI173" s="18"/>
      <c r="AJ173" s="18"/>
      <c r="AK173" s="18"/>
      <c r="AL173" s="18"/>
    </row>
    <row r="174" spans="10:38" ht="19.899999999999999" customHeight="1" x14ac:dyDescent="0.3">
      <c r="J174" s="18"/>
      <c r="K174" s="18"/>
      <c r="L174" s="18"/>
      <c r="M174" s="18"/>
      <c r="N174" s="18"/>
      <c r="O174" s="18"/>
      <c r="Z174" s="18"/>
      <c r="AE174" s="18"/>
      <c r="AG174" s="18"/>
      <c r="AH174" s="18"/>
      <c r="AI174" s="18"/>
      <c r="AJ174" s="18"/>
      <c r="AK174" s="18"/>
      <c r="AL174" s="18"/>
    </row>
    <row r="175" spans="10:38" ht="19.899999999999999" customHeight="1" x14ac:dyDescent="0.3">
      <c r="J175" s="18"/>
      <c r="K175" s="18"/>
      <c r="L175" s="18"/>
      <c r="M175" s="18"/>
      <c r="N175" s="18"/>
      <c r="O175" s="18"/>
      <c r="Z175" s="18"/>
      <c r="AE175" s="18"/>
      <c r="AG175" s="18"/>
      <c r="AH175" s="18"/>
      <c r="AI175" s="18"/>
      <c r="AJ175" s="18"/>
      <c r="AK175" s="18"/>
      <c r="AL175" s="18"/>
    </row>
    <row r="176" spans="10:38" ht="19.899999999999999" customHeight="1" x14ac:dyDescent="0.3">
      <c r="J176" s="18"/>
      <c r="K176" s="18"/>
      <c r="L176" s="18"/>
      <c r="M176" s="18"/>
      <c r="N176" s="18"/>
      <c r="O176" s="18"/>
      <c r="Z176" s="18"/>
      <c r="AE176" s="18"/>
      <c r="AG176" s="18"/>
      <c r="AH176" s="18"/>
      <c r="AI176" s="18"/>
      <c r="AJ176" s="18"/>
      <c r="AK176" s="18"/>
      <c r="AL176" s="18"/>
    </row>
    <row r="177" spans="10:38" ht="19.899999999999999" customHeight="1" x14ac:dyDescent="0.3">
      <c r="J177" s="18"/>
      <c r="K177" s="18"/>
      <c r="L177" s="18"/>
      <c r="M177" s="18"/>
      <c r="N177" s="18"/>
      <c r="O177" s="18"/>
      <c r="Z177" s="18"/>
      <c r="AE177" s="18"/>
      <c r="AG177" s="18"/>
      <c r="AH177" s="18"/>
      <c r="AI177" s="18"/>
      <c r="AJ177" s="18"/>
      <c r="AK177" s="18"/>
      <c r="AL177" s="18"/>
    </row>
    <row r="178" spans="10:38" ht="19.899999999999999" customHeight="1" x14ac:dyDescent="0.3">
      <c r="J178" s="18"/>
      <c r="K178" s="18"/>
      <c r="L178" s="18"/>
      <c r="M178" s="18"/>
      <c r="N178" s="18"/>
      <c r="O178" s="18"/>
      <c r="Z178" s="18"/>
      <c r="AE178" s="18"/>
      <c r="AG178" s="18"/>
      <c r="AH178" s="18"/>
      <c r="AI178" s="18"/>
      <c r="AJ178" s="18"/>
      <c r="AK178" s="18"/>
      <c r="AL178" s="18"/>
    </row>
    <row r="179" spans="10:38" ht="19.899999999999999" customHeight="1" x14ac:dyDescent="0.3">
      <c r="J179" s="18"/>
      <c r="K179" s="18"/>
      <c r="L179" s="18"/>
      <c r="M179" s="18"/>
      <c r="N179" s="18"/>
      <c r="O179" s="18"/>
      <c r="Z179" s="18"/>
      <c r="AE179" s="18"/>
      <c r="AG179" s="18"/>
      <c r="AH179" s="18"/>
      <c r="AI179" s="18"/>
      <c r="AJ179" s="18"/>
      <c r="AK179" s="18"/>
      <c r="AL179" s="18"/>
    </row>
    <row r="180" spans="10:38" ht="19.899999999999999" customHeight="1" x14ac:dyDescent="0.3">
      <c r="J180" s="18"/>
      <c r="K180" s="18"/>
      <c r="L180" s="18"/>
      <c r="M180" s="18"/>
      <c r="N180" s="18"/>
      <c r="O180" s="18"/>
      <c r="Z180" s="18"/>
      <c r="AE180" s="18"/>
      <c r="AG180" s="18"/>
      <c r="AH180" s="18"/>
      <c r="AI180" s="18"/>
      <c r="AJ180" s="18"/>
      <c r="AK180" s="18"/>
      <c r="AL180" s="18"/>
    </row>
    <row r="181" spans="10:38" ht="19.899999999999999" customHeight="1" x14ac:dyDescent="0.3">
      <c r="J181" s="18"/>
      <c r="K181" s="18"/>
      <c r="L181" s="18"/>
      <c r="M181" s="18"/>
      <c r="N181" s="18"/>
      <c r="O181" s="18"/>
      <c r="Z181" s="18"/>
      <c r="AE181" s="18"/>
      <c r="AG181" s="18"/>
      <c r="AH181" s="18"/>
      <c r="AI181" s="18"/>
      <c r="AJ181" s="18"/>
      <c r="AK181" s="18"/>
      <c r="AL181" s="18"/>
    </row>
    <row r="182" spans="10:38" ht="19.899999999999999" customHeight="1" x14ac:dyDescent="0.3">
      <c r="J182" s="18"/>
      <c r="K182" s="18"/>
      <c r="L182" s="18"/>
      <c r="M182" s="18"/>
      <c r="N182" s="18"/>
      <c r="O182" s="18"/>
      <c r="Z182" s="18"/>
      <c r="AE182" s="18"/>
      <c r="AG182" s="18"/>
      <c r="AH182" s="18"/>
      <c r="AI182" s="18"/>
      <c r="AJ182" s="18"/>
      <c r="AK182" s="18"/>
      <c r="AL182" s="18"/>
    </row>
    <row r="183" spans="10:38" ht="19.899999999999999" customHeight="1" x14ac:dyDescent="0.3">
      <c r="J183" s="18"/>
      <c r="K183" s="18"/>
      <c r="L183" s="18"/>
      <c r="M183" s="18"/>
      <c r="N183" s="18"/>
      <c r="O183" s="18"/>
      <c r="Z183" s="18"/>
      <c r="AE183" s="18"/>
      <c r="AG183" s="18"/>
      <c r="AH183" s="18"/>
      <c r="AI183" s="18"/>
      <c r="AJ183" s="18"/>
      <c r="AK183" s="18"/>
      <c r="AL183" s="18"/>
    </row>
    <row r="184" spans="10:38" ht="19.899999999999999" customHeight="1" x14ac:dyDescent="0.3">
      <c r="J184" s="18"/>
      <c r="K184" s="18"/>
      <c r="L184" s="18"/>
      <c r="M184" s="18"/>
      <c r="N184" s="18"/>
      <c r="O184" s="18"/>
      <c r="Z184" s="18"/>
      <c r="AE184" s="18"/>
      <c r="AG184" s="18"/>
      <c r="AH184" s="18"/>
      <c r="AI184" s="18"/>
      <c r="AJ184" s="18"/>
      <c r="AK184" s="18"/>
      <c r="AL184" s="18"/>
    </row>
    <row r="185" spans="10:38" ht="19.899999999999999" customHeight="1" x14ac:dyDescent="0.3">
      <c r="J185" s="18"/>
      <c r="K185" s="18"/>
      <c r="L185" s="18"/>
      <c r="M185" s="18"/>
      <c r="N185" s="18"/>
      <c r="O185" s="18"/>
      <c r="Z185" s="18"/>
      <c r="AE185" s="18"/>
      <c r="AG185" s="18"/>
      <c r="AH185" s="18"/>
      <c r="AI185" s="18"/>
      <c r="AJ185" s="18"/>
      <c r="AK185" s="18"/>
      <c r="AL185" s="18"/>
    </row>
    <row r="186" spans="10:38" ht="19.899999999999999" customHeight="1" x14ac:dyDescent="0.3">
      <c r="J186" s="18"/>
      <c r="K186" s="18"/>
      <c r="L186" s="18"/>
      <c r="M186" s="18"/>
      <c r="N186" s="18"/>
      <c r="O186" s="18"/>
      <c r="Z186" s="18"/>
      <c r="AE186" s="18"/>
      <c r="AG186" s="18"/>
      <c r="AH186" s="18"/>
      <c r="AI186" s="18"/>
      <c r="AJ186" s="18"/>
      <c r="AK186" s="18"/>
      <c r="AL186" s="18"/>
    </row>
    <row r="187" spans="10:38" ht="19.899999999999999" customHeight="1" x14ac:dyDescent="0.3">
      <c r="J187" s="18"/>
      <c r="K187" s="18"/>
      <c r="L187" s="18"/>
      <c r="M187" s="18"/>
      <c r="N187" s="18"/>
      <c r="O187" s="18"/>
      <c r="Z187" s="18"/>
      <c r="AE187" s="18"/>
      <c r="AG187" s="18"/>
      <c r="AH187" s="18"/>
      <c r="AI187" s="18"/>
      <c r="AJ187" s="18"/>
      <c r="AK187" s="18"/>
      <c r="AL187" s="18"/>
    </row>
    <row r="188" spans="10:38" ht="19.899999999999999" customHeight="1" x14ac:dyDescent="0.3">
      <c r="J188" s="18"/>
      <c r="K188" s="18"/>
      <c r="L188" s="18"/>
      <c r="M188" s="18"/>
      <c r="N188" s="18"/>
      <c r="O188" s="18"/>
      <c r="Z188" s="18"/>
      <c r="AE188" s="18"/>
      <c r="AG188" s="18"/>
      <c r="AH188" s="18"/>
      <c r="AI188" s="18"/>
      <c r="AJ188" s="18"/>
      <c r="AK188" s="18"/>
      <c r="AL188" s="18"/>
    </row>
  </sheetData>
  <sortState xmlns:xlrd2="http://schemas.microsoft.com/office/spreadsheetml/2017/richdata2" ref="B5:AS38">
    <sortCondition descending="1" ref="D5:D38"/>
    <sortCondition descending="1" ref="C5:C38"/>
  </sortState>
  <mergeCells count="50">
    <mergeCell ref="C2:J2"/>
    <mergeCell ref="AG3:AG4"/>
    <mergeCell ref="F3:F4"/>
    <mergeCell ref="G3:G4"/>
    <mergeCell ref="H3:H4"/>
    <mergeCell ref="AA3:AA4"/>
    <mergeCell ref="P3:Q3"/>
    <mergeCell ref="R3:S3"/>
    <mergeCell ref="P2:U2"/>
    <mergeCell ref="T3:U3"/>
    <mergeCell ref="E3:E4"/>
    <mergeCell ref="D3:D4"/>
    <mergeCell ref="AD3:AD4"/>
    <mergeCell ref="X3:X4"/>
    <mergeCell ref="Z3:Z4"/>
    <mergeCell ref="I3:I4"/>
    <mergeCell ref="J3:J4"/>
    <mergeCell ref="AB3:AB4"/>
    <mergeCell ref="K3:K4"/>
    <mergeCell ref="K1:AY1"/>
    <mergeCell ref="A1:J1"/>
    <mergeCell ref="AR3:AS3"/>
    <mergeCell ref="AH3:AH4"/>
    <mergeCell ref="AI3:AI4"/>
    <mergeCell ref="AE3:AE4"/>
    <mergeCell ref="Y3:Y4"/>
    <mergeCell ref="AC3:AC4"/>
    <mergeCell ref="V2:W2"/>
    <mergeCell ref="V3:V4"/>
    <mergeCell ref="W3:W4"/>
    <mergeCell ref="AP3:AQ3"/>
    <mergeCell ref="B3:B4"/>
    <mergeCell ref="C3:C4"/>
    <mergeCell ref="AL3:AM3"/>
    <mergeCell ref="A3:A4"/>
    <mergeCell ref="K2:O2"/>
    <mergeCell ref="AT3:AU3"/>
    <mergeCell ref="AN3:AO3"/>
    <mergeCell ref="X2:AF2"/>
    <mergeCell ref="AG2:AK2"/>
    <mergeCell ref="AL2:AY2"/>
    <mergeCell ref="AF3:AF4"/>
    <mergeCell ref="AJ3:AJ4"/>
    <mergeCell ref="AV3:AW3"/>
    <mergeCell ref="AX3:AY3"/>
    <mergeCell ref="AK3:AK4"/>
    <mergeCell ref="L3:L4"/>
    <mergeCell ref="M3:M4"/>
    <mergeCell ref="N3:N4"/>
    <mergeCell ref="O3:O4"/>
  </mergeCells>
  <phoneticPr fontId="2" type="noConversion"/>
  <conditionalFormatting sqref="C5:C89">
    <cfRule type="colorScale" priority="4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49:C1048576 C3:C89">
    <cfRule type="colorScale" priority="4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:D89">
    <cfRule type="colorScale" priority="2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:E89">
    <cfRule type="colorScale" priority="4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03:E103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9:E1048576 D3:E3 D4 D5:E89">
    <cfRule type="colorScale" priority="4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:E89">
    <cfRule type="colorScale" priority="2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03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9:F1048576 F3:F89">
    <cfRule type="colorScale" priority="4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:G4">
    <cfRule type="colorScale" priority="4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03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9:G1048576 G3:G89">
    <cfRule type="colorScale" priority="40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H103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249:H1048576 H3:H89">
    <cfRule type="colorScale" priority="4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03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249:I1048576 I3:I89">
    <cfRule type="colorScale" priority="4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03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49:J1048576 J2:J102">
    <cfRule type="colorScale" priority="1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49:O1048576 J3:O3 J4 J5:O89">
    <cfRule type="colorScale" priority="4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03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249:K1048576 K2:K102">
    <cfRule type="colorScale" priority="10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L103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49:L1048576 L2:L102"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103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249:M1048576 M2:M102">
    <cfRule type="colorScale" priority="1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249:N1048576 N2:N102"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103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249:O1048576 O2:O102"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5:P89">
    <cfRule type="colorScale" priority="2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249:P1048576 P3:P4">
    <cfRule type="colorScale" priority="4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5:Q89">
    <cfRule type="colorScale" priority="2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249:Q1048576 Q3:Q4">
    <cfRule type="colorScale" priority="4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5:R89">
    <cfRule type="colorScale" priority="2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249:R1048576 R3:R4">
    <cfRule type="colorScale" priority="4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5:S89">
    <cfRule type="colorScale" priority="2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249:S1048576 S3:S4">
    <cfRule type="colorScale" priority="3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5:T89">
    <cfRule type="colorScale" priority="2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249:T1048576 T3">
    <cfRule type="colorScale" priority="7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5:U89">
    <cfRule type="colorScale" priority="2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03:V103 P103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5:W89">
    <cfRule type="colorScale" priority="2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249:W1048576">
    <cfRule type="colorScale" priority="4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5:V89">
    <cfRule type="colorScale" priority="2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5:W89">
    <cfRule type="colorScale" priority="2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03:X103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5:X89">
    <cfRule type="colorScale" priority="2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249:Y1048576 X3:Y3 X4">
    <cfRule type="colorScale" priority="6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5:Y89">
    <cfRule type="colorScale" priority="2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03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5:Z89">
    <cfRule type="colorScale" priority="2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03:AA103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3:AA4 Z249:AB1048576">
    <cfRule type="colorScale" priority="4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5:AA89">
    <cfRule type="colorScale" priority="2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3:AB4 AC249:AC1048576">
    <cfRule type="colorScale" priority="8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5:AB89">
    <cfRule type="colorScale" priority="2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103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5:AC89">
    <cfRule type="colorScale" priority="2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103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5:AD89">
    <cfRule type="colorScale" priority="2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103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249:AD1048576">
    <cfRule type="colorScale" priority="8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3:AE4 AE249:AE1048576">
    <cfRule type="colorScale" priority="8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5:AE89">
    <cfRule type="colorScale" priority="2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103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3:AF4 AF249:AF1048576">
    <cfRule type="colorScale" priority="8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5:AF89">
    <cfRule type="colorScale" priority="2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103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3:AG4 AG249:AG1048576">
    <cfRule type="colorScale" priority="8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5:AG89">
    <cfRule type="colorScale" priority="2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103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3:AH4 AH249:AH1048576">
    <cfRule type="colorScale" priority="8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5:AH89">
    <cfRule type="colorScale" priority="2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103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I3:AI4 AI249:AK1048576">
    <cfRule type="colorScale" priority="8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I5:AI89">
    <cfRule type="colorScale" priority="2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I90:AI100">
    <cfRule type="colorScale" priority="8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I103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J90:AJ100">
    <cfRule type="colorScale" priority="8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J103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J3:AK3 AL249:AL1048576 AJ4">
    <cfRule type="colorScale" priority="3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J5:AK89">
    <cfRule type="colorScale" priority="2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L3:AL4 AM249:AM1048576">
    <cfRule type="colorScale" priority="4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L5:AL89">
    <cfRule type="colorScale" priority="2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L103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M3:AM4 AN249:AO1048576">
    <cfRule type="colorScale" priority="4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M5:AM89">
    <cfRule type="colorScale" priority="2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M103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N3:AN4 AP249:AP1048576">
    <cfRule type="colorScale" priority="6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N5:AN89">
    <cfRule type="colorScale" priority="2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N103:AO103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O5:AO89">
    <cfRule type="colorScale" priority="2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O3:AP3 AQ249:AT1048576 AR3 AO4:AR4">
    <cfRule type="colorScale" priority="7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P5:AP89">
    <cfRule type="colorScale" priority="2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P103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Q3:AQ89 AW249:AW1048576 AW90:AW102">
    <cfRule type="colorScale" priority="1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Q5:AQ89">
    <cfRule type="colorScale" priority="2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Q103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R5:AR89">
    <cfRule type="colorScale" priority="2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R103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S5:AS89">
    <cfRule type="colorScale" priority="2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T5:AT89 AZ90:AZ101">
    <cfRule type="colorScale" priority="1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U5:AU89 BA90:BA101">
    <cfRule type="colorScale" priority="1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U249:AU1048576 AS4">
    <cfRule type="colorScale" priority="3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V4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V4:AV89 BB90:BB101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V249:AV1048576">
    <cfRule type="colorScale" priority="3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W4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W5:AW89 BC90:BC101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W249:AW1048576">
    <cfRule type="colorScale" priority="6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X4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Y4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J5:AJ101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K5:AK101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X5:AX101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Y5:AY101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ignoredErrors>
    <ignoredError sqref="G5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3F00A-78C5-4817-BE9F-6B9BB25E9B0A}">
  <dimension ref="A1"/>
  <sheetViews>
    <sheetView zoomScaleNormal="100" workbookViewId="0">
      <selection activeCell="J20" sqref="J20"/>
    </sheetView>
  </sheetViews>
  <sheetFormatPr defaultRowHeight="14" x14ac:dyDescent="0.3"/>
  <sheetData/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48C9B2B-E8E5-4077-B624-3C408D2004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洪彬 张</dc:creator>
  <cp:lastModifiedBy>Viston</cp:lastModifiedBy>
  <dcterms:created xsi:type="dcterms:W3CDTF">2024-06-17T05:44:15Z</dcterms:created>
  <dcterms:modified xsi:type="dcterms:W3CDTF">2026-01-13T14:12:34Z</dcterms:modified>
</cp:coreProperties>
</file>