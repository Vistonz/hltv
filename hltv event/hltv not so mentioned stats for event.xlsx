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725\Desktop\hltv\hltv event\"/>
    </mc:Choice>
  </mc:AlternateContent>
  <xr:revisionPtr revIDLastSave="0" documentId="13_ncr:1_{5275C316-783A-46C3-A1C6-854D90CD0FE0}" xr6:coauthVersionLast="47" xr6:coauthVersionMax="47" xr10:uidLastSave="{00000000-0000-0000-0000-000000000000}"/>
  <bookViews>
    <workbookView xWindow="-110" yWindow="-110" windowWidth="25820" windowHeight="15500" xr2:uid="{D6D022B8-7FEA-4E40-97AB-9C5C4571D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AE42" i="1"/>
  <c r="I36" i="1"/>
  <c r="AH7" i="1"/>
  <c r="U23" i="1"/>
  <c r="AJ21" i="1"/>
  <c r="AD19" i="1"/>
  <c r="G36" i="1"/>
  <c r="B36" i="1"/>
  <c r="P19" i="1"/>
  <c r="Q28" i="1"/>
  <c r="Z30" i="1"/>
  <c r="AB9" i="1"/>
  <c r="L28" i="1"/>
  <c r="P31" i="1"/>
  <c r="AF20" i="1"/>
  <c r="J11" i="1"/>
  <c r="G34" i="1"/>
  <c r="AA44" i="1"/>
  <c r="X6" i="1"/>
  <c r="V16" i="1"/>
  <c r="B9" i="1"/>
  <c r="P18" i="1"/>
  <c r="I16" i="1"/>
  <c r="AD29" i="1"/>
  <c r="J9" i="1"/>
  <c r="AH13" i="1"/>
  <c r="AC14" i="1"/>
  <c r="U17" i="1"/>
  <c r="N21" i="1"/>
  <c r="Z28" i="1"/>
  <c r="AC37" i="1"/>
  <c r="H31" i="1"/>
  <c r="P7" i="1"/>
  <c r="B42" i="1"/>
  <c r="AF17" i="1"/>
  <c r="J38" i="1"/>
  <c r="M20" i="1"/>
  <c r="T9" i="1"/>
  <c r="W36" i="1"/>
  <c r="H33" i="1"/>
  <c r="Q18" i="1"/>
  <c r="W23" i="1"/>
  <c r="D42" i="1"/>
  <c r="L11" i="1"/>
  <c r="E22" i="1"/>
  <c r="V15" i="1"/>
  <c r="O24" i="1"/>
  <c r="J7" i="1"/>
  <c r="I12" i="1"/>
  <c r="C20" i="1"/>
  <c r="J13" i="1"/>
  <c r="R31" i="1"/>
  <c r="Q33" i="1"/>
  <c r="R15" i="1"/>
  <c r="AA11" i="1"/>
  <c r="AA14" i="1"/>
  <c r="J27" i="1"/>
  <c r="G32" i="1"/>
  <c r="Z32" i="1"/>
  <c r="O9" i="1"/>
  <c r="G28" i="1"/>
  <c r="B35" i="1"/>
  <c r="N11" i="1"/>
  <c r="N12" i="1"/>
  <c r="O32" i="1"/>
  <c r="Z11" i="1"/>
  <c r="Y20" i="1"/>
  <c r="Q20" i="1"/>
  <c r="W27" i="1"/>
  <c r="U35" i="1"/>
  <c r="D11" i="1"/>
  <c r="Z6" i="1"/>
  <c r="AF8" i="1"/>
  <c r="AJ20" i="1"/>
  <c r="L6" i="1"/>
  <c r="AJ33" i="1"/>
  <c r="D38" i="1"/>
  <c r="Q32" i="1"/>
  <c r="X18" i="1"/>
  <c r="AB34" i="1"/>
  <c r="AJ19" i="1"/>
  <c r="AD18" i="1"/>
  <c r="AB41" i="1"/>
  <c r="AJ22" i="1"/>
  <c r="S30" i="1"/>
  <c r="D23" i="1"/>
  <c r="Y40" i="1"/>
  <c r="AG11" i="1"/>
  <c r="G11" i="1"/>
  <c r="M23" i="1"/>
  <c r="Y24" i="1"/>
  <c r="R18" i="1"/>
  <c r="AH32" i="1"/>
  <c r="AF33" i="1"/>
  <c r="P16" i="1"/>
  <c r="S17" i="1"/>
  <c r="AA17" i="1"/>
  <c r="O43" i="1"/>
  <c r="I21" i="1"/>
  <c r="P44" i="1"/>
  <c r="P36" i="1"/>
  <c r="AH17" i="1"/>
  <c r="AF30" i="1"/>
  <c r="R13" i="1"/>
  <c r="S24" i="1"/>
  <c r="AJ5" i="1"/>
  <c r="AC18" i="1"/>
  <c r="AE20" i="1"/>
  <c r="S7" i="1"/>
  <c r="D30" i="1"/>
  <c r="AF18" i="1"/>
  <c r="R33" i="1"/>
  <c r="P24" i="1"/>
  <c r="U16" i="1"/>
  <c r="P34" i="1"/>
  <c r="U30" i="1"/>
  <c r="Y17" i="1"/>
  <c r="Z5" i="1"/>
  <c r="O7" i="1"/>
  <c r="AD7" i="1"/>
  <c r="AA32" i="1"/>
  <c r="AE15" i="1"/>
  <c r="O19" i="1"/>
  <c r="AH27" i="1"/>
  <c r="R43" i="1"/>
  <c r="V14" i="1"/>
  <c r="G19" i="1"/>
  <c r="AJ9" i="1"/>
  <c r="L17" i="1"/>
  <c r="E29" i="1"/>
  <c r="X39" i="1"/>
  <c r="I7" i="1"/>
  <c r="AH23" i="1"/>
  <c r="D33" i="1"/>
  <c r="D12" i="1"/>
  <c r="Z39" i="1"/>
  <c r="L15" i="1"/>
  <c r="E37" i="1"/>
  <c r="AG32" i="1"/>
  <c r="H17" i="1"/>
  <c r="Z23" i="1"/>
  <c r="Z42" i="1"/>
  <c r="G18" i="1"/>
  <c r="B38" i="1"/>
  <c r="L20" i="1"/>
  <c r="C36" i="1"/>
  <c r="L25" i="1"/>
  <c r="I35" i="1"/>
  <c r="K30" i="1"/>
  <c r="H25" i="1"/>
  <c r="AG40" i="1"/>
  <c r="O39" i="1"/>
  <c r="D39" i="1"/>
  <c r="J29" i="1"/>
  <c r="U7" i="1"/>
  <c r="S42" i="1"/>
  <c r="Y41" i="1"/>
  <c r="AF41" i="1"/>
  <c r="V34" i="1"/>
  <c r="Z9" i="1"/>
  <c r="B41" i="1"/>
  <c r="Z40" i="1"/>
  <c r="X29" i="1"/>
  <c r="T25" i="1"/>
  <c r="X44" i="1"/>
  <c r="AB22" i="1"/>
  <c r="I19" i="1"/>
  <c r="X13" i="1"/>
  <c r="Z34" i="1"/>
  <c r="U28" i="1"/>
  <c r="X41" i="1"/>
  <c r="W21" i="1"/>
  <c r="O15" i="1"/>
  <c r="R42" i="1"/>
  <c r="E20" i="1"/>
  <c r="H11" i="1"/>
  <c r="H5" i="1"/>
  <c r="D44" i="1"/>
  <c r="AB5" i="1"/>
  <c r="L10" i="1"/>
  <c r="Q22" i="1"/>
  <c r="G25" i="1"/>
  <c r="C41" i="1"/>
  <c r="AF14" i="1"/>
  <c r="AI39" i="1"/>
  <c r="AE30" i="1"/>
  <c r="U14" i="1"/>
  <c r="J35" i="1"/>
  <c r="B32" i="1"/>
  <c r="P42" i="1"/>
  <c r="AG37" i="1"/>
  <c r="Y18" i="1"/>
  <c r="W44" i="1"/>
  <c r="M29" i="1"/>
  <c r="AE13" i="1"/>
  <c r="C13" i="1"/>
  <c r="G16" i="1"/>
  <c r="AA20" i="1"/>
  <c r="AA21" i="1"/>
  <c r="AD15" i="1"/>
  <c r="AE38" i="1"/>
  <c r="M35" i="1"/>
  <c r="M21" i="1"/>
  <c r="U9" i="1"/>
  <c r="O37" i="1"/>
  <c r="F16" i="1"/>
  <c r="M38" i="1"/>
  <c r="AI44" i="1"/>
  <c r="T19" i="1"/>
  <c r="H14" i="1"/>
  <c r="O44" i="1"/>
  <c r="E25" i="1"/>
  <c r="AD11" i="1"/>
  <c r="V22" i="1"/>
  <c r="V37" i="1"/>
  <c r="G10" i="1"/>
  <c r="AC12" i="1"/>
  <c r="AI15" i="1"/>
  <c r="Y21" i="1"/>
  <c r="AA42" i="1"/>
  <c r="M22" i="1"/>
  <c r="AF25" i="1"/>
  <c r="T31" i="1"/>
  <c r="R21" i="1"/>
  <c r="AA36" i="1"/>
  <c r="E35" i="1"/>
  <c r="M25" i="1"/>
  <c r="AD27" i="1"/>
  <c r="M14" i="1"/>
  <c r="R14" i="1"/>
  <c r="U40" i="1"/>
  <c r="AH6" i="1"/>
  <c r="X8" i="1"/>
  <c r="AE7" i="1"/>
  <c r="X31" i="1"/>
  <c r="W28" i="1"/>
  <c r="V7" i="1"/>
  <c r="AH44" i="1"/>
  <c r="AA9" i="1"/>
  <c r="M24" i="1"/>
  <c r="P6" i="1"/>
  <c r="AA26" i="1"/>
  <c r="AI19" i="1"/>
  <c r="Z37" i="1"/>
  <c r="AD38" i="1"/>
  <c r="B43" i="1"/>
  <c r="Y29" i="1"/>
  <c r="AB13" i="1"/>
  <c r="V6" i="1"/>
  <c r="P17" i="1"/>
  <c r="J44" i="1"/>
  <c r="Q35" i="1"/>
  <c r="U31" i="1"/>
  <c r="Z44" i="1"/>
  <c r="K40" i="1"/>
  <c r="P12" i="1"/>
  <c r="C7" i="1"/>
  <c r="S34" i="1"/>
  <c r="O13" i="1"/>
  <c r="AC17" i="1"/>
  <c r="C40" i="1"/>
  <c r="AC13" i="1"/>
  <c r="M8" i="1"/>
  <c r="C17" i="1"/>
  <c r="AG8" i="1"/>
  <c r="B7" i="1"/>
  <c r="R35" i="1"/>
  <c r="R6" i="1"/>
  <c r="D14" i="1"/>
  <c r="AI24" i="1"/>
  <c r="X33" i="1"/>
  <c r="AI38" i="1"/>
  <c r="E39" i="1"/>
  <c r="P15" i="1"/>
  <c r="AG10" i="1"/>
  <c r="AD26" i="1"/>
  <c r="Y28" i="1"/>
  <c r="Q38" i="1"/>
  <c r="E32" i="1"/>
  <c r="K27" i="1"/>
  <c r="Z15" i="1"/>
  <c r="Q10" i="1"/>
  <c r="AB14" i="1"/>
  <c r="C5" i="1"/>
  <c r="AB15" i="1"/>
  <c r="J42" i="1"/>
  <c r="G24" i="1"/>
  <c r="Y19" i="1"/>
  <c r="H10" i="1"/>
  <c r="E28" i="1"/>
  <c r="AF26" i="1"/>
  <c r="AD36" i="1"/>
  <c r="F41" i="1"/>
  <c r="V28" i="1"/>
  <c r="L35" i="1"/>
  <c r="AI9" i="1"/>
  <c r="H21" i="1"/>
  <c r="R30" i="1"/>
  <c r="Y14" i="1"/>
  <c r="B31" i="1"/>
  <c r="AE14" i="1"/>
  <c r="R28" i="1"/>
  <c r="P14" i="1"/>
  <c r="C14" i="1"/>
  <c r="K41" i="1"/>
  <c r="D19" i="1"/>
  <c r="O34" i="1"/>
  <c r="T41" i="1"/>
  <c r="C12" i="1"/>
  <c r="K5" i="1"/>
  <c r="AD43" i="1"/>
  <c r="H43" i="1"/>
  <c r="B23" i="1"/>
  <c r="AI6" i="1"/>
  <c r="AH22" i="1"/>
  <c r="Q15" i="1"/>
  <c r="AE24" i="1"/>
  <c r="W14" i="1"/>
  <c r="AF37" i="1"/>
  <c r="R26" i="1"/>
  <c r="B26" i="1"/>
  <c r="AJ39" i="1"/>
  <c r="B37" i="1"/>
  <c r="G22" i="1"/>
  <c r="I10" i="1"/>
  <c r="L44" i="1"/>
  <c r="R11" i="1"/>
  <c r="E10" i="1"/>
  <c r="AE40" i="1"/>
  <c r="AD8" i="1"/>
  <c r="D28" i="1"/>
  <c r="S15" i="1"/>
  <c r="J20" i="1"/>
  <c r="H26" i="1"/>
  <c r="N29" i="1"/>
  <c r="E11" i="1"/>
  <c r="L26" i="1"/>
  <c r="AI33" i="1"/>
  <c r="AE5" i="1"/>
  <c r="Z36" i="1"/>
  <c r="F13" i="1"/>
  <c r="AC35" i="1"/>
  <c r="X16" i="1"/>
  <c r="W8" i="1"/>
  <c r="Q23" i="1"/>
  <c r="L31" i="1"/>
  <c r="B24" i="1"/>
  <c r="AC6" i="1"/>
  <c r="I22" i="1"/>
  <c r="D20" i="1"/>
  <c r="C38" i="1"/>
  <c r="V33" i="1"/>
  <c r="AA29" i="1"/>
  <c r="S20" i="1"/>
  <c r="AA35" i="1"/>
  <c r="T39" i="1"/>
  <c r="AG18" i="1"/>
  <c r="T7" i="1"/>
  <c r="C43" i="1"/>
  <c r="D37" i="1"/>
  <c r="H12" i="1"/>
  <c r="S10" i="1"/>
  <c r="C24" i="1"/>
  <c r="S36" i="1"/>
  <c r="AF5" i="1"/>
  <c r="U18" i="1"/>
  <c r="M34" i="1"/>
  <c r="AE39" i="1"/>
  <c r="D18" i="1"/>
  <c r="AJ24" i="1"/>
  <c r="T36" i="1"/>
  <c r="G15" i="1"/>
  <c r="AB35" i="1"/>
  <c r="N24" i="1"/>
  <c r="W30" i="1"/>
  <c r="G13" i="1"/>
  <c r="W13" i="1"/>
  <c r="AA41" i="1"/>
  <c r="G5" i="1"/>
  <c r="AC16" i="1"/>
  <c r="V30" i="1"/>
  <c r="I25" i="1"/>
  <c r="Q29" i="1"/>
  <c r="Z33" i="1"/>
  <c r="AC8" i="1"/>
  <c r="U34" i="1"/>
  <c r="S21" i="1"/>
  <c r="E6" i="1"/>
  <c r="D10" i="1"/>
  <c r="E33" i="1"/>
  <c r="AA33" i="1"/>
  <c r="J28" i="1"/>
  <c r="X10" i="1"/>
  <c r="X15" i="1"/>
  <c r="H44" i="1"/>
  <c r="B39" i="1"/>
  <c r="L36" i="1"/>
  <c r="Q19" i="1"/>
  <c r="Q24" i="1"/>
  <c r="R27" i="1"/>
  <c r="AF38" i="1"/>
  <c r="AG43" i="1"/>
  <c r="P29" i="1"/>
  <c r="AB30" i="1"/>
  <c r="I14" i="1"/>
  <c r="AD32" i="1"/>
  <c r="N8" i="1"/>
  <c r="I30" i="1"/>
  <c r="K22" i="1"/>
  <c r="AH43" i="1"/>
  <c r="AJ6" i="1"/>
  <c r="AI20" i="1"/>
  <c r="H32" i="1"/>
  <c r="T14" i="1"/>
  <c r="V23" i="1"/>
  <c r="Y8" i="1"/>
  <c r="W24" i="1"/>
  <c r="C11" i="1"/>
  <c r="P32" i="1"/>
  <c r="R10" i="1"/>
  <c r="AE43" i="1"/>
  <c r="AI22" i="1"/>
  <c r="T17" i="1"/>
  <c r="B12" i="1"/>
  <c r="M44" i="1"/>
  <c r="Z13" i="1"/>
  <c r="W37" i="1"/>
  <c r="AA39" i="1"/>
  <c r="AC41" i="1"/>
  <c r="AI41" i="1"/>
  <c r="J33" i="1"/>
  <c r="I27" i="1"/>
  <c r="K44" i="1"/>
  <c r="N34" i="1"/>
  <c r="J34" i="1"/>
  <c r="F24" i="1"/>
  <c r="B44" i="1"/>
  <c r="N25" i="1"/>
  <c r="R38" i="1"/>
  <c r="C42" i="1"/>
  <c r="AA8" i="1"/>
  <c r="Z19" i="1"/>
  <c r="AJ31" i="1"/>
  <c r="AC33" i="1"/>
  <c r="E19" i="1"/>
  <c r="U24" i="1"/>
  <c r="M32" i="1"/>
  <c r="N44" i="1"/>
  <c r="E42" i="1"/>
  <c r="AG42" i="1"/>
  <c r="F10" i="1"/>
  <c r="F14" i="1"/>
  <c r="AE36" i="1"/>
  <c r="E14" i="1"/>
  <c r="AH39" i="1"/>
  <c r="H18" i="1"/>
  <c r="M15" i="1"/>
  <c r="S8" i="1"/>
  <c r="AB43" i="1"/>
  <c r="AJ35" i="1"/>
  <c r="F21" i="1"/>
  <c r="AC26" i="1"/>
  <c r="G33" i="1"/>
  <c r="J39" i="1"/>
  <c r="AG38" i="1"/>
  <c r="AD5" i="1"/>
  <c r="AF19" i="1"/>
  <c r="W34" i="1"/>
  <c r="R40" i="1"/>
  <c r="E17" i="1"/>
  <c r="AB26" i="1"/>
  <c r="F35" i="1"/>
  <c r="P27" i="1"/>
  <c r="AC15" i="1"/>
  <c r="AJ18" i="1"/>
  <c r="M37" i="1"/>
  <c r="AE44" i="1"/>
  <c r="S39" i="1"/>
  <c r="S40" i="1"/>
  <c r="N14" i="1"/>
  <c r="Y42" i="1"/>
  <c r="AH42" i="1"/>
  <c r="R41" i="1"/>
  <c r="K25" i="1"/>
  <c r="X21" i="1"/>
  <c r="O31" i="1"/>
  <c r="AB18" i="1"/>
  <c r="I13" i="1"/>
  <c r="P20" i="1"/>
  <c r="AJ12" i="1"/>
  <c r="W41" i="1"/>
  <c r="AA19" i="1"/>
  <c r="L9" i="1"/>
  <c r="AJ34" i="1"/>
  <c r="O18" i="1"/>
  <c r="D27" i="1"/>
  <c r="AI18" i="1"/>
  <c r="AI35" i="1"/>
  <c r="O33" i="1"/>
  <c r="O10" i="1"/>
  <c r="AD24" i="1"/>
  <c r="N28" i="1"/>
  <c r="Y44" i="1"/>
  <c r="AE18" i="1"/>
  <c r="T23" i="1"/>
  <c r="X36" i="1"/>
  <c r="AA25" i="1"/>
  <c r="I41" i="1"/>
  <c r="T44" i="1"/>
  <c r="AG12" i="1"/>
  <c r="AC38" i="1"/>
  <c r="F25" i="1"/>
  <c r="X28" i="1"/>
  <c r="AA37" i="1"/>
  <c r="AH16" i="1"/>
  <c r="AD22" i="1"/>
  <c r="AG25" i="1"/>
  <c r="AG35" i="1"/>
  <c r="K21" i="1"/>
  <c r="Y11" i="1"/>
  <c r="H34" i="1"/>
  <c r="J36" i="1"/>
  <c r="AJ15" i="1"/>
  <c r="N19" i="1"/>
  <c r="F27" i="1"/>
  <c r="V17" i="1"/>
  <c r="N15" i="1"/>
  <c r="Y5" i="1"/>
  <c r="U20" i="1"/>
  <c r="AF43" i="1"/>
  <c r="B16" i="1"/>
  <c r="U42" i="1"/>
  <c r="F39" i="1"/>
  <c r="O14" i="1"/>
  <c r="O27" i="1"/>
  <c r="AD30" i="1"/>
  <c r="J16" i="1"/>
  <c r="H20" i="1"/>
  <c r="AI12" i="1"/>
  <c r="K7" i="1"/>
  <c r="U41" i="1"/>
  <c r="Z31" i="1"/>
  <c r="B6" i="1"/>
  <c r="AJ40" i="1"/>
  <c r="Y27" i="1"/>
  <c r="N7" i="1"/>
  <c r="AI36" i="1"/>
  <c r="AE27" i="1"/>
  <c r="W40" i="1"/>
  <c r="Y43" i="1"/>
  <c r="D32" i="1"/>
  <c r="D40" i="1"/>
  <c r="M30" i="1"/>
  <c r="J32" i="1"/>
  <c r="AH21" i="1"/>
  <c r="AH24" i="1"/>
  <c r="AF36" i="1"/>
  <c r="E40" i="1"/>
  <c r="X27" i="1"/>
  <c r="V27" i="1"/>
  <c r="AC27" i="1"/>
  <c r="AI32" i="1"/>
  <c r="P38" i="1"/>
  <c r="AD12" i="1"/>
  <c r="M36" i="1"/>
  <c r="B8" i="1"/>
  <c r="N39" i="1"/>
  <c r="N30" i="1"/>
  <c r="I6" i="1"/>
  <c r="AA31" i="1"/>
  <c r="J24" i="1"/>
  <c r="F43" i="1"/>
  <c r="AD31" i="1"/>
  <c r="K33" i="1"/>
  <c r="AG22" i="1"/>
  <c r="AB16" i="1"/>
  <c r="AI14" i="1"/>
  <c r="R8" i="1"/>
  <c r="AG24" i="1"/>
  <c r="B18" i="1"/>
  <c r="G44" i="1"/>
  <c r="AC42" i="1"/>
  <c r="U26" i="1"/>
  <c r="F31" i="1"/>
  <c r="AE29" i="1"/>
  <c r="S44" i="1"/>
  <c r="Y26" i="1"/>
  <c r="G30" i="1"/>
  <c r="Y37" i="1"/>
  <c r="L32" i="1"/>
  <c r="D31" i="1"/>
  <c r="AD25" i="1"/>
  <c r="H19" i="1"/>
  <c r="G8" i="1"/>
  <c r="W6" i="1"/>
  <c r="AJ37" i="1"/>
  <c r="C34" i="1"/>
  <c r="AH37" i="1"/>
  <c r="Z7" i="1"/>
  <c r="T38" i="1"/>
  <c r="L39" i="1"/>
  <c r="J25" i="1"/>
  <c r="V36" i="1"/>
  <c r="F19" i="1"/>
  <c r="P37" i="1"/>
  <c r="X24" i="1"/>
  <c r="Q39" i="1"/>
  <c r="AF9" i="1"/>
  <c r="H16" i="1"/>
  <c r="I5" i="1"/>
  <c r="E34" i="1"/>
  <c r="U19" i="1"/>
  <c r="AB38" i="1"/>
  <c r="R7" i="1"/>
  <c r="N22" i="1"/>
  <c r="W9" i="1"/>
  <c r="X5" i="1"/>
  <c r="X35" i="1"/>
  <c r="AB42" i="1"/>
  <c r="AG20" i="1"/>
  <c r="J14" i="1"/>
  <c r="K17" i="1"/>
  <c r="U22" i="1"/>
  <c r="U44" i="1"/>
  <c r="F5" i="1"/>
  <c r="Z8" i="1"/>
  <c r="Q12" i="1"/>
  <c r="E41" i="1"/>
  <c r="X22" i="1"/>
  <c r="U32" i="1"/>
  <c r="AE8" i="1"/>
  <c r="C33" i="1"/>
  <c r="AF23" i="1"/>
  <c r="O11" i="1"/>
  <c r="Q37" i="1"/>
  <c r="AJ26" i="1"/>
  <c r="N40" i="1"/>
  <c r="Y32" i="1"/>
  <c r="Q17" i="1"/>
  <c r="T34" i="1"/>
  <c r="O36" i="1"/>
  <c r="S43" i="1"/>
  <c r="H27" i="1"/>
  <c r="L13" i="1"/>
  <c r="AF15" i="1"/>
  <c r="W11" i="1"/>
  <c r="W10" i="1"/>
  <c r="AE25" i="1"/>
  <c r="F44" i="1"/>
  <c r="AG21" i="1"/>
  <c r="M12" i="1"/>
  <c r="AB31" i="1"/>
  <c r="AE28" i="1"/>
  <c r="AI29" i="1"/>
  <c r="AG36" i="1"/>
  <c r="R17" i="1"/>
  <c r="P28" i="1"/>
  <c r="L21" i="1"/>
  <c r="AJ28" i="1"/>
  <c r="T42" i="1"/>
  <c r="V39" i="1"/>
  <c r="R12" i="1"/>
  <c r="R19" i="1"/>
  <c r="I34" i="1"/>
  <c r="Y30" i="1"/>
  <c r="Z24" i="1"/>
  <c r="G39" i="1"/>
  <c r="AE31" i="1"/>
  <c r="J17" i="1"/>
  <c r="AJ11" i="1"/>
  <c r="S31" i="1"/>
  <c r="L29" i="1"/>
  <c r="M7" i="1"/>
  <c r="P22" i="1"/>
  <c r="K13" i="1"/>
  <c r="H8" i="1"/>
  <c r="AJ23" i="1"/>
  <c r="AD6" i="1"/>
  <c r="D29" i="1"/>
  <c r="I42" i="1"/>
  <c r="T26" i="1"/>
  <c r="Y10" i="1"/>
  <c r="J41" i="1"/>
  <c r="E44" i="1"/>
  <c r="R22" i="1"/>
  <c r="W12" i="1"/>
  <c r="G9" i="1"/>
  <c r="X43" i="1"/>
  <c r="C10" i="1"/>
  <c r="J6" i="1"/>
  <c r="C6" i="1"/>
  <c r="D25" i="1"/>
  <c r="X34" i="1"/>
  <c r="L38" i="1"/>
  <c r="AD14" i="1"/>
  <c r="P35" i="1"/>
  <c r="R9" i="1"/>
  <c r="W38" i="1"/>
  <c r="V11" i="1"/>
  <c r="AC5" i="1"/>
  <c r="I31" i="1"/>
  <c r="S23" i="1"/>
  <c r="AB6" i="1"/>
  <c r="W25" i="1"/>
  <c r="Q5" i="1"/>
  <c r="T16" i="1"/>
  <c r="B28" i="1"/>
  <c r="I9" i="1"/>
  <c r="U12" i="1"/>
  <c r="G6" i="1"/>
  <c r="AD35" i="1"/>
  <c r="H9" i="1"/>
  <c r="R34" i="1"/>
  <c r="S28" i="1"/>
  <c r="O21" i="1"/>
  <c r="AE21" i="1"/>
  <c r="N36" i="1"/>
  <c r="T28" i="1"/>
  <c r="K29" i="1"/>
  <c r="T43" i="1"/>
  <c r="AD34" i="1"/>
  <c r="AF10" i="1"/>
  <c r="F40" i="1"/>
  <c r="K9" i="1"/>
  <c r="H28" i="1"/>
  <c r="O20" i="1"/>
  <c r="Q27" i="1"/>
  <c r="E8" i="1"/>
  <c r="R5" i="1"/>
  <c r="T20" i="1"/>
  <c r="O40" i="1"/>
  <c r="G42" i="1"/>
  <c r="T32" i="1"/>
  <c r="V29" i="1"/>
  <c r="I44" i="1"/>
  <c r="K24" i="1"/>
  <c r="AE10" i="1"/>
  <c r="W19" i="1"/>
  <c r="H22" i="1"/>
  <c r="H30" i="1"/>
  <c r="J19" i="1"/>
  <c r="I23" i="1"/>
  <c r="AI10" i="1"/>
  <c r="J22" i="1"/>
  <c r="D7" i="1"/>
  <c r="V10" i="1"/>
  <c r="G40" i="1"/>
  <c r="U13" i="1"/>
  <c r="AJ8" i="1"/>
  <c r="D35" i="1"/>
  <c r="W17" i="1"/>
  <c r="AG28" i="1"/>
  <c r="AC31" i="1"/>
  <c r="AE33" i="1"/>
  <c r="P9" i="1"/>
  <c r="AH28" i="1"/>
  <c r="E36" i="1"/>
  <c r="V24" i="1"/>
  <c r="Z25" i="1"/>
  <c r="AB44" i="1"/>
  <c r="B22" i="1"/>
  <c r="H39" i="1"/>
  <c r="E12" i="1"/>
  <c r="Z18" i="1"/>
  <c r="AF27" i="1"/>
  <c r="T5" i="1"/>
  <c r="AA27" i="1"/>
  <c r="S22" i="1"/>
  <c r="R25" i="1"/>
  <c r="C32" i="1"/>
  <c r="O12" i="1"/>
  <c r="AF35" i="1"/>
  <c r="K14" i="1"/>
  <c r="I40" i="1"/>
  <c r="J30" i="1"/>
  <c r="B30" i="1"/>
  <c r="AH14" i="1"/>
  <c r="R37" i="1"/>
  <c r="I18" i="1"/>
  <c r="K26" i="1"/>
  <c r="AJ38" i="1"/>
  <c r="K11" i="1"/>
  <c r="AH19" i="1"/>
  <c r="C39" i="1"/>
  <c r="Y15" i="1"/>
  <c r="Y22" i="1"/>
  <c r="J10" i="1"/>
  <c r="J5" i="1"/>
  <c r="E18" i="1"/>
  <c r="AG7" i="1"/>
  <c r="S33" i="1"/>
  <c r="H15" i="1"/>
  <c r="B14" i="1"/>
  <c r="M13" i="1"/>
  <c r="B17" i="1"/>
  <c r="AI21" i="1"/>
  <c r="G26" i="1"/>
  <c r="Z10" i="1"/>
  <c r="I20" i="1"/>
  <c r="I37" i="1"/>
  <c r="AF28" i="1"/>
  <c r="O17" i="1"/>
  <c r="AD17" i="1"/>
  <c r="L5" i="1"/>
  <c r="AE23" i="1"/>
  <c r="E38" i="1"/>
  <c r="G38" i="1"/>
  <c r="O22" i="1"/>
  <c r="O16" i="1"/>
  <c r="AI43" i="1"/>
  <c r="AC21" i="1"/>
  <c r="O6" i="1"/>
  <c r="N42" i="1"/>
  <c r="AF39" i="1"/>
  <c r="AF13" i="1"/>
  <c r="X30" i="1"/>
  <c r="AI34" i="1"/>
  <c r="AB39" i="1"/>
  <c r="B5" i="1"/>
  <c r="Y7" i="1"/>
  <c r="V31" i="1"/>
  <c r="Q8" i="1"/>
  <c r="AD20" i="1"/>
  <c r="F29" i="1"/>
  <c r="J21" i="1"/>
  <c r="AG44" i="1"/>
  <c r="AI26" i="1"/>
  <c r="N33" i="1"/>
  <c r="I17" i="1"/>
  <c r="AG9" i="1"/>
  <c r="Y12" i="1"/>
  <c r="J43" i="1"/>
  <c r="T12" i="1"/>
  <c r="AA13" i="1"/>
  <c r="AG41" i="1"/>
  <c r="AD10" i="1"/>
  <c r="E23" i="1"/>
  <c r="H36" i="1"/>
  <c r="Y33" i="1"/>
  <c r="F37" i="1"/>
  <c r="B34" i="1"/>
  <c r="I39" i="1"/>
  <c r="V38" i="1"/>
  <c r="AI30" i="1"/>
  <c r="X20" i="1"/>
  <c r="AH36" i="1"/>
  <c r="S5" i="1"/>
  <c r="D24" i="1"/>
  <c r="AC25" i="1"/>
  <c r="F33" i="1"/>
  <c r="AB28" i="1"/>
  <c r="X19" i="1"/>
  <c r="S41" i="1"/>
  <c r="K20" i="1"/>
  <c r="K34" i="1"/>
  <c r="T8" i="1"/>
  <c r="AG15" i="1"/>
  <c r="O5" i="1"/>
  <c r="S19" i="1"/>
  <c r="M9" i="1"/>
  <c r="D22" i="1"/>
  <c r="Z27" i="1"/>
  <c r="Q44" i="1"/>
  <c r="K37" i="1"/>
  <c r="X14" i="1"/>
  <c r="U10" i="1"/>
  <c r="C25" i="1"/>
  <c r="AG23" i="1"/>
  <c r="C15" i="1"/>
  <c r="W5" i="1"/>
  <c r="AJ25" i="1"/>
  <c r="N18" i="1"/>
  <c r="F20" i="1"/>
  <c r="L27" i="1"/>
  <c r="I11" i="1"/>
  <c r="R20" i="1"/>
  <c r="AF7" i="1"/>
  <c r="AF31" i="1"/>
  <c r="K35" i="1"/>
  <c r="G29" i="1"/>
  <c r="U38" i="1"/>
  <c r="V19" i="1"/>
  <c r="K8" i="1"/>
  <c r="P21" i="1"/>
  <c r="S6" i="1"/>
  <c r="X11" i="1"/>
  <c r="AJ36" i="1"/>
  <c r="AI42" i="1"/>
  <c r="G7" i="1"/>
  <c r="P5" i="1"/>
  <c r="K32" i="1"/>
  <c r="AA5" i="1"/>
  <c r="Y38" i="1"/>
  <c r="M42" i="1"/>
  <c r="Q30" i="1"/>
  <c r="P33" i="1"/>
  <c r="AH31" i="1"/>
  <c r="H6" i="1"/>
  <c r="T27" i="1"/>
  <c r="AJ29" i="1"/>
  <c r="E21" i="1"/>
  <c r="K19" i="1"/>
  <c r="M33" i="1"/>
  <c r="U11" i="1"/>
  <c r="Z41" i="1"/>
  <c r="F22" i="1"/>
  <c r="AI8" i="1"/>
  <c r="P26" i="1"/>
  <c r="AJ30" i="1"/>
  <c r="K18" i="1"/>
  <c r="M5" i="1"/>
  <c r="C22" i="1"/>
  <c r="C44" i="1"/>
  <c r="AB29" i="1"/>
  <c r="AJ41" i="1"/>
  <c r="X12" i="1"/>
  <c r="J37" i="1"/>
  <c r="U29" i="1"/>
  <c r="AH40" i="1"/>
  <c r="AI31" i="1"/>
  <c r="I43" i="1"/>
  <c r="AA23" i="1"/>
  <c r="AA28" i="1"/>
  <c r="AF21" i="1"/>
  <c r="X7" i="1"/>
  <c r="K6" i="1"/>
  <c r="T40" i="1"/>
  <c r="G17" i="1"/>
  <c r="D8" i="1"/>
  <c r="M40" i="1"/>
  <c r="AH10" i="1"/>
  <c r="G37" i="1"/>
  <c r="N13" i="1"/>
  <c r="L22" i="1"/>
  <c r="Q40" i="1"/>
  <c r="Q14" i="1"/>
  <c r="H29" i="1"/>
  <c r="AF29" i="1"/>
  <c r="L37" i="1"/>
  <c r="H35" i="1"/>
  <c r="L19" i="1"/>
  <c r="L8" i="1"/>
  <c r="V40" i="1"/>
  <c r="AA43" i="1"/>
  <c r="P39" i="1"/>
  <c r="M6" i="1"/>
  <c r="M26" i="1"/>
  <c r="F30" i="1"/>
  <c r="V26" i="1"/>
  <c r="T18" i="1"/>
  <c r="B21" i="1"/>
  <c r="S18" i="1"/>
  <c r="V5" i="1"/>
  <c r="AC20" i="1"/>
  <c r="S38" i="1"/>
  <c r="T11" i="1"/>
  <c r="C18" i="1"/>
  <c r="N43" i="1"/>
  <c r="Z12" i="1"/>
  <c r="AE32" i="1"/>
  <c r="AC43" i="1"/>
  <c r="E15" i="1"/>
  <c r="AF32" i="1"/>
  <c r="L24" i="1"/>
  <c r="X25" i="1"/>
  <c r="AI5" i="1"/>
  <c r="AA38" i="1"/>
  <c r="AJ16" i="1"/>
  <c r="U37" i="1"/>
  <c r="Q26" i="1"/>
  <c r="Z35" i="1"/>
  <c r="C8" i="1"/>
  <c r="J8" i="1"/>
  <c r="G27" i="1"/>
  <c r="W32" i="1"/>
  <c r="AI11" i="1"/>
  <c r="L43" i="1"/>
  <c r="L42" i="1"/>
  <c r="AE12" i="1"/>
  <c r="AA24" i="1"/>
  <c r="S13" i="1"/>
  <c r="I8" i="1"/>
  <c r="M43" i="1"/>
  <c r="W35" i="1"/>
  <c r="R32" i="1"/>
  <c r="F28" i="1"/>
  <c r="Q42" i="1"/>
  <c r="AI23" i="1"/>
  <c r="AA34" i="1"/>
  <c r="F8" i="1"/>
  <c r="W20" i="1"/>
  <c r="D26" i="1"/>
  <c r="I24" i="1"/>
  <c r="Q36" i="1"/>
  <c r="Z26" i="1"/>
  <c r="H7" i="1"/>
  <c r="N38" i="1"/>
  <c r="I15" i="1"/>
  <c r="AG6" i="1"/>
  <c r="L41" i="1"/>
  <c r="Y36" i="1"/>
  <c r="C27" i="1"/>
  <c r="AH29" i="1"/>
  <c r="G41" i="1"/>
  <c r="E43" i="1"/>
  <c r="J15" i="1"/>
  <c r="S14" i="1"/>
  <c r="I38" i="1"/>
  <c r="O23" i="1"/>
  <c r="AA12" i="1"/>
  <c r="T24" i="1"/>
  <c r="D6" i="1"/>
  <c r="AI25" i="1"/>
  <c r="L14" i="1"/>
  <c r="AE22" i="1"/>
  <c r="F34" i="1"/>
  <c r="AC23" i="1"/>
  <c r="AI7" i="1"/>
  <c r="V42" i="1"/>
  <c r="I33" i="1"/>
  <c r="O29" i="1"/>
  <c r="Q25" i="1"/>
  <c r="U25" i="1"/>
  <c r="AB7" i="1"/>
  <c r="K28" i="1"/>
  <c r="P41" i="1"/>
  <c r="Y9" i="1"/>
  <c r="N5" i="1"/>
  <c r="Y35" i="1"/>
  <c r="U5" i="1"/>
  <c r="D43" i="1"/>
  <c r="AB24" i="1"/>
  <c r="M18" i="1"/>
  <c r="O41" i="1"/>
  <c r="B33" i="1"/>
  <c r="AC34" i="1"/>
  <c r="D34" i="1"/>
  <c r="AD21" i="1"/>
  <c r="N17" i="1"/>
  <c r="AE34" i="1"/>
  <c r="F12" i="1"/>
  <c r="AC30" i="1"/>
  <c r="B19" i="1"/>
  <c r="N16" i="1"/>
  <c r="AE19" i="1"/>
  <c r="G31" i="1"/>
  <c r="K43" i="1"/>
  <c r="W31" i="1"/>
  <c r="AD28" i="1"/>
  <c r="U27" i="1"/>
  <c r="W29" i="1"/>
  <c r="AF12" i="1"/>
  <c r="J23" i="1"/>
  <c r="Z38" i="1"/>
  <c r="S29" i="1"/>
  <c r="AI28" i="1"/>
  <c r="AB23" i="1"/>
  <c r="J31" i="1"/>
  <c r="Z17" i="1"/>
  <c r="AJ14" i="1"/>
  <c r="AE11" i="1"/>
  <c r="AG5" i="1"/>
  <c r="C23" i="1"/>
  <c r="W43" i="1"/>
  <c r="M41" i="1"/>
  <c r="K15" i="1"/>
  <c r="AH18" i="1"/>
  <c r="N20" i="1"/>
  <c r="AD42" i="1"/>
  <c r="G23" i="1"/>
  <c r="H23" i="1"/>
  <c r="N41" i="1"/>
  <c r="AD33" i="1"/>
  <c r="Y16" i="1"/>
  <c r="AJ27" i="1"/>
  <c r="P43" i="1"/>
  <c r="W33" i="1"/>
  <c r="AI16" i="1"/>
  <c r="AG26" i="1"/>
  <c r="M19" i="1"/>
  <c r="AD23" i="1"/>
  <c r="F26" i="1"/>
  <c r="AB40" i="1"/>
  <c r="D36" i="1"/>
  <c r="AD41" i="1"/>
  <c r="AA15" i="1"/>
  <c r="C26" i="1"/>
  <c r="AH26" i="1"/>
  <c r="Q11" i="1"/>
  <c r="E13" i="1"/>
  <c r="B11" i="1"/>
  <c r="P30" i="1"/>
  <c r="N32" i="1"/>
  <c r="L23" i="1"/>
  <c r="B40" i="1"/>
  <c r="G43" i="1"/>
  <c r="V44" i="1"/>
  <c r="S12" i="1"/>
  <c r="Z29" i="1"/>
  <c r="M31" i="1"/>
  <c r="T21" i="1"/>
  <c r="J40" i="1"/>
  <c r="B15" i="1"/>
  <c r="S35" i="1"/>
  <c r="AH20" i="1"/>
  <c r="W39" i="1"/>
  <c r="AC11" i="1"/>
  <c r="W42" i="1"/>
  <c r="AG34" i="1"/>
  <c r="X23" i="1"/>
  <c r="D21" i="1"/>
  <c r="AC7" i="1"/>
  <c r="T30" i="1"/>
  <c r="S26" i="1"/>
  <c r="G14" i="1"/>
  <c r="AA7" i="1"/>
  <c r="B29" i="1"/>
  <c r="U8" i="1"/>
  <c r="H37" i="1"/>
  <c r="M10" i="1"/>
  <c r="P25" i="1"/>
  <c r="M28" i="1"/>
  <c r="Y39" i="1"/>
  <c r="E5" i="1"/>
  <c r="C19" i="1"/>
  <c r="Y13" i="1"/>
  <c r="Q6" i="1"/>
  <c r="AA30" i="1"/>
  <c r="AH41" i="1"/>
  <c r="AG14" i="1"/>
  <c r="F17" i="1"/>
  <c r="AB8" i="1"/>
  <c r="AA10" i="1"/>
  <c r="E30" i="1"/>
  <c r="K16" i="1"/>
  <c r="X38" i="1"/>
  <c r="AE9" i="1"/>
  <c r="V21" i="1"/>
  <c r="P40" i="1"/>
  <c r="AC22" i="1"/>
  <c r="E24" i="1"/>
  <c r="X9" i="1"/>
  <c r="AA18" i="1"/>
  <c r="AF24" i="1"/>
  <c r="AB10" i="1"/>
  <c r="AB12" i="1"/>
  <c r="X42" i="1"/>
  <c r="AC10" i="1"/>
  <c r="U36" i="1"/>
  <c r="T6" i="1"/>
  <c r="V43" i="1"/>
  <c r="M11" i="1"/>
  <c r="V41" i="1"/>
  <c r="C30" i="1"/>
  <c r="E31" i="1"/>
  <c r="Z43" i="1"/>
  <c r="L18" i="1"/>
  <c r="E9" i="1"/>
  <c r="V25" i="1"/>
  <c r="L34" i="1"/>
  <c r="K31" i="1"/>
  <c r="V12" i="1"/>
  <c r="AH8" i="1"/>
  <c r="AJ43" i="1"/>
  <c r="AI40" i="1"/>
  <c r="C28" i="1"/>
  <c r="H40" i="1"/>
  <c r="AE16" i="1"/>
  <c r="AC19" i="1"/>
  <c r="AJ10" i="1"/>
  <c r="V8" i="1"/>
  <c r="T22" i="1"/>
  <c r="AJ13" i="1"/>
  <c r="AD40" i="1"/>
  <c r="AB32" i="1"/>
  <c r="M17" i="1"/>
  <c r="I26" i="1"/>
  <c r="S11" i="1"/>
  <c r="V9" i="1"/>
  <c r="AF40" i="1"/>
  <c r="S27" i="1"/>
  <c r="P13" i="1"/>
  <c r="AH15" i="1"/>
  <c r="AF16" i="1"/>
  <c r="AE6" i="1"/>
  <c r="Q41" i="1"/>
  <c r="AI37" i="1"/>
  <c r="P8" i="1"/>
  <c r="AI17" i="1"/>
  <c r="K42" i="1"/>
  <c r="Z20" i="1"/>
  <c r="B27" i="1"/>
  <c r="AG33" i="1"/>
  <c r="D16" i="1"/>
  <c r="N10" i="1"/>
  <c r="AA22" i="1"/>
  <c r="R29" i="1"/>
  <c r="AC9" i="1"/>
  <c r="L40" i="1"/>
  <c r="H24" i="1"/>
  <c r="R36" i="1"/>
  <c r="X40" i="1"/>
  <c r="AB19" i="1"/>
  <c r="AF6" i="1"/>
  <c r="W15" i="1"/>
  <c r="F32" i="1"/>
  <c r="Q31" i="1"/>
  <c r="AE35" i="1"/>
  <c r="L30" i="1"/>
  <c r="O38" i="1"/>
  <c r="X32" i="1"/>
  <c r="X17" i="1"/>
  <c r="T35" i="1"/>
  <c r="X26" i="1"/>
  <c r="AE41" i="1"/>
  <c r="Z21" i="1"/>
  <c r="C31" i="1"/>
  <c r="U33" i="1"/>
  <c r="M16" i="1"/>
  <c r="Q16" i="1"/>
  <c r="AD13" i="1"/>
  <c r="AC40" i="1"/>
  <c r="D17" i="1"/>
  <c r="V18" i="1"/>
  <c r="D5" i="1"/>
  <c r="AG30" i="1"/>
  <c r="O26" i="1"/>
  <c r="O28" i="1"/>
  <c r="AB33" i="1"/>
  <c r="W26" i="1"/>
  <c r="Z14" i="1"/>
  <c r="AH5" i="1"/>
  <c r="V20" i="1"/>
  <c r="W18" i="1"/>
  <c r="B10" i="1"/>
  <c r="AF44" i="1"/>
  <c r="G35" i="1"/>
  <c r="AC44" i="1"/>
  <c r="K23" i="1"/>
  <c r="AH11" i="1"/>
  <c r="Z22" i="1"/>
  <c r="AG27" i="1"/>
  <c r="AD39" i="1"/>
  <c r="W16" i="1"/>
  <c r="AI27" i="1"/>
  <c r="Q21" i="1"/>
  <c r="Q13" i="1"/>
  <c r="H41" i="1"/>
  <c r="J12" i="1"/>
  <c r="AG31" i="1"/>
  <c r="T13" i="1"/>
  <c r="N9" i="1"/>
  <c r="K10" i="1"/>
  <c r="O25" i="1"/>
  <c r="AB21" i="1"/>
  <c r="Y25" i="1"/>
  <c r="AC29" i="1"/>
  <c r="N6" i="1"/>
  <c r="T15" i="1"/>
  <c r="H13" i="1"/>
  <c r="C37" i="1"/>
  <c r="F9" i="1"/>
  <c r="AH25" i="1"/>
  <c r="AC28" i="1"/>
  <c r="AG13" i="1"/>
  <c r="AF34" i="1"/>
  <c r="Q43" i="1"/>
  <c r="N27" i="1"/>
  <c r="AG16" i="1"/>
  <c r="AD16" i="1"/>
  <c r="F36" i="1"/>
  <c r="Q7" i="1"/>
  <c r="U6" i="1"/>
  <c r="AB11" i="1"/>
  <c r="G20" i="1"/>
  <c r="Z16" i="1"/>
  <c r="B25" i="1"/>
  <c r="S32" i="1"/>
  <c r="F11" i="1"/>
  <c r="AH38" i="1"/>
  <c r="K36" i="1"/>
  <c r="AG29" i="1"/>
  <c r="O42" i="1"/>
  <c r="S16" i="1"/>
  <c r="L16" i="1"/>
  <c r="AC32" i="1"/>
  <c r="F23" i="1"/>
  <c r="E7" i="1"/>
  <c r="S9" i="1"/>
  <c r="P23" i="1"/>
  <c r="AA16" i="1"/>
  <c r="E27" i="1"/>
  <c r="AE26" i="1"/>
  <c r="AH30" i="1"/>
  <c r="AH34" i="1"/>
  <c r="F15" i="1"/>
  <c r="Y34" i="1"/>
  <c r="H42" i="1"/>
  <c r="AG39" i="1"/>
  <c r="N26" i="1"/>
  <c r="AC36" i="1"/>
  <c r="Q34" i="1"/>
  <c r="AD37" i="1"/>
  <c r="V35" i="1"/>
  <c r="M39" i="1"/>
  <c r="P10" i="1"/>
  <c r="J18" i="1"/>
  <c r="R24" i="1"/>
  <c r="AJ32" i="1"/>
  <c r="D15" i="1"/>
  <c r="U43" i="1"/>
  <c r="H38" i="1"/>
  <c r="AI13" i="1"/>
  <c r="N35" i="1"/>
  <c r="AB37" i="1"/>
  <c r="AG19" i="1"/>
  <c r="I29" i="1"/>
  <c r="AJ7" i="1"/>
  <c r="L12" i="1"/>
  <c r="R39" i="1"/>
  <c r="U21" i="1"/>
  <c r="D9" i="1"/>
  <c r="W7" i="1"/>
  <c r="K39" i="1"/>
  <c r="F7" i="1"/>
  <c r="E26" i="1"/>
  <c r="AJ44" i="1"/>
  <c r="AE17" i="1"/>
  <c r="AF22" i="1"/>
  <c r="D13" i="1"/>
  <c r="N37" i="1"/>
  <c r="U15" i="1"/>
  <c r="AA40" i="1"/>
  <c r="S25" i="1"/>
  <c r="U39" i="1"/>
  <c r="AH12" i="1"/>
  <c r="AE37" i="1"/>
  <c r="Y6" i="1"/>
  <c r="AB27" i="1"/>
  <c r="R44" i="1"/>
  <c r="C21" i="1"/>
  <c r="AH35" i="1"/>
  <c r="O30" i="1"/>
  <c r="AG17" i="1"/>
  <c r="V32" i="1"/>
  <c r="AH9" i="1"/>
  <c r="AC39" i="1"/>
  <c r="C9" i="1"/>
  <c r="M27" i="1"/>
  <c r="AA6" i="1"/>
  <c r="K12" i="1"/>
  <c r="Q9" i="1"/>
  <c r="W22" i="1"/>
  <c r="I28" i="1"/>
  <c r="E16" i="1"/>
  <c r="O35" i="1"/>
  <c r="G21" i="1"/>
  <c r="AJ42" i="1"/>
  <c r="C29" i="1"/>
  <c r="AB25" i="1"/>
  <c r="D41" i="1"/>
  <c r="V13" i="1"/>
  <c r="B13" i="1"/>
  <c r="AC24" i="1"/>
  <c r="X37" i="1"/>
  <c r="Y31" i="1"/>
  <c r="B20" i="1"/>
  <c r="N31" i="1"/>
  <c r="R23" i="1"/>
  <c r="K38" i="1"/>
  <c r="T29" i="1"/>
  <c r="F18" i="1"/>
  <c r="R16" i="1"/>
  <c r="AB36" i="1"/>
  <c r="T37" i="1"/>
  <c r="F38" i="1"/>
  <c r="F42" i="1"/>
  <c r="AD9" i="1"/>
  <c r="N23" i="1"/>
  <c r="AH33" i="1"/>
  <c r="S37" i="1"/>
  <c r="G12" i="1"/>
  <c r="AJ17" i="1"/>
  <c r="AD44" i="1"/>
  <c r="F6" i="1"/>
  <c r="AB20" i="1"/>
  <c r="Y23" i="1"/>
  <c r="T33" i="1"/>
  <c r="AF11" i="1"/>
  <c r="AF42" i="1"/>
  <c r="C35" i="1"/>
  <c r="T10" i="1"/>
  <c r="AB17" i="1"/>
  <c r="J26" i="1"/>
  <c r="P11" i="1"/>
  <c r="O8" i="1"/>
  <c r="I32" i="1"/>
  <c r="C16" i="1"/>
  <c r="L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53874-6319-4CB0-97D2-89F4A35A5C11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<sst xmlns="http://schemas.openxmlformats.org/spreadsheetml/2006/main" count="398" uniqueCount="189">
  <si>
    <t>选手</t>
    <phoneticPr fontId="2" type="noConversion"/>
  </si>
  <si>
    <t>图池数</t>
    <phoneticPr fontId="2" type="noConversion"/>
  </si>
  <si>
    <t>rating</t>
    <phoneticPr fontId="2" type="noConversion"/>
  </si>
  <si>
    <t>选手ID</t>
  </si>
  <si>
    <t>图池数</t>
  </si>
  <si>
    <t>rating</t>
  </si>
  <si>
    <t>rounds</t>
  </si>
  <si>
    <t>CTrating</t>
  </si>
  <si>
    <t>Trating</t>
  </si>
  <si>
    <t>首杀尝试</t>
  </si>
  <si>
    <t>首杀成功</t>
  </si>
  <si>
    <t>首杀rating</t>
  </si>
  <si>
    <t>手枪局rating</t>
  </si>
  <si>
    <t>DPR</t>
  </si>
  <si>
    <t>KAST</t>
  </si>
  <si>
    <t>ADR</t>
  </si>
  <si>
    <t>KPR</t>
  </si>
  <si>
    <t>map vs top5</t>
  </si>
  <si>
    <t>rating vs top5</t>
  </si>
  <si>
    <t>map vs top10</t>
  </si>
  <si>
    <t>rating vs top10</t>
  </si>
  <si>
    <t>0.85+</t>
  </si>
  <si>
    <t>1.00+</t>
  </si>
  <si>
    <t>1.15+</t>
  </si>
  <si>
    <t>1.30+</t>
  </si>
  <si>
    <t>排名</t>
    <phoneticPr fontId="2" type="noConversion"/>
  </si>
  <si>
    <t>kill per round win</t>
  </si>
  <si>
    <t>elimination rating</t>
  </si>
  <si>
    <t>adr win</t>
  </si>
  <si>
    <t>win after first kill</t>
  </si>
  <si>
    <t>save per round lose</t>
  </si>
  <si>
    <t>damage per kill</t>
  </si>
  <si>
    <t>last alive percentage</t>
  </si>
  <si>
    <t>kpr lose</t>
  </si>
  <si>
    <t>adr lose</t>
  </si>
  <si>
    <t>assist kill percentage</t>
  </si>
  <si>
    <t>KD diff</t>
  </si>
  <si>
    <t>map vs top20</t>
  </si>
  <si>
    <t>rating vs top20</t>
  </si>
  <si>
    <t>回合首杀数</t>
  </si>
  <si>
    <t>Rounds with a kill</t>
  </si>
  <si>
    <t>ROunds with a multikill</t>
  </si>
  <si>
    <t>3+kill</t>
  </si>
  <si>
    <t>clutch win</t>
  </si>
  <si>
    <t>clutch point per round</t>
  </si>
  <si>
    <t>traded_kill</t>
  </si>
  <si>
    <t>traded_death</t>
  </si>
  <si>
    <t>flash_assist</t>
  </si>
  <si>
    <t>utility_damage</t>
  </si>
  <si>
    <t>firepower</t>
  </si>
  <si>
    <t>entrying</t>
  </si>
  <si>
    <t>trading</t>
  </si>
  <si>
    <t>opening</t>
  </si>
  <si>
    <t>clutching</t>
  </si>
  <si>
    <t>sniping</t>
  </si>
  <si>
    <t>utility</t>
  </si>
  <si>
    <t>基础数据（用于参考）</t>
    <phoneticPr fontId="2" type="noConversion"/>
  </si>
  <si>
    <t>爆头率</t>
    <phoneticPr fontId="2" type="noConversion"/>
  </si>
  <si>
    <t>HLTV属性值</t>
    <phoneticPr fontId="2" type="noConversion"/>
  </si>
  <si>
    <t>突破Enrty-ing</t>
    <phoneticPr fontId="2" type="noConversion"/>
  </si>
  <si>
    <t>火力Fire-power</t>
    <phoneticPr fontId="2" type="noConversion"/>
  </si>
  <si>
    <t>补枪Trad-ing</t>
    <phoneticPr fontId="2" type="noConversion"/>
  </si>
  <si>
    <t>破局Open-ing</t>
    <phoneticPr fontId="2" type="noConversion"/>
  </si>
  <si>
    <t>残局Clutch-ing</t>
    <phoneticPr fontId="2" type="noConversion"/>
  </si>
  <si>
    <t>狙击Snip-ing</t>
    <phoneticPr fontId="2" type="noConversion"/>
  </si>
  <si>
    <t>道具 Utility</t>
    <phoneticPr fontId="2" type="noConversion"/>
  </si>
  <si>
    <t>回合</t>
    <phoneticPr fontId="2" type="noConversion"/>
  </si>
  <si>
    <t>elimination round</t>
  </si>
  <si>
    <t>traded_death_percentage</t>
  </si>
  <si>
    <t>HS%</t>
  </si>
  <si>
    <t>singlemapwinrating</t>
  </si>
  <si>
    <t>save_teammate</t>
  </si>
  <si>
    <t>saved_by_teammate</t>
  </si>
  <si>
    <t>support_round_percent</t>
  </si>
  <si>
    <t>attack_in_round</t>
  </si>
  <si>
    <t>winrate_1v1</t>
  </si>
  <si>
    <t>livetime_perround</t>
  </si>
  <si>
    <t>snipkill_perround</t>
  </si>
  <si>
    <t>snipkill_percent</t>
  </si>
  <si>
    <t>snipkillround_percent</t>
  </si>
  <si>
    <t>utlility_kill_round</t>
  </si>
  <si>
    <t>throw_flash_perround</t>
  </si>
  <si>
    <t>time_opponent_flashed</t>
  </si>
  <si>
    <t>回家局 Elimination rating</t>
    <phoneticPr fontId="2" type="noConversion"/>
  </si>
  <si>
    <t>高压状态表现</t>
    <phoneticPr fontId="2" type="noConversion"/>
  </si>
  <si>
    <t>-</t>
  </si>
  <si>
    <t>trade_kill_percentage</t>
  </si>
  <si>
    <t>HLTV在TOP20评选极少/没有提及过，但是有趣/有参考意义的一些数据</t>
    <phoneticPr fontId="2" type="noConversion"/>
  </si>
  <si>
    <t>失败   回合   KPR</t>
    <phoneticPr fontId="2" type="noConversion"/>
  </si>
  <si>
    <t>失败   回合   ADR</t>
    <phoneticPr fontId="2" type="noConversion"/>
  </si>
  <si>
    <t>回合    残局   点数</t>
    <phoneticPr fontId="2" type="noConversion"/>
  </si>
  <si>
    <t>3+kill 回合   占比</t>
    <phoneticPr fontId="2" type="noConversion"/>
  </si>
  <si>
    <t>闪光   助攻</t>
    <phoneticPr fontId="2" type="noConversion"/>
  </si>
  <si>
    <t>道具   伤害</t>
    <phoneticPr fontId="2" type="noConversion"/>
  </si>
  <si>
    <t>助攻   击杀   占比</t>
    <phoneticPr fontId="2" type="noConversion"/>
  </si>
  <si>
    <t>每击杀   造成   伤害</t>
    <phoneticPr fontId="2" type="noConversion"/>
  </si>
  <si>
    <t>回合    被队友    拯救    次数</t>
    <phoneticPr fontId="2" type="noConversion"/>
  </si>
  <si>
    <t>回合    拯救    队友    次数</t>
    <phoneticPr fontId="2" type="noConversion"/>
  </si>
  <si>
    <t>贡献    回合    占比</t>
    <phoneticPr fontId="2" type="noConversion"/>
  </si>
  <si>
    <t>回合    主动    出击    次数</t>
    <phoneticPr fontId="2" type="noConversion"/>
  </si>
  <si>
    <t>最后    存活   率</t>
    <phoneticPr fontId="2" type="noConversion"/>
  </si>
  <si>
    <t>回合    存活    时间</t>
    <phoneticPr fontId="2" type="noConversion"/>
  </si>
  <si>
    <t>回合   狙杀   数</t>
    <phoneticPr fontId="2" type="noConversion"/>
  </si>
  <si>
    <t>狙杀   占比</t>
    <phoneticPr fontId="2" type="noConversion"/>
  </si>
  <si>
    <t>狙杀   回合   占比</t>
    <phoneticPr fontId="2" type="noConversion"/>
  </si>
  <si>
    <t>回合   闪光   投掷数</t>
    <phoneticPr fontId="2" type="noConversion"/>
  </si>
  <si>
    <t>敌人    平均    吃闪    时间</t>
    <phoneticPr fontId="2" type="noConversion"/>
  </si>
  <si>
    <t>左侧的排名非实际排名，仅供参考                                                                                                           排名按照rating从高到低排序</t>
    <phoneticPr fontId="2" type="noConversion"/>
  </si>
  <si>
    <t xml:space="preserve">获胜    地图   rating  </t>
    <phoneticPr fontId="2" type="noConversion"/>
  </si>
  <si>
    <t>1v1       胜率</t>
    <phoneticPr fontId="2" type="noConversion"/>
  </si>
  <si>
    <t>百回合      道具      击杀数</t>
    <phoneticPr fontId="2" type="noConversion"/>
  </si>
  <si>
    <t>RS</t>
  </si>
  <si>
    <t>DPR_eco</t>
  </si>
  <si>
    <t>KAST_eco</t>
  </si>
  <si>
    <t>MULTIKILL_eco</t>
  </si>
  <si>
    <t>ADR_eco</t>
  </si>
  <si>
    <t>KPR_eco</t>
  </si>
  <si>
    <t>rating 3.0</t>
    <phoneticPr fontId="2" type="noConversion"/>
  </si>
  <si>
    <t>frozen</t>
  </si>
  <si>
    <t>jcobbb</t>
  </si>
  <si>
    <t>karrigan</t>
  </si>
  <si>
    <t>broky</t>
  </si>
  <si>
    <t>sAw</t>
  </si>
  <si>
    <t>npl</t>
  </si>
  <si>
    <t>Twistzz</t>
  </si>
  <si>
    <t>noway</t>
  </si>
  <si>
    <t>Jame</t>
  </si>
  <si>
    <t>headtr1ck</t>
  </si>
  <si>
    <t>VINI</t>
  </si>
  <si>
    <t>nota</t>
  </si>
  <si>
    <t>esenthial</t>
  </si>
  <si>
    <t>chelo</t>
  </si>
  <si>
    <t>skullz</t>
  </si>
  <si>
    <t>BELCHONOKK</t>
  </si>
  <si>
    <t>alex666</t>
  </si>
  <si>
    <t>AW</t>
  </si>
  <si>
    <t>w0nderful</t>
  </si>
  <si>
    <t>b1t</t>
  </si>
  <si>
    <t>Maka</t>
  </si>
  <si>
    <t>Grim</t>
  </si>
  <si>
    <t>ultimate</t>
  </si>
  <si>
    <t>NertZ</t>
  </si>
  <si>
    <t>EliGE</t>
  </si>
  <si>
    <t>makazze</t>
  </si>
  <si>
    <t>nicx</t>
  </si>
  <si>
    <t>Graviti</t>
  </si>
  <si>
    <t>Ex3rcice</t>
  </si>
  <si>
    <t>iM</t>
  </si>
  <si>
    <t>hallzerk</t>
  </si>
  <si>
    <t>Lucky</t>
  </si>
  <si>
    <t>Aleksib</t>
  </si>
  <si>
    <t>siuhy</t>
  </si>
  <si>
    <t>donk</t>
  </si>
  <si>
    <t>KSCERATO</t>
  </si>
  <si>
    <t>molodoy</t>
  </si>
  <si>
    <t>ZywOo</t>
  </si>
  <si>
    <t>ropz</t>
  </si>
  <si>
    <t>sh1ro</t>
  </si>
  <si>
    <t>kyousuke</t>
  </si>
  <si>
    <t>controlez</t>
  </si>
  <si>
    <t>mzinho</t>
  </si>
  <si>
    <t>yuurih</t>
  </si>
  <si>
    <t>xertioN</t>
  </si>
  <si>
    <t>NiKo</t>
  </si>
  <si>
    <t>m0NESY</t>
  </si>
  <si>
    <t>FalleN</t>
  </si>
  <si>
    <t>bLitz</t>
  </si>
  <si>
    <t>mezii</t>
  </si>
  <si>
    <t>Spinx</t>
  </si>
  <si>
    <t>Jimpphat</t>
  </si>
  <si>
    <t>910</t>
  </si>
  <si>
    <t>chopper</t>
  </si>
  <si>
    <t>torzsi</t>
  </si>
  <si>
    <t>YEKINDAR</t>
  </si>
  <si>
    <t>kyxsan</t>
  </si>
  <si>
    <t>flameZ</t>
  </si>
  <si>
    <t>nqz</t>
  </si>
  <si>
    <t>tN1R</t>
  </si>
  <si>
    <t>MATYS</t>
  </si>
  <si>
    <t>apEX</t>
  </si>
  <si>
    <t>TeSeS</t>
  </si>
  <si>
    <t>zweih</t>
  </si>
  <si>
    <t>Techno</t>
  </si>
  <si>
    <t>malbsMd</t>
  </si>
  <si>
    <t>dav1deuS</t>
  </si>
  <si>
    <t>huNter-</t>
  </si>
  <si>
    <t>Brollan</t>
  </si>
  <si>
    <t>snow</t>
  </si>
  <si>
    <t>SL布达佩斯Major淘汰赛 赛事数据（TOP20 not so mentioned） made by @Viston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</si>
</sst>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.000"/>
    <numFmt numFmtId="178" formatCode="0.00_);[Red]\(0.00\)"/>
    <numFmt numFmtId="179" formatCode="0_);[Red]\(0\)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76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/>
    <xf numFmtId="10" fontId="0" fillId="0" borderId="0" xfId="0" applyNumberFormat="1" applyAlignment="1"/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76" fontId="0" fillId="0" borderId="1" xfId="1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8" fontId="6" fillId="0" borderId="1" xfId="1" applyNumberFormat="1" applyFont="1" applyBorder="1" applyAlignment="1">
      <alignment horizontal="center" vertical="center" wrapText="1"/>
    </xf>
    <xf numFmtId="178" fontId="0" fillId="0" borderId="1" xfId="1" applyNumberFormat="1" applyFont="1" applyBorder="1" applyAlignment="1">
      <alignment horizontal="center" vertical="center" wrapText="1"/>
    </xf>
    <xf numFmtId="179" fontId="0" fillId="0" borderId="1" xfId="1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76" fontId="7" fillId="0" borderId="5" xfId="1" applyNumberFormat="1" applyFont="1" applyBorder="1" applyAlignment="1">
      <alignment horizontal="center" vertical="center" wrapText="1"/>
    </xf>
    <xf numFmtId="176" fontId="3" fillId="0" borderId="6" xfId="1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76" fontId="7" fillId="0" borderId="6" xfId="1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2CDC-A35B-46F5-9264-B306814308BE}">
  <dimension ref="A1:CH183"/>
  <sheetViews>
    <sheetView tabSelected="1" topLeftCell="A19" zoomScale="90" zoomScaleNormal="90" workbookViewId="0">
      <selection activeCell="R62" sqref="R62"/>
    </sheetView>
  </sheetViews>
  <sheetFormatPr defaultColWidth="6.33203125" defaultRowHeight="19.899999999999999" customHeight="1" x14ac:dyDescent="0.3"/>
  <cols>
    <col min="1" max="1" width="5.33203125" customWidth="1"/>
    <col min="2" max="2" width="12" customWidth="1"/>
    <col min="3" max="9" width="6.5" bestFit="1" customWidth="1"/>
    <col min="10" max="10" width="6.33203125" style="3" customWidth="1"/>
    <col min="11" max="12" width="6.5" style="3" bestFit="1" customWidth="1"/>
    <col min="13" max="19" width="6.5" bestFit="1" customWidth="1"/>
    <col min="20" max="20" width="6.83203125" bestFit="1" customWidth="1"/>
    <col min="21" max="25" width="6.5" bestFit="1" customWidth="1"/>
    <col min="26" max="26" width="6.5" style="3" bestFit="1" customWidth="1"/>
    <col min="27" max="27" width="6.5" bestFit="1" customWidth="1"/>
    <col min="28" max="30" width="6.5" style="3" bestFit="1" customWidth="1"/>
    <col min="31" max="33" width="6.5" bestFit="1" customWidth="1"/>
    <col min="35" max="36" width="6.33203125" hidden="1" customWidth="1"/>
  </cols>
  <sheetData>
    <row r="1" spans="1:42" ht="55.5" customHeight="1" x14ac:dyDescent="0.3">
      <c r="A1" s="25" t="s">
        <v>107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34" t="s">
        <v>188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20"/>
      <c r="AL1" s="20"/>
      <c r="AM1" s="20"/>
      <c r="AN1" s="20"/>
      <c r="AO1" s="20"/>
      <c r="AP1" s="20"/>
    </row>
    <row r="2" spans="1:42" ht="30.75" customHeight="1" x14ac:dyDescent="0.3">
      <c r="A2" s="28" t="s">
        <v>56</v>
      </c>
      <c r="B2" s="29"/>
      <c r="C2" s="29"/>
      <c r="D2" s="30"/>
      <c r="E2" s="42" t="s">
        <v>87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4"/>
      <c r="AB2" s="33" t="s">
        <v>58</v>
      </c>
      <c r="AC2" s="33"/>
      <c r="AD2" s="33"/>
      <c r="AE2" s="33"/>
      <c r="AF2" s="33"/>
      <c r="AG2" s="33"/>
      <c r="AH2" s="33"/>
      <c r="AI2" s="33" t="s">
        <v>84</v>
      </c>
      <c r="AJ2" s="42"/>
      <c r="AK2" s="21"/>
      <c r="AL2" s="21"/>
      <c r="AM2" s="21"/>
      <c r="AN2" s="21"/>
      <c r="AO2" s="21"/>
      <c r="AP2" s="21"/>
    </row>
    <row r="3" spans="1:42" ht="44.25" customHeight="1" x14ac:dyDescent="0.3">
      <c r="A3" s="26" t="s">
        <v>25</v>
      </c>
      <c r="B3" s="26" t="s">
        <v>0</v>
      </c>
      <c r="C3" s="26" t="s">
        <v>1</v>
      </c>
      <c r="D3" s="26" t="s">
        <v>117</v>
      </c>
      <c r="E3" s="26" t="s">
        <v>91</v>
      </c>
      <c r="F3" s="26" t="s">
        <v>90</v>
      </c>
      <c r="G3" s="32" t="s">
        <v>57</v>
      </c>
      <c r="H3" s="26" t="s">
        <v>92</v>
      </c>
      <c r="I3" s="26" t="s">
        <v>93</v>
      </c>
      <c r="J3" s="37" t="s">
        <v>108</v>
      </c>
      <c r="K3" s="37" t="s">
        <v>88</v>
      </c>
      <c r="L3" s="37" t="s">
        <v>89</v>
      </c>
      <c r="M3" s="35" t="s">
        <v>94</v>
      </c>
      <c r="N3" s="26" t="s">
        <v>95</v>
      </c>
      <c r="O3" s="35" t="s">
        <v>96</v>
      </c>
      <c r="P3" s="35" t="s">
        <v>97</v>
      </c>
      <c r="Q3" s="39" t="s">
        <v>98</v>
      </c>
      <c r="R3" s="39" t="s">
        <v>99</v>
      </c>
      <c r="S3" s="41" t="s">
        <v>100</v>
      </c>
      <c r="T3" s="41" t="s">
        <v>109</v>
      </c>
      <c r="U3" s="26" t="s">
        <v>101</v>
      </c>
      <c r="V3" s="26" t="s">
        <v>102</v>
      </c>
      <c r="W3" s="26" t="s">
        <v>103</v>
      </c>
      <c r="X3" s="26" t="s">
        <v>104</v>
      </c>
      <c r="Y3" s="26" t="s">
        <v>110</v>
      </c>
      <c r="Z3" s="27" t="s">
        <v>105</v>
      </c>
      <c r="AA3" s="26" t="s">
        <v>106</v>
      </c>
      <c r="AB3" s="27" t="s">
        <v>60</v>
      </c>
      <c r="AC3" s="27" t="s">
        <v>59</v>
      </c>
      <c r="AD3" s="26" t="s">
        <v>61</v>
      </c>
      <c r="AE3" s="26" t="s">
        <v>62</v>
      </c>
      <c r="AF3" s="27" t="s">
        <v>63</v>
      </c>
      <c r="AG3" s="27" t="s">
        <v>64</v>
      </c>
      <c r="AH3" s="26" t="s">
        <v>65</v>
      </c>
      <c r="AI3" s="26" t="s">
        <v>83</v>
      </c>
      <c r="AJ3" s="31"/>
      <c r="AK3" s="9"/>
      <c r="AL3" s="9"/>
      <c r="AM3" s="26"/>
      <c r="AN3" s="26"/>
      <c r="AO3" s="26"/>
      <c r="AP3" s="26"/>
    </row>
    <row r="4" spans="1:42" ht="27" customHeight="1" x14ac:dyDescent="0.3">
      <c r="A4" s="26"/>
      <c r="B4" s="26"/>
      <c r="C4" s="26"/>
      <c r="D4" s="26"/>
      <c r="E4" s="26"/>
      <c r="F4" s="26"/>
      <c r="G4" s="32"/>
      <c r="H4" s="26"/>
      <c r="I4" s="26"/>
      <c r="J4" s="38"/>
      <c r="K4" s="45"/>
      <c r="L4" s="45"/>
      <c r="M4" s="36"/>
      <c r="N4" s="26"/>
      <c r="O4" s="36"/>
      <c r="P4" s="36"/>
      <c r="Q4" s="40"/>
      <c r="R4" s="40"/>
      <c r="S4" s="26"/>
      <c r="T4" s="26"/>
      <c r="U4" s="26"/>
      <c r="V4" s="26"/>
      <c r="W4" s="26"/>
      <c r="X4" s="26"/>
      <c r="Y4" s="26"/>
      <c r="Z4" s="27"/>
      <c r="AA4" s="26"/>
      <c r="AB4" s="27"/>
      <c r="AC4" s="27"/>
      <c r="AD4" s="26"/>
      <c r="AE4" s="26"/>
      <c r="AF4" s="27"/>
      <c r="AG4" s="27"/>
      <c r="AH4" s="26"/>
      <c r="AI4" s="1" t="s">
        <v>66</v>
      </c>
      <c r="AJ4" s="12" t="s">
        <v>2</v>
      </c>
      <c r="AK4" s="1"/>
      <c r="AL4" s="1"/>
      <c r="AM4" s="1"/>
      <c r="AN4" s="1"/>
      <c r="AO4" s="1"/>
      <c r="AP4" s="1"/>
    </row>
    <row r="5" spans="1:42" ht="19.899999999999999" customHeight="1" x14ac:dyDescent="0.3">
      <c r="A5" s="2">
        <v>1</v>
      </c>
      <c r="B5" s="10" t="str">
        <f t="shared" ref="B5:B68" ca="1" si="0">INDIRECT(ADDRESS(ROW($B103),COLUMN($B103)))</f>
        <v>donk</v>
      </c>
      <c r="C5" s="4">
        <f t="shared" ref="C5:C68" ca="1" si="1">INDIRECT(ADDRESS(ROW($C103),COLUMN($C103)))</f>
        <v>4</v>
      </c>
      <c r="D5" s="5">
        <f t="shared" ref="D5:D68" ca="1" si="2">INDIRECT(ADDRESS(ROW($D103),COLUMN($D103)))</f>
        <v>1.41</v>
      </c>
      <c r="E5" s="6">
        <f t="shared" ref="E5:E68" ca="1" si="3">INDIRECT(ADDRESS(ROW($AF103),COLUMN($AF103)))</f>
        <v>8.8235294117647065E-2</v>
      </c>
      <c r="F5" s="15">
        <f t="shared" ref="F5:F68" ca="1" si="4">INDIRECT(ADDRESS(ROW($AL103),COLUMN($AL103)))</f>
        <v>0</v>
      </c>
      <c r="G5" s="6">
        <f t="shared" ref="G5:G68" ca="1" si="5">INDIRECT(ADDRESS(ROW($BI103),COLUMN($BI103)))</f>
        <v>0.54800000000000004</v>
      </c>
      <c r="H5" s="5">
        <f t="shared" ref="H5:H68" ca="1" si="6">INDIRECT(ADDRESS(ROW($AZ103),COLUMN($AZ103)))</f>
        <v>0.01</v>
      </c>
      <c r="I5" s="5">
        <f t="shared" ref="I5:I68" ca="1" si="7">INDIRECT(ADDRESS(ROW($BA103),COLUMN($BA103)))</f>
        <v>2.66</v>
      </c>
      <c r="J5" s="16">
        <f t="shared" ref="J5:J68" ca="1" si="8">INDIRECT(ADDRESS(ROW($BJ103),COLUMN($BJ103)))</f>
        <v>1.536888888888889</v>
      </c>
      <c r="K5" s="16">
        <f t="shared" ref="K5:K68" ca="1" si="9">INDIRECT(ADDRESS(ROW($AV103),COLUMN($AV103)))</f>
        <v>0.58750000000000002</v>
      </c>
      <c r="L5" s="16">
        <f t="shared" ref="L5:L68" ca="1" si="10">INDIRECT(ADDRESS(ROW($AW103),COLUMN($AW103)))</f>
        <v>59.799999999999983</v>
      </c>
      <c r="M5" s="14">
        <f t="shared" ref="M5:M68" ca="1" si="11">INDIRECT(ADDRESS(ROW($AS103),COLUMN($AS103)))</f>
        <v>0.20399999999999999</v>
      </c>
      <c r="N5" s="18">
        <f t="shared" ref="N5:N68" ca="1" si="12">INDIRECT(ADDRESS(ROW($AT103),COLUMN($AT103)))</f>
        <v>102</v>
      </c>
      <c r="O5" s="2">
        <f t="shared" ref="O5:O68" ca="1" si="13">INDIRECT(ADDRESS(ROW($BM103),COLUMN($BM103)))</f>
        <v>0.08</v>
      </c>
      <c r="P5" s="13">
        <f t="shared" ref="P5:P68" ca="1" si="14">INDIRECT(ADDRESS(ROW($BL103),COLUMN($BL103)))</f>
        <v>0.14000000000000001</v>
      </c>
      <c r="Q5" s="14">
        <f t="shared" ref="Q5:Q68" ca="1" si="15">INDIRECT(ADDRESS(ROW($BN103),COLUMN($BN103)))</f>
        <v>0.13700000000000001</v>
      </c>
      <c r="R5" s="13">
        <f t="shared" ref="R5:R68" ca="1" si="16">INDIRECT(ADDRESS(ROW($BO103),COLUMN($BO103)))</f>
        <v>2.96</v>
      </c>
      <c r="S5" s="14">
        <f t="shared" ref="S5:S68" ca="1" si="17">INDIRECT(ADDRESS(ROW($AU103),COLUMN($AU103)))</f>
        <v>0.108</v>
      </c>
      <c r="T5" s="14" t="str">
        <f t="shared" ref="T5:T68" ca="1" si="18">INDIRECT(ADDRESS(ROW($BP103),COLUMN($BP103)))</f>
        <v>-</v>
      </c>
      <c r="U5" s="2">
        <f t="shared" ref="U5:U68" ca="1" si="19">INDIRECT(ADDRESS(ROW($BQ103),COLUMN($BQ103)))</f>
        <v>76</v>
      </c>
      <c r="V5" s="17">
        <f t="shared" ref="V5:V68" ca="1" si="20">INDIRECT(ADDRESS(ROW($BR103),COLUMN($BR103)))</f>
        <v>0.05</v>
      </c>
      <c r="W5" s="14">
        <f t="shared" ref="W5:W68" ca="1" si="21">INDIRECT(ADDRESS(ROW($BS103),COLUMN($BS103)))</f>
        <v>5.3999999999999999E-2</v>
      </c>
      <c r="X5" s="14">
        <f t="shared" ref="X5:X68" ca="1" si="22">INDIRECT(ADDRESS(ROW($BT103),COLUMN($BT103)))</f>
        <v>2.9000000000000001E-2</v>
      </c>
      <c r="Y5" s="13">
        <f t="shared" ref="Y5:Y68" ca="1" si="23">INDIRECT(ADDRESS(ROW($BU103),COLUMN($BU103)))</f>
        <v>0</v>
      </c>
      <c r="Z5" s="13">
        <f t="shared" ref="Z5:Z68" ca="1" si="24">INDIRECT(ADDRESS(ROW($BV103),COLUMN($BV103)))</f>
        <v>0.56000000000000005</v>
      </c>
      <c r="AA5" s="17">
        <f t="shared" ref="AA5:AA68" ca="1" si="25">INDIRECT(ADDRESS(ROW($BW103),COLUMN($BW103)))</f>
        <v>2.44</v>
      </c>
      <c r="AB5" s="2">
        <f t="shared" ref="AB5:AB68" ca="1" si="26">INDIRECT(ADDRESS(ROW($BB103),COLUMN($BB103)))</f>
        <v>100</v>
      </c>
      <c r="AC5" s="2">
        <f t="shared" ref="AC5:AC68" ca="1" si="27">INDIRECT(ADDRESS(ROW($BC103),COLUMN($BC103)))</f>
        <v>40</v>
      </c>
      <c r="AD5" s="18">
        <f t="shared" ref="AD5:AD68" ca="1" si="28">INDIRECT(ADDRESS(ROW($BD103),COLUMN($BD103)))</f>
        <v>86</v>
      </c>
      <c r="AE5" s="18">
        <f t="shared" ref="AE5:AE68" ca="1" si="29">INDIRECT(ADDRESS(ROW($BE103),COLUMN($BE103)))</f>
        <v>86</v>
      </c>
      <c r="AF5" s="18">
        <f t="shared" ref="AF5:AF68" ca="1" si="30">INDIRECT(ADDRESS(ROW($BF103),COLUMN($BF103)))</f>
        <v>17</v>
      </c>
      <c r="AG5" s="18">
        <f t="shared" ref="AG5:AG68" ca="1" si="31">INDIRECT(ADDRESS(ROW($BG103),COLUMN($BG103)))</f>
        <v>13</v>
      </c>
      <c r="AH5" s="18">
        <f t="shared" ref="AH5:AH68" ca="1" si="32">INDIRECT(ADDRESS(ROW($BH103),COLUMN($BH103)))</f>
        <v>35</v>
      </c>
      <c r="AI5" s="2">
        <f t="shared" ref="AI5:AI44" ca="1" si="33">INDIRECT(ADDRESS(ROW($AN103),COLUMN($AN103)))</f>
        <v>0</v>
      </c>
      <c r="AJ5" s="19" t="str">
        <f t="shared" ref="AJ5:AJ44" ca="1" si="34">INDIRECT(ADDRESS(ROW($AO103),COLUMN($AO103)))</f>
        <v>-</v>
      </c>
      <c r="AK5" s="2"/>
      <c r="AL5" s="13"/>
      <c r="AM5" s="2"/>
      <c r="AN5" s="13"/>
      <c r="AO5" s="2"/>
      <c r="AP5" s="13"/>
    </row>
    <row r="6" spans="1:42" ht="19.899999999999999" customHeight="1" x14ac:dyDescent="0.3">
      <c r="A6" s="2">
        <v>2</v>
      </c>
      <c r="B6" s="10" t="str">
        <f t="shared" ca="1" si="0"/>
        <v>ropz</v>
      </c>
      <c r="C6" s="4">
        <f t="shared" ca="1" si="1"/>
        <v>8</v>
      </c>
      <c r="D6" s="5">
        <f t="shared" ca="1" si="2"/>
        <v>1.4</v>
      </c>
      <c r="E6" s="6">
        <f t="shared" ca="1" si="3"/>
        <v>5.4878048780487812E-2</v>
      </c>
      <c r="F6" s="15">
        <f t="shared" ca="1" si="4"/>
        <v>4.2682926829268303E-2</v>
      </c>
      <c r="G6" s="6">
        <f t="shared" ca="1" si="5"/>
        <v>0.47399999999999998</v>
      </c>
      <c r="H6" s="5">
        <f t="shared" ca="1" si="6"/>
        <v>0.02</v>
      </c>
      <c r="I6" s="5">
        <f t="shared" ca="1" si="7"/>
        <v>3.6</v>
      </c>
      <c r="J6" s="16">
        <f t="shared" ca="1" si="8"/>
        <v>1.5004827586206899</v>
      </c>
      <c r="K6" s="16">
        <f t="shared" ca="1" si="9"/>
        <v>0.59213114754098373</v>
      </c>
      <c r="L6" s="16">
        <f t="shared" ca="1" si="10"/>
        <v>71.821311475409843</v>
      </c>
      <c r="M6" s="14">
        <f t="shared" ca="1" si="11"/>
        <v>0.17</v>
      </c>
      <c r="N6" s="18">
        <f t="shared" ca="1" si="12"/>
        <v>107</v>
      </c>
      <c r="O6" s="2">
        <f t="shared" ca="1" si="13"/>
        <v>7.0000000000000007E-2</v>
      </c>
      <c r="P6" s="13">
        <f t="shared" ca="1" si="14"/>
        <v>0.13</v>
      </c>
      <c r="Q6" s="14">
        <f t="shared" ca="1" si="15"/>
        <v>0.23799999999999999</v>
      </c>
      <c r="R6" s="13">
        <f t="shared" ca="1" si="16"/>
        <v>2.99</v>
      </c>
      <c r="S6" s="14">
        <f t="shared" ca="1" si="17"/>
        <v>0.104</v>
      </c>
      <c r="T6" s="14">
        <f t="shared" ca="1" si="18"/>
        <v>1</v>
      </c>
      <c r="U6" s="2">
        <f t="shared" ca="1" si="19"/>
        <v>78</v>
      </c>
      <c r="V6" s="17">
        <f t="shared" ca="1" si="20"/>
        <v>0.05</v>
      </c>
      <c r="W6" s="14">
        <f t="shared" ca="1" si="21"/>
        <v>5.8999999999999997E-2</v>
      </c>
      <c r="X6" s="14">
        <f t="shared" ca="1" si="22"/>
        <v>4.9000000000000002E-2</v>
      </c>
      <c r="Y6" s="13">
        <f t="shared" ca="1" si="23"/>
        <v>0.61</v>
      </c>
      <c r="Z6" s="13">
        <f t="shared" ca="1" si="24"/>
        <v>0.33</v>
      </c>
      <c r="AA6" s="17">
        <f t="shared" ca="1" si="25"/>
        <v>1.35</v>
      </c>
      <c r="AB6" s="2">
        <f t="shared" ca="1" si="26"/>
        <v>97</v>
      </c>
      <c r="AC6" s="2">
        <f t="shared" ca="1" si="27"/>
        <v>13</v>
      </c>
      <c r="AD6" s="18">
        <f t="shared" ca="1" si="28"/>
        <v>55</v>
      </c>
      <c r="AE6" s="18">
        <f t="shared" ca="1" si="29"/>
        <v>72</v>
      </c>
      <c r="AF6" s="18">
        <f t="shared" ca="1" si="30"/>
        <v>85</v>
      </c>
      <c r="AG6" s="18">
        <f t="shared" ca="1" si="31"/>
        <v>7</v>
      </c>
      <c r="AH6" s="18">
        <f t="shared" ca="1" si="32"/>
        <v>23</v>
      </c>
      <c r="AI6" s="2">
        <f t="shared" ca="1" si="33"/>
        <v>0</v>
      </c>
      <c r="AJ6" s="19" t="str">
        <f t="shared" ca="1" si="34"/>
        <v>-</v>
      </c>
      <c r="AK6" s="2"/>
      <c r="AL6" s="13"/>
      <c r="AM6" s="2"/>
      <c r="AN6" s="13"/>
      <c r="AO6" s="2"/>
      <c r="AP6" s="13"/>
    </row>
    <row r="7" spans="1:42" ht="19.899999999999999" customHeight="1" x14ac:dyDescent="0.3">
      <c r="A7" s="2">
        <v>3</v>
      </c>
      <c r="B7" s="10" t="str">
        <f t="shared" ca="1" si="0"/>
        <v>ZywOo</v>
      </c>
      <c r="C7" s="4">
        <f t="shared" ca="1" si="1"/>
        <v>8</v>
      </c>
      <c r="D7" s="5">
        <f t="shared" ca="1" si="2"/>
        <v>1.4</v>
      </c>
      <c r="E7" s="6">
        <f t="shared" ca="1" si="3"/>
        <v>7.3170731707317069E-2</v>
      </c>
      <c r="F7" s="15">
        <f t="shared" ca="1" si="4"/>
        <v>2.4390243902439029E-2</v>
      </c>
      <c r="G7" s="6">
        <f t="shared" ca="1" si="5"/>
        <v>0.27200000000000002</v>
      </c>
      <c r="H7" s="5">
        <f t="shared" ca="1" si="6"/>
        <v>0.1</v>
      </c>
      <c r="I7" s="5">
        <f t="shared" ca="1" si="7"/>
        <v>3.6</v>
      </c>
      <c r="J7" s="16">
        <f t="shared" ca="1" si="8"/>
        <v>1.497655172413793</v>
      </c>
      <c r="K7" s="16">
        <f t="shared" ca="1" si="9"/>
        <v>0.40049180327868872</v>
      </c>
      <c r="L7" s="16">
        <f ca="1">INDIRECT(ADDRESS(ROW($AW105),COLUMN($AW105)))</f>
        <v>41.190163934426202</v>
      </c>
      <c r="M7" s="14">
        <f t="shared" ca="1" si="11"/>
        <v>0.245</v>
      </c>
      <c r="N7" s="18">
        <f t="shared" ca="1" si="12"/>
        <v>98</v>
      </c>
      <c r="O7" s="2">
        <f t="shared" ca="1" si="13"/>
        <v>0.1</v>
      </c>
      <c r="P7" s="13">
        <f t="shared" ca="1" si="14"/>
        <v>0.13</v>
      </c>
      <c r="Q7" s="14">
        <f t="shared" ca="1" si="15"/>
        <v>0.16500000000000001</v>
      </c>
      <c r="R7" s="13">
        <f t="shared" ca="1" si="16"/>
        <v>2.14</v>
      </c>
      <c r="S7" s="14">
        <f t="shared" ca="1" si="17"/>
        <v>9.8000000000000004E-2</v>
      </c>
      <c r="T7" s="14">
        <f t="shared" ca="1" si="18"/>
        <v>1</v>
      </c>
      <c r="U7" s="2">
        <f t="shared" ca="1" si="19"/>
        <v>80</v>
      </c>
      <c r="V7" s="17">
        <f t="shared" ca="1" si="20"/>
        <v>0.51</v>
      </c>
      <c r="W7" s="14">
        <f t="shared" ca="1" si="21"/>
        <v>0.56499999999999995</v>
      </c>
      <c r="X7" s="14">
        <f t="shared" ca="1" si="22"/>
        <v>0.40200000000000002</v>
      </c>
      <c r="Y7" s="13">
        <f t="shared" ca="1" si="23"/>
        <v>0.61</v>
      </c>
      <c r="Z7" s="13">
        <f t="shared" ca="1" si="24"/>
        <v>0.69</v>
      </c>
      <c r="AA7" s="17">
        <f t="shared" ca="1" si="25"/>
        <v>1.96</v>
      </c>
      <c r="AB7" s="2">
        <f t="shared" ca="1" si="26"/>
        <v>99</v>
      </c>
      <c r="AC7" s="2">
        <f t="shared" ca="1" si="27"/>
        <v>17</v>
      </c>
      <c r="AD7" s="18">
        <f t="shared" ca="1" si="28"/>
        <v>40</v>
      </c>
      <c r="AE7" s="18">
        <f t="shared" ca="1" si="29"/>
        <v>82</v>
      </c>
      <c r="AF7" s="18">
        <f t="shared" ca="1" si="30"/>
        <v>60</v>
      </c>
      <c r="AG7" s="18">
        <f t="shared" ca="1" si="31"/>
        <v>96</v>
      </c>
      <c r="AH7" s="18">
        <f t="shared" ca="1" si="32"/>
        <v>59</v>
      </c>
      <c r="AI7" s="2">
        <f t="shared" ca="1" si="33"/>
        <v>0</v>
      </c>
      <c r="AJ7" s="19" t="str">
        <f t="shared" ca="1" si="34"/>
        <v>-</v>
      </c>
      <c r="AK7" s="2"/>
      <c r="AL7" s="13"/>
      <c r="AM7" s="2"/>
      <c r="AN7" s="13"/>
      <c r="AO7" s="2"/>
      <c r="AP7" s="13"/>
    </row>
    <row r="8" spans="1:42" ht="19.899999999999999" customHeight="1" x14ac:dyDescent="0.3">
      <c r="A8" s="2">
        <v>4</v>
      </c>
      <c r="B8" s="10" t="str">
        <f t="shared" ca="1" si="0"/>
        <v>makazze</v>
      </c>
      <c r="C8" s="4">
        <f t="shared" ca="1" si="1"/>
        <v>6</v>
      </c>
      <c r="D8" s="5">
        <f t="shared" ca="1" si="2"/>
        <v>1.32</v>
      </c>
      <c r="E8" s="6">
        <f t="shared" ca="1" si="3"/>
        <v>5.5555555555555552E-2</v>
      </c>
      <c r="F8" s="15">
        <f t="shared" ca="1" si="4"/>
        <v>7.9365079365079361E-3</v>
      </c>
      <c r="G8" s="6">
        <f t="shared" ca="1" si="5"/>
        <v>0.6</v>
      </c>
      <c r="H8" s="5">
        <f t="shared" ca="1" si="6"/>
        <v>0.02</v>
      </c>
      <c r="I8" s="5">
        <f t="shared" ca="1" si="7"/>
        <v>7.2</v>
      </c>
      <c r="J8" s="16">
        <f t="shared" ca="1" si="8"/>
        <v>2.0223076923076921</v>
      </c>
      <c r="K8" s="16">
        <f t="shared" ca="1" si="9"/>
        <v>0.42345454545454558</v>
      </c>
      <c r="L8" s="16">
        <f t="shared" ca="1" si="10"/>
        <v>59.529090909090897</v>
      </c>
      <c r="M8" s="14">
        <f t="shared" ca="1" si="11"/>
        <v>0.21099999999999999</v>
      </c>
      <c r="N8" s="18">
        <f t="shared" ca="1" si="12"/>
        <v>117</v>
      </c>
      <c r="O8" s="2">
        <f t="shared" ca="1" si="13"/>
        <v>0.11</v>
      </c>
      <c r="P8" s="13">
        <f t="shared" ca="1" si="14"/>
        <v>7.0000000000000007E-2</v>
      </c>
      <c r="Q8" s="14">
        <f t="shared" ca="1" si="15"/>
        <v>0.17499999999999999</v>
      </c>
      <c r="R8" s="13">
        <f t="shared" ca="1" si="16"/>
        <v>3.17</v>
      </c>
      <c r="S8" s="14">
        <f t="shared" ca="1" si="17"/>
        <v>6.3E-2</v>
      </c>
      <c r="T8" s="14">
        <f t="shared" ca="1" si="18"/>
        <v>0.5</v>
      </c>
      <c r="U8" s="2">
        <f t="shared" ca="1" si="19"/>
        <v>67</v>
      </c>
      <c r="V8" s="17">
        <f t="shared" ca="1" si="20"/>
        <v>0</v>
      </c>
      <c r="W8" s="14">
        <f t="shared" ca="1" si="21"/>
        <v>0</v>
      </c>
      <c r="X8" s="14" t="str">
        <f t="shared" ca="1" si="22"/>
        <v>-</v>
      </c>
      <c r="Y8" s="13">
        <f t="shared" ca="1" si="23"/>
        <v>0</v>
      </c>
      <c r="Z8" s="13">
        <f t="shared" ca="1" si="24"/>
        <v>0.61</v>
      </c>
      <c r="AA8" s="17">
        <f t="shared" ca="1" si="25"/>
        <v>2.19</v>
      </c>
      <c r="AB8" s="2">
        <f t="shared" ca="1" si="26"/>
        <v>91</v>
      </c>
      <c r="AC8" s="2">
        <f t="shared" ca="1" si="27"/>
        <v>86</v>
      </c>
      <c r="AD8" s="18">
        <f t="shared" ca="1" si="28"/>
        <v>11</v>
      </c>
      <c r="AE8" s="18">
        <f t="shared" ca="1" si="29"/>
        <v>90</v>
      </c>
      <c r="AF8" s="18">
        <f t="shared" ca="1" si="30"/>
        <v>24</v>
      </c>
      <c r="AG8" s="18">
        <f t="shared" ca="1" si="31"/>
        <v>0</v>
      </c>
      <c r="AH8" s="18">
        <f t="shared" ca="1" si="32"/>
        <v>68</v>
      </c>
      <c r="AI8" s="2">
        <f t="shared" ca="1" si="33"/>
        <v>0</v>
      </c>
      <c r="AJ8" s="19" t="str">
        <f t="shared" ca="1" si="34"/>
        <v>-</v>
      </c>
      <c r="AK8" s="2"/>
      <c r="AL8" s="13"/>
      <c r="AM8" s="2"/>
      <c r="AN8" s="13"/>
      <c r="AO8" s="2"/>
      <c r="AP8" s="13"/>
    </row>
    <row r="9" spans="1:42" ht="19.899999999999999" customHeight="1" x14ac:dyDescent="0.3">
      <c r="A9" s="2">
        <v>5</v>
      </c>
      <c r="B9" s="10" t="str">
        <f t="shared" ca="1" si="0"/>
        <v>mezii</v>
      </c>
      <c r="C9" s="4">
        <f t="shared" ca="1" si="1"/>
        <v>8</v>
      </c>
      <c r="D9" s="5">
        <f t="shared" ca="1" si="2"/>
        <v>1.3</v>
      </c>
      <c r="E9" s="6">
        <f t="shared" ca="1" si="3"/>
        <v>6.097560975609756E-2</v>
      </c>
      <c r="F9" s="15">
        <f t="shared" ca="1" si="4"/>
        <v>7.926829268292683E-2</v>
      </c>
      <c r="G9" s="6">
        <f t="shared" ca="1" si="5"/>
        <v>0.61899999999999999</v>
      </c>
      <c r="H9" s="5">
        <f t="shared" ca="1" si="6"/>
        <v>0.03</v>
      </c>
      <c r="I9" s="5">
        <f t="shared" ca="1" si="7"/>
        <v>4.7</v>
      </c>
      <c r="J9" s="16">
        <f t="shared" ca="1" si="8"/>
        <v>1.3763448275862069</v>
      </c>
      <c r="K9" s="16">
        <f t="shared" ca="1" si="9"/>
        <v>0.37704918032786883</v>
      </c>
      <c r="L9" s="16">
        <f t="shared" ca="1" si="10"/>
        <v>44.936065573770499</v>
      </c>
      <c r="M9" s="14">
        <f t="shared" ca="1" si="11"/>
        <v>0.27800000000000002</v>
      </c>
      <c r="N9" s="18">
        <f t="shared" ca="1" si="12"/>
        <v>102</v>
      </c>
      <c r="O9" s="2">
        <f t="shared" ca="1" si="13"/>
        <v>0.13</v>
      </c>
      <c r="P9" s="13">
        <f t="shared" ca="1" si="14"/>
        <v>0.13</v>
      </c>
      <c r="Q9" s="14">
        <f t="shared" ca="1" si="15"/>
        <v>0.25600000000000001</v>
      </c>
      <c r="R9" s="13">
        <f t="shared" ca="1" si="16"/>
        <v>2.73</v>
      </c>
      <c r="S9" s="14">
        <f t="shared" ca="1" si="17"/>
        <v>0.159</v>
      </c>
      <c r="T9" s="14">
        <f t="shared" ca="1" si="18"/>
        <v>0.71399999999999997</v>
      </c>
      <c r="U9" s="2">
        <f t="shared" ca="1" si="19"/>
        <v>82</v>
      </c>
      <c r="V9" s="17">
        <f t="shared" ca="1" si="20"/>
        <v>0</v>
      </c>
      <c r="W9" s="14">
        <f t="shared" ca="1" si="21"/>
        <v>0</v>
      </c>
      <c r="X9" s="14" t="str">
        <f t="shared" ca="1" si="22"/>
        <v>-</v>
      </c>
      <c r="Y9" s="13">
        <f t="shared" ca="1" si="23"/>
        <v>0.61</v>
      </c>
      <c r="Z9" s="13">
        <f t="shared" ca="1" si="24"/>
        <v>0.6</v>
      </c>
      <c r="AA9" s="17">
        <f t="shared" ca="1" si="25"/>
        <v>1.79</v>
      </c>
      <c r="AB9" s="2">
        <f t="shared" ca="1" si="26"/>
        <v>87</v>
      </c>
      <c r="AC9" s="2">
        <f t="shared" ca="1" si="27"/>
        <v>81</v>
      </c>
      <c r="AD9" s="18">
        <f t="shared" ca="1" si="28"/>
        <v>74</v>
      </c>
      <c r="AE9" s="18">
        <f t="shared" ca="1" si="29"/>
        <v>23</v>
      </c>
      <c r="AF9" s="18">
        <f t="shared" ca="1" si="30"/>
        <v>99</v>
      </c>
      <c r="AG9" s="18">
        <f t="shared" ca="1" si="31"/>
        <v>0</v>
      </c>
      <c r="AH9" s="18">
        <f t="shared" ca="1" si="32"/>
        <v>57</v>
      </c>
      <c r="AI9" s="2">
        <f t="shared" ca="1" si="33"/>
        <v>0</v>
      </c>
      <c r="AJ9" s="19" t="str">
        <f t="shared" ca="1" si="34"/>
        <v>-</v>
      </c>
      <c r="AK9" s="2"/>
      <c r="AL9" s="13"/>
      <c r="AM9" s="2"/>
      <c r="AN9" s="13"/>
      <c r="AO9" s="2"/>
      <c r="AP9" s="13"/>
    </row>
    <row r="10" spans="1:42" ht="19.899999999999999" customHeight="1" x14ac:dyDescent="0.3">
      <c r="A10" s="2">
        <v>6</v>
      </c>
      <c r="B10" s="10" t="str">
        <f t="shared" ca="1" si="0"/>
        <v>mzinho</v>
      </c>
      <c r="C10" s="4">
        <f t="shared" ca="1" si="1"/>
        <v>2</v>
      </c>
      <c r="D10" s="5">
        <f t="shared" ca="1" si="2"/>
        <v>1.23</v>
      </c>
      <c r="E10" s="6">
        <f t="shared" ca="1" si="3"/>
        <v>0.1142857142857143</v>
      </c>
      <c r="F10" s="15">
        <f t="shared" ca="1" si="4"/>
        <v>2.8571428571428571E-2</v>
      </c>
      <c r="G10" s="6">
        <f t="shared" ca="1" si="5"/>
        <v>0.621</v>
      </c>
      <c r="H10" s="5">
        <f t="shared" ca="1" si="6"/>
        <v>0</v>
      </c>
      <c r="I10" s="5">
        <f t="shared" ca="1" si="7"/>
        <v>0.97</v>
      </c>
      <c r="J10" s="16" t="str">
        <f t="shared" ca="1" si="8"/>
        <v>-</v>
      </c>
      <c r="K10" s="16">
        <f t="shared" ca="1" si="9"/>
        <v>0.46115384615384619</v>
      </c>
      <c r="L10" s="16">
        <f t="shared" ca="1" si="10"/>
        <v>58.934615384615377</v>
      </c>
      <c r="M10" s="14">
        <f t="shared" ca="1" si="11"/>
        <v>0.13800000000000001</v>
      </c>
      <c r="N10" s="18">
        <f t="shared" ca="1" si="12"/>
        <v>105</v>
      </c>
      <c r="O10" s="2">
        <f t="shared" ca="1" si="13"/>
        <v>0.03</v>
      </c>
      <c r="P10" s="13">
        <f t="shared" ca="1" si="14"/>
        <v>0.03</v>
      </c>
      <c r="Q10" s="14">
        <f t="shared" ca="1" si="15"/>
        <v>0.17100000000000001</v>
      </c>
      <c r="R10" s="13">
        <f t="shared" ca="1" si="16"/>
        <v>2.6</v>
      </c>
      <c r="S10" s="14">
        <f t="shared" ca="1" si="17"/>
        <v>0.114</v>
      </c>
      <c r="T10" s="14">
        <f t="shared" ca="1" si="18"/>
        <v>1</v>
      </c>
      <c r="U10" s="2">
        <f t="shared" ca="1" si="19"/>
        <v>64</v>
      </c>
      <c r="V10" s="17">
        <f t="shared" ca="1" si="20"/>
        <v>0</v>
      </c>
      <c r="W10" s="14">
        <f t="shared" ca="1" si="21"/>
        <v>0</v>
      </c>
      <c r="X10" s="14" t="str">
        <f t="shared" ca="1" si="22"/>
        <v>-</v>
      </c>
      <c r="Y10" s="13">
        <f t="shared" ca="1" si="23"/>
        <v>2.86</v>
      </c>
      <c r="Z10" s="13">
        <f t="shared" ca="1" si="24"/>
        <v>0.34</v>
      </c>
      <c r="AA10" s="17">
        <f t="shared" ca="1" si="25"/>
        <v>1.86</v>
      </c>
      <c r="AB10" s="2">
        <f t="shared" ca="1" si="26"/>
        <v>89</v>
      </c>
      <c r="AC10" s="2">
        <f t="shared" ca="1" si="27"/>
        <v>2</v>
      </c>
      <c r="AD10" s="18">
        <f t="shared" ca="1" si="28"/>
        <v>1</v>
      </c>
      <c r="AE10" s="18">
        <f t="shared" ca="1" si="29"/>
        <v>85</v>
      </c>
      <c r="AF10" s="18">
        <f t="shared" ca="1" si="30"/>
        <v>66</v>
      </c>
      <c r="AG10" s="18">
        <f t="shared" ca="1" si="31"/>
        <v>0</v>
      </c>
      <c r="AH10" s="18">
        <f t="shared" ca="1" si="32"/>
        <v>13</v>
      </c>
      <c r="AI10" s="2">
        <f t="shared" ca="1" si="33"/>
        <v>0</v>
      </c>
      <c r="AJ10" s="19" t="str">
        <f t="shared" ca="1" si="34"/>
        <v>-</v>
      </c>
      <c r="AK10" s="2"/>
      <c r="AL10" s="13"/>
      <c r="AM10" s="2"/>
      <c r="AN10" s="13"/>
      <c r="AO10" s="2"/>
      <c r="AP10" s="13"/>
    </row>
    <row r="11" spans="1:42" ht="19.899999999999999" customHeight="1" x14ac:dyDescent="0.3">
      <c r="A11" s="2">
        <v>7</v>
      </c>
      <c r="B11" s="10" t="str">
        <f t="shared" ca="1" si="0"/>
        <v>w0nderful</v>
      </c>
      <c r="C11" s="4">
        <f t="shared" ca="1" si="1"/>
        <v>6</v>
      </c>
      <c r="D11" s="5">
        <f t="shared" ca="1" si="2"/>
        <v>1.1499999999999999</v>
      </c>
      <c r="E11" s="6">
        <f t="shared" ca="1" si="3"/>
        <v>6.3492063492063489E-2</v>
      </c>
      <c r="F11" s="15">
        <f t="shared" ca="1" si="4"/>
        <v>1.5873015873015869E-2</v>
      </c>
      <c r="G11" s="6">
        <f t="shared" ca="1" si="5"/>
        <v>0.44600000000000001</v>
      </c>
      <c r="H11" s="5">
        <f t="shared" ca="1" si="6"/>
        <v>0.17</v>
      </c>
      <c r="I11" s="5">
        <f t="shared" ca="1" si="7"/>
        <v>2.6</v>
      </c>
      <c r="J11" s="16">
        <f t="shared" ca="1" si="8"/>
        <v>1.4976923076923081</v>
      </c>
      <c r="K11" s="16">
        <f t="shared" ca="1" si="9"/>
        <v>0.48509090909090902</v>
      </c>
      <c r="L11" s="16">
        <f t="shared" ca="1" si="10"/>
        <v>38.858181818181812</v>
      </c>
      <c r="M11" s="14">
        <f t="shared" ca="1" si="11"/>
        <v>0.37</v>
      </c>
      <c r="N11" s="18">
        <f t="shared" ca="1" si="12"/>
        <v>92</v>
      </c>
      <c r="O11" s="2">
        <f t="shared" ca="1" si="13"/>
        <v>0.08</v>
      </c>
      <c r="P11" s="13">
        <f t="shared" ca="1" si="14"/>
        <v>0.18</v>
      </c>
      <c r="Q11" s="14">
        <f t="shared" ca="1" si="15"/>
        <v>0.246</v>
      </c>
      <c r="R11" s="13">
        <f t="shared" ca="1" si="16"/>
        <v>2.08</v>
      </c>
      <c r="S11" s="14">
        <f t="shared" ca="1" si="17"/>
        <v>0.127</v>
      </c>
      <c r="T11" s="14">
        <f t="shared" ca="1" si="18"/>
        <v>0</v>
      </c>
      <c r="U11" s="2">
        <f t="shared" ca="1" si="19"/>
        <v>77</v>
      </c>
      <c r="V11" s="17">
        <f t="shared" ca="1" si="20"/>
        <v>0.26</v>
      </c>
      <c r="W11" s="14">
        <f t="shared" ca="1" si="21"/>
        <v>0.35899999999999999</v>
      </c>
      <c r="X11" s="14">
        <f t="shared" ca="1" si="22"/>
        <v>0.222</v>
      </c>
      <c r="Y11" s="13">
        <f t="shared" ca="1" si="23"/>
        <v>0</v>
      </c>
      <c r="Z11" s="13">
        <f t="shared" ca="1" si="24"/>
        <v>0.9</v>
      </c>
      <c r="AA11" s="17">
        <f t="shared" ca="1" si="25"/>
        <v>2.52</v>
      </c>
      <c r="AB11" s="2">
        <f t="shared" ca="1" si="26"/>
        <v>61</v>
      </c>
      <c r="AC11" s="2">
        <f t="shared" ca="1" si="27"/>
        <v>28</v>
      </c>
      <c r="AD11" s="18">
        <f t="shared" ca="1" si="28"/>
        <v>68</v>
      </c>
      <c r="AE11" s="18">
        <f t="shared" ca="1" si="29"/>
        <v>16</v>
      </c>
      <c r="AF11" s="18">
        <f t="shared" ca="1" si="30"/>
        <v>49</v>
      </c>
      <c r="AG11" s="18">
        <f t="shared" ca="1" si="31"/>
        <v>74</v>
      </c>
      <c r="AH11" s="18">
        <f t="shared" ca="1" si="32"/>
        <v>58</v>
      </c>
      <c r="AI11" s="2">
        <f t="shared" ca="1" si="33"/>
        <v>0</v>
      </c>
      <c r="AJ11" s="19" t="str">
        <f t="shared" ca="1" si="34"/>
        <v>-</v>
      </c>
      <c r="AK11" s="2"/>
      <c r="AL11" s="13"/>
      <c r="AM11" s="2"/>
      <c r="AN11" s="13"/>
      <c r="AO11" s="2"/>
      <c r="AP11" s="13"/>
    </row>
    <row r="12" spans="1:42" ht="19.899999999999999" customHeight="1" x14ac:dyDescent="0.3">
      <c r="A12" s="2">
        <v>8</v>
      </c>
      <c r="B12" s="10" t="str">
        <f t="shared" ca="1" si="0"/>
        <v>frozen</v>
      </c>
      <c r="C12" s="4">
        <f t="shared" ca="1" si="1"/>
        <v>9</v>
      </c>
      <c r="D12" s="5">
        <f t="shared" ca="1" si="2"/>
        <v>1.1499999999999999</v>
      </c>
      <c r="E12" s="6">
        <f t="shared" ca="1" si="3"/>
        <v>6.8965517241379309E-2</v>
      </c>
      <c r="F12" s="15">
        <f t="shared" ca="1" si="4"/>
        <v>3.4482758620689648E-2</v>
      </c>
      <c r="G12" s="6">
        <f t="shared" ca="1" si="5"/>
        <v>0.58399999999999996</v>
      </c>
      <c r="H12" s="5">
        <f t="shared" ca="1" si="6"/>
        <v>0.01</v>
      </c>
      <c r="I12" s="5">
        <f t="shared" ca="1" si="7"/>
        <v>8.7200000000000006</v>
      </c>
      <c r="J12" s="16">
        <f t="shared" ca="1" si="8"/>
        <v>1.3776699029126209</v>
      </c>
      <c r="K12" s="16">
        <f t="shared" ca="1" si="9"/>
        <v>0.39022222222222208</v>
      </c>
      <c r="L12" s="16">
        <f t="shared" ca="1" si="10"/>
        <v>56.819999999999993</v>
      </c>
      <c r="M12" s="14">
        <f t="shared" ca="1" si="11"/>
        <v>0.28000000000000003</v>
      </c>
      <c r="N12" s="18">
        <f t="shared" ca="1" si="12"/>
        <v>115</v>
      </c>
      <c r="O12" s="2">
        <f t="shared" ca="1" si="13"/>
        <v>0.09</v>
      </c>
      <c r="P12" s="13">
        <f t="shared" ca="1" si="14"/>
        <v>0.13</v>
      </c>
      <c r="Q12" s="14">
        <f t="shared" ca="1" si="15"/>
        <v>0.21299999999999999</v>
      </c>
      <c r="R12" s="13">
        <f t="shared" ca="1" si="16"/>
        <v>3</v>
      </c>
      <c r="S12" s="14">
        <f t="shared" ca="1" si="17"/>
        <v>0.13200000000000001</v>
      </c>
      <c r="T12" s="14">
        <f t="shared" ca="1" si="18"/>
        <v>0.5</v>
      </c>
      <c r="U12" s="2">
        <f t="shared" ca="1" si="19"/>
        <v>76</v>
      </c>
      <c r="V12" s="17">
        <f t="shared" ca="1" si="20"/>
        <v>0.01</v>
      </c>
      <c r="W12" s="14">
        <f t="shared" ca="1" si="21"/>
        <v>8.0000000000000002E-3</v>
      </c>
      <c r="X12" s="14">
        <f t="shared" ca="1" si="22"/>
        <v>6.0000000000000001E-3</v>
      </c>
      <c r="Y12" s="13">
        <f t="shared" ca="1" si="23"/>
        <v>0</v>
      </c>
      <c r="Z12" s="13">
        <f t="shared" ca="1" si="24"/>
        <v>0.35</v>
      </c>
      <c r="AA12" s="17">
        <f t="shared" ca="1" si="25"/>
        <v>2.2200000000000002</v>
      </c>
      <c r="AB12" s="2">
        <f t="shared" ca="1" si="26"/>
        <v>82</v>
      </c>
      <c r="AC12" s="2">
        <f t="shared" ca="1" si="27"/>
        <v>39</v>
      </c>
      <c r="AD12" s="18">
        <f t="shared" ca="1" si="28"/>
        <v>60</v>
      </c>
      <c r="AE12" s="18">
        <f t="shared" ca="1" si="29"/>
        <v>95</v>
      </c>
      <c r="AF12" s="18">
        <f t="shared" ca="1" si="30"/>
        <v>82</v>
      </c>
      <c r="AG12" s="18">
        <f t="shared" ca="1" si="31"/>
        <v>0</v>
      </c>
      <c r="AH12" s="18">
        <f t="shared" ca="1" si="32"/>
        <v>47</v>
      </c>
      <c r="AI12" s="2">
        <f t="shared" ca="1" si="33"/>
        <v>0</v>
      </c>
      <c r="AJ12" s="19" t="str">
        <f t="shared" ca="1" si="34"/>
        <v>-</v>
      </c>
      <c r="AK12" s="2"/>
      <c r="AL12" s="13"/>
      <c r="AM12" s="2"/>
      <c r="AN12" s="13"/>
      <c r="AO12" s="2"/>
      <c r="AP12" s="13"/>
    </row>
    <row r="13" spans="1:42" ht="19.899999999999999" customHeight="1" x14ac:dyDescent="0.3">
      <c r="A13" s="2">
        <v>9</v>
      </c>
      <c r="B13" s="10" t="str">
        <f t="shared" ca="1" si="0"/>
        <v>Twistzz</v>
      </c>
      <c r="C13" s="4">
        <f t="shared" ca="1" si="1"/>
        <v>9</v>
      </c>
      <c r="D13" s="5">
        <f t="shared" ca="1" si="2"/>
        <v>1.1299999999999999</v>
      </c>
      <c r="E13" s="6">
        <f t="shared" ca="1" si="3"/>
        <v>4.0229885057471257E-2</v>
      </c>
      <c r="F13" s="15">
        <f t="shared" ca="1" si="4"/>
        <v>4.5977011494252873E-2</v>
      </c>
      <c r="G13" s="6">
        <f t="shared" ca="1" si="5"/>
        <v>0.58199999999999996</v>
      </c>
      <c r="H13" s="5">
        <f t="shared" ca="1" si="6"/>
        <v>0.03</v>
      </c>
      <c r="I13" s="5">
        <f t="shared" ca="1" si="7"/>
        <v>3.5</v>
      </c>
      <c r="J13" s="16">
        <f t="shared" ca="1" si="8"/>
        <v>1.505242718446602</v>
      </c>
      <c r="K13" s="16">
        <f t="shared" ca="1" si="9"/>
        <v>0.37555555555555548</v>
      </c>
      <c r="L13" s="16">
        <f t="shared" ca="1" si="10"/>
        <v>45.366666666666667</v>
      </c>
      <c r="M13" s="14">
        <f t="shared" ca="1" si="11"/>
        <v>0.26200000000000001</v>
      </c>
      <c r="N13" s="18">
        <f t="shared" ca="1" si="12"/>
        <v>102</v>
      </c>
      <c r="O13" s="2">
        <f t="shared" ca="1" si="13"/>
        <v>0.14000000000000001</v>
      </c>
      <c r="P13" s="13">
        <f t="shared" ca="1" si="14"/>
        <v>0.14000000000000001</v>
      </c>
      <c r="Q13" s="14">
        <f t="shared" ca="1" si="15"/>
        <v>0.161</v>
      </c>
      <c r="R13" s="13">
        <f t="shared" ca="1" si="16"/>
        <v>2.36</v>
      </c>
      <c r="S13" s="14">
        <f t="shared" ca="1" si="17"/>
        <v>0.10299999999999999</v>
      </c>
      <c r="T13" s="14">
        <f t="shared" ca="1" si="18"/>
        <v>0.5</v>
      </c>
      <c r="U13" s="2">
        <f t="shared" ca="1" si="19"/>
        <v>74</v>
      </c>
      <c r="V13" s="17">
        <f t="shared" ca="1" si="20"/>
        <v>0</v>
      </c>
      <c r="W13" s="14">
        <f t="shared" ca="1" si="21"/>
        <v>0</v>
      </c>
      <c r="X13" s="14" t="str">
        <f t="shared" ca="1" si="22"/>
        <v>-</v>
      </c>
      <c r="Y13" s="13">
        <f t="shared" ca="1" si="23"/>
        <v>1.1499999999999999</v>
      </c>
      <c r="Z13" s="13">
        <f t="shared" ca="1" si="24"/>
        <v>0.76</v>
      </c>
      <c r="AA13" s="17">
        <f t="shared" ca="1" si="25"/>
        <v>1.81</v>
      </c>
      <c r="AB13" s="2">
        <f t="shared" ca="1" si="26"/>
        <v>46</v>
      </c>
      <c r="AC13" s="2">
        <f t="shared" ca="1" si="27"/>
        <v>86</v>
      </c>
      <c r="AD13" s="18">
        <f t="shared" ca="1" si="28"/>
        <v>84</v>
      </c>
      <c r="AE13" s="18">
        <f t="shared" ca="1" si="29"/>
        <v>67</v>
      </c>
      <c r="AF13" s="18">
        <f t="shared" ca="1" si="30"/>
        <v>87</v>
      </c>
      <c r="AG13" s="18">
        <f t="shared" ca="1" si="31"/>
        <v>0</v>
      </c>
      <c r="AH13" s="18">
        <f t="shared" ca="1" si="32"/>
        <v>56</v>
      </c>
      <c r="AI13" s="2">
        <f t="shared" ca="1" si="33"/>
        <v>0</v>
      </c>
      <c r="AJ13" s="19" t="str">
        <f t="shared" ca="1" si="34"/>
        <v>-</v>
      </c>
      <c r="AK13" s="2"/>
      <c r="AL13" s="13"/>
      <c r="AM13" s="2"/>
      <c r="AN13" s="13"/>
      <c r="AO13" s="2"/>
      <c r="AP13" s="13"/>
    </row>
    <row r="14" spans="1:42" ht="19.899999999999999" customHeight="1" x14ac:dyDescent="0.3">
      <c r="A14" s="2">
        <v>10</v>
      </c>
      <c r="B14" s="10" t="str">
        <f t="shared" ca="1" si="0"/>
        <v>tN1R</v>
      </c>
      <c r="C14" s="4">
        <f t="shared" ca="1" si="1"/>
        <v>4</v>
      </c>
      <c r="D14" s="5">
        <f t="shared" ca="1" si="2"/>
        <v>1.1299999999999999</v>
      </c>
      <c r="E14" s="6">
        <f t="shared" ca="1" si="3"/>
        <v>5.8823529411764712E-2</v>
      </c>
      <c r="F14" s="15">
        <f t="shared" ca="1" si="4"/>
        <v>3.9215686274509803E-2</v>
      </c>
      <c r="G14" s="6">
        <f t="shared" ca="1" si="5"/>
        <v>0.58299999999999996</v>
      </c>
      <c r="H14" s="5">
        <f t="shared" ca="1" si="6"/>
        <v>0.04</v>
      </c>
      <c r="I14" s="5">
        <f t="shared" ca="1" si="7"/>
        <v>5.22</v>
      </c>
      <c r="J14" s="16">
        <f t="shared" ca="1" si="8"/>
        <v>1.260666666666667</v>
      </c>
      <c r="K14" s="16">
        <f t="shared" ca="1" si="9"/>
        <v>0.44250000000000012</v>
      </c>
      <c r="L14" s="16">
        <f t="shared" ca="1" si="10"/>
        <v>44.625</v>
      </c>
      <c r="M14" s="14">
        <f t="shared" ca="1" si="11"/>
        <v>0.16700000000000001</v>
      </c>
      <c r="N14" s="18">
        <f t="shared" ca="1" si="12"/>
        <v>122</v>
      </c>
      <c r="O14" s="2">
        <f t="shared" ca="1" si="13"/>
        <v>0.13</v>
      </c>
      <c r="P14" s="13">
        <f t="shared" ca="1" si="14"/>
        <v>0.06</v>
      </c>
      <c r="Q14" s="14">
        <f t="shared" ca="1" si="15"/>
        <v>0.255</v>
      </c>
      <c r="R14" s="13">
        <f t="shared" ca="1" si="16"/>
        <v>3.29</v>
      </c>
      <c r="S14" s="14">
        <f t="shared" ca="1" si="17"/>
        <v>3.9E-2</v>
      </c>
      <c r="T14" s="14" t="str">
        <f t="shared" ca="1" si="18"/>
        <v>-</v>
      </c>
      <c r="U14" s="2">
        <f t="shared" ca="1" si="19"/>
        <v>79</v>
      </c>
      <c r="V14" s="17">
        <f t="shared" ca="1" si="20"/>
        <v>0.01</v>
      </c>
      <c r="W14" s="14">
        <f t="shared" ca="1" si="21"/>
        <v>1.4E-2</v>
      </c>
      <c r="X14" s="14" t="str">
        <f t="shared" ca="1" si="22"/>
        <v>-</v>
      </c>
      <c r="Y14" s="13">
        <f t="shared" ca="1" si="23"/>
        <v>0.98</v>
      </c>
      <c r="Z14" s="13">
        <f t="shared" ca="1" si="24"/>
        <v>0.72</v>
      </c>
      <c r="AA14" s="17">
        <f t="shared" ca="1" si="25"/>
        <v>2.02</v>
      </c>
      <c r="AB14" s="2">
        <f t="shared" ca="1" si="26"/>
        <v>80</v>
      </c>
      <c r="AC14" s="2">
        <f t="shared" ca="1" si="27"/>
        <v>94</v>
      </c>
      <c r="AD14" s="18">
        <f t="shared" ca="1" si="28"/>
        <v>8</v>
      </c>
      <c r="AE14" s="18">
        <f t="shared" ca="1" si="29"/>
        <v>38</v>
      </c>
      <c r="AF14" s="18">
        <f t="shared" ca="1" si="30"/>
        <v>76</v>
      </c>
      <c r="AG14" s="18">
        <f t="shared" ca="1" si="31"/>
        <v>0</v>
      </c>
      <c r="AH14" s="18">
        <f t="shared" ca="1" si="32"/>
        <v>72</v>
      </c>
      <c r="AI14" s="2">
        <f t="shared" ca="1" si="33"/>
        <v>0</v>
      </c>
      <c r="AJ14" s="19" t="str">
        <f t="shared" ca="1" si="34"/>
        <v>-</v>
      </c>
      <c r="AK14" s="2"/>
      <c r="AL14" s="13"/>
      <c r="AM14" s="2"/>
      <c r="AN14" s="13"/>
      <c r="AO14" s="2"/>
      <c r="AP14" s="13"/>
    </row>
    <row r="15" spans="1:42" ht="19.899999999999999" customHeight="1" x14ac:dyDescent="0.3">
      <c r="A15" s="2">
        <v>11</v>
      </c>
      <c r="B15" s="10" t="str">
        <f t="shared" ca="1" si="0"/>
        <v>iM</v>
      </c>
      <c r="C15" s="4">
        <f t="shared" ca="1" si="1"/>
        <v>6</v>
      </c>
      <c r="D15" s="5">
        <f t="shared" ca="1" si="2"/>
        <v>1.1200000000000001</v>
      </c>
      <c r="E15" s="6">
        <f t="shared" ca="1" si="3"/>
        <v>6.3492063492063489E-2</v>
      </c>
      <c r="F15" s="15">
        <f t="shared" ca="1" si="4"/>
        <v>0</v>
      </c>
      <c r="G15" s="6">
        <f t="shared" ca="1" si="5"/>
        <v>0.44800000000000001</v>
      </c>
      <c r="H15" s="5">
        <f t="shared" ca="1" si="6"/>
        <v>0.03</v>
      </c>
      <c r="I15" s="5">
        <f t="shared" ca="1" si="7"/>
        <v>3.52</v>
      </c>
      <c r="J15" s="16">
        <f t="shared" ca="1" si="8"/>
        <v>1.3738461538461539</v>
      </c>
      <c r="K15" s="16">
        <f t="shared" ca="1" si="9"/>
        <v>0.53200000000000014</v>
      </c>
      <c r="L15" s="16">
        <f t="shared" ca="1" si="10"/>
        <v>58.141818181818188</v>
      </c>
      <c r="M15" s="14">
        <f t="shared" ca="1" si="11"/>
        <v>0.26</v>
      </c>
      <c r="N15" s="18">
        <f t="shared" ca="1" si="12"/>
        <v>105</v>
      </c>
      <c r="O15" s="2">
        <f t="shared" ca="1" si="13"/>
        <v>0.15</v>
      </c>
      <c r="P15" s="13">
        <f t="shared" ca="1" si="14"/>
        <v>0.12</v>
      </c>
      <c r="Q15" s="14">
        <f t="shared" ca="1" si="15"/>
        <v>0.23799999999999999</v>
      </c>
      <c r="R15" s="13">
        <f t="shared" ca="1" si="16"/>
        <v>2.98</v>
      </c>
      <c r="S15" s="14">
        <f t="shared" ca="1" si="17"/>
        <v>7.0999999999999994E-2</v>
      </c>
      <c r="T15" s="14">
        <f t="shared" ca="1" si="18"/>
        <v>0</v>
      </c>
      <c r="U15" s="2">
        <f t="shared" ca="1" si="19"/>
        <v>70</v>
      </c>
      <c r="V15" s="17">
        <f t="shared" ca="1" si="20"/>
        <v>0</v>
      </c>
      <c r="W15" s="14">
        <f t="shared" ca="1" si="21"/>
        <v>0</v>
      </c>
      <c r="X15" s="14" t="str">
        <f t="shared" ca="1" si="22"/>
        <v>-</v>
      </c>
      <c r="Y15" s="13">
        <f t="shared" ca="1" si="23"/>
        <v>0</v>
      </c>
      <c r="Z15" s="13">
        <f t="shared" ca="1" si="24"/>
        <v>0.53</v>
      </c>
      <c r="AA15" s="17">
        <f t="shared" ca="1" si="25"/>
        <v>1.8</v>
      </c>
      <c r="AB15" s="2">
        <f t="shared" ca="1" si="26"/>
        <v>78</v>
      </c>
      <c r="AC15" s="2">
        <f t="shared" ca="1" si="27"/>
        <v>90</v>
      </c>
      <c r="AD15" s="18">
        <f t="shared" ca="1" si="28"/>
        <v>70</v>
      </c>
      <c r="AE15" s="18">
        <f t="shared" ca="1" si="29"/>
        <v>75</v>
      </c>
      <c r="AF15" s="18">
        <f t="shared" ca="1" si="30"/>
        <v>11</v>
      </c>
      <c r="AG15" s="18">
        <f t="shared" ca="1" si="31"/>
        <v>0</v>
      </c>
      <c r="AH15" s="18">
        <f t="shared" ca="1" si="32"/>
        <v>38</v>
      </c>
      <c r="AI15" s="2">
        <f t="shared" ca="1" si="33"/>
        <v>0</v>
      </c>
      <c r="AJ15" s="19" t="str">
        <f t="shared" ca="1" si="34"/>
        <v>-</v>
      </c>
      <c r="AK15" s="2"/>
      <c r="AL15" s="13"/>
      <c r="AM15" s="2"/>
      <c r="AN15" s="13"/>
      <c r="AO15" s="2"/>
      <c r="AP15" s="13"/>
    </row>
    <row r="16" spans="1:42" ht="19.899999999999999" customHeight="1" x14ac:dyDescent="0.3">
      <c r="A16" s="2">
        <v>12</v>
      </c>
      <c r="B16" s="10" t="str">
        <f t="shared" ca="1" si="0"/>
        <v>broky</v>
      </c>
      <c r="C16" s="4">
        <f t="shared" ca="1" si="1"/>
        <v>9</v>
      </c>
      <c r="D16" s="5">
        <f t="shared" ca="1" si="2"/>
        <v>1.0900000000000001</v>
      </c>
      <c r="E16" s="6">
        <f t="shared" ca="1" si="3"/>
        <v>5.1724137931034482E-2</v>
      </c>
      <c r="F16" s="15">
        <f t="shared" ca="1" si="4"/>
        <v>1.149425287356322E-2</v>
      </c>
      <c r="G16" s="6">
        <f t="shared" ca="1" si="5"/>
        <v>0.32100000000000001</v>
      </c>
      <c r="H16" s="5">
        <f t="shared" ca="1" si="6"/>
        <v>0.09</v>
      </c>
      <c r="I16" s="5">
        <f t="shared" ca="1" si="7"/>
        <v>3.93</v>
      </c>
      <c r="J16" s="16">
        <f t="shared" ca="1" si="8"/>
        <v>1.2616504854368931</v>
      </c>
      <c r="K16" s="16">
        <f t="shared" ca="1" si="9"/>
        <v>0.5875555555555555</v>
      </c>
      <c r="L16" s="16">
        <f t="shared" ca="1" si="10"/>
        <v>70.5</v>
      </c>
      <c r="M16" s="14">
        <f t="shared" ca="1" si="11"/>
        <v>0.33600000000000002</v>
      </c>
      <c r="N16" s="18">
        <f t="shared" ca="1" si="12"/>
        <v>103</v>
      </c>
      <c r="O16" s="2">
        <f t="shared" ca="1" si="13"/>
        <v>0.11</v>
      </c>
      <c r="P16" s="13">
        <f t="shared" ca="1" si="14"/>
        <v>0.13</v>
      </c>
      <c r="Q16" s="14">
        <f t="shared" ca="1" si="15"/>
        <v>0.20699999999999999</v>
      </c>
      <c r="R16" s="13">
        <f t="shared" ca="1" si="16"/>
        <v>2.38</v>
      </c>
      <c r="S16" s="14">
        <f t="shared" ca="1" si="17"/>
        <v>0.14399999999999999</v>
      </c>
      <c r="T16" s="14">
        <f t="shared" ca="1" si="18"/>
        <v>0</v>
      </c>
      <c r="U16" s="2">
        <f t="shared" ca="1" si="19"/>
        <v>81</v>
      </c>
      <c r="V16" s="17">
        <f t="shared" ca="1" si="20"/>
        <v>0.33</v>
      </c>
      <c r="W16" s="14">
        <f t="shared" ca="1" si="21"/>
        <v>0.443</v>
      </c>
      <c r="X16" s="14">
        <f t="shared" ca="1" si="22"/>
        <v>0.20699999999999999</v>
      </c>
      <c r="Y16" s="13">
        <f t="shared" ca="1" si="23"/>
        <v>1.1499999999999999</v>
      </c>
      <c r="Z16" s="13">
        <f t="shared" ca="1" si="24"/>
        <v>0.97</v>
      </c>
      <c r="AA16" s="17">
        <f t="shared" ca="1" si="25"/>
        <v>2.38</v>
      </c>
      <c r="AB16" s="2">
        <f t="shared" ca="1" si="26"/>
        <v>83</v>
      </c>
      <c r="AC16" s="2">
        <f t="shared" ca="1" si="27"/>
        <v>48</v>
      </c>
      <c r="AD16" s="18">
        <f t="shared" ca="1" si="28"/>
        <v>82</v>
      </c>
      <c r="AE16" s="18">
        <f t="shared" ca="1" si="29"/>
        <v>48</v>
      </c>
      <c r="AF16" s="18">
        <f t="shared" ca="1" si="30"/>
        <v>44</v>
      </c>
      <c r="AG16" s="18">
        <f t="shared" ca="1" si="31"/>
        <v>92</v>
      </c>
      <c r="AH16" s="18">
        <f t="shared" ca="1" si="32"/>
        <v>71</v>
      </c>
      <c r="AI16" s="2">
        <f t="shared" ca="1" si="33"/>
        <v>0</v>
      </c>
      <c r="AJ16" s="19" t="str">
        <f t="shared" ca="1" si="34"/>
        <v>-</v>
      </c>
      <c r="AK16" s="2"/>
      <c r="AL16" s="13"/>
      <c r="AM16" s="2"/>
      <c r="AN16" s="13"/>
      <c r="AO16" s="2"/>
      <c r="AP16" s="13"/>
    </row>
    <row r="17" spans="1:42" ht="19.899999999999999" customHeight="1" x14ac:dyDescent="0.3">
      <c r="A17" s="2">
        <v>13</v>
      </c>
      <c r="B17" s="10" t="str">
        <f t="shared" ca="1" si="0"/>
        <v>flameZ</v>
      </c>
      <c r="C17" s="4">
        <f t="shared" ca="1" si="1"/>
        <v>8</v>
      </c>
      <c r="D17" s="5">
        <f t="shared" ca="1" si="2"/>
        <v>1.08</v>
      </c>
      <c r="E17" s="6">
        <f t="shared" ca="1" si="3"/>
        <v>3.048780487804878E-2</v>
      </c>
      <c r="F17" s="15">
        <f t="shared" ca="1" si="4"/>
        <v>1.2195121951219509E-2</v>
      </c>
      <c r="G17" s="6">
        <f t="shared" ca="1" si="5"/>
        <v>0.57399999999999995</v>
      </c>
      <c r="H17" s="5">
        <f t="shared" ca="1" si="6"/>
        <v>7.0000000000000007E-2</v>
      </c>
      <c r="I17" s="5">
        <f t="shared" ca="1" si="7"/>
        <v>4.46</v>
      </c>
      <c r="J17" s="16">
        <f t="shared" ca="1" si="8"/>
        <v>1.1288965517241381</v>
      </c>
      <c r="K17" s="16">
        <f t="shared" ca="1" si="9"/>
        <v>0.36901639344262299</v>
      </c>
      <c r="L17" s="16">
        <f t="shared" ca="1" si="10"/>
        <v>38.38032786885244</v>
      </c>
      <c r="M17" s="14">
        <f t="shared" ca="1" si="11"/>
        <v>0.27800000000000002</v>
      </c>
      <c r="N17" s="18">
        <f t="shared" ca="1" si="12"/>
        <v>108</v>
      </c>
      <c r="O17" s="2">
        <f t="shared" ca="1" si="13"/>
        <v>0.12</v>
      </c>
      <c r="P17" s="13">
        <f t="shared" ca="1" si="14"/>
        <v>7.0000000000000007E-2</v>
      </c>
      <c r="Q17" s="14">
        <f t="shared" ca="1" si="15"/>
        <v>0.20699999999999999</v>
      </c>
      <c r="R17" s="13">
        <f t="shared" ca="1" si="16"/>
        <v>2.8</v>
      </c>
      <c r="S17" s="14">
        <f t="shared" ca="1" si="17"/>
        <v>3.6999999999999998E-2</v>
      </c>
      <c r="T17" s="14" t="str">
        <f t="shared" ca="1" si="18"/>
        <v>-</v>
      </c>
      <c r="U17" s="2">
        <f t="shared" ca="1" si="19"/>
        <v>72</v>
      </c>
      <c r="V17" s="17">
        <f t="shared" ca="1" si="20"/>
        <v>0.01</v>
      </c>
      <c r="W17" s="14">
        <f t="shared" ca="1" si="21"/>
        <v>8.9999999999999993E-3</v>
      </c>
      <c r="X17" s="14">
        <f t="shared" ca="1" si="22"/>
        <v>6.0000000000000001E-3</v>
      </c>
      <c r="Y17" s="13">
        <f t="shared" ca="1" si="23"/>
        <v>1.22</v>
      </c>
      <c r="Z17" s="13">
        <f t="shared" ca="1" si="24"/>
        <v>0.93</v>
      </c>
      <c r="AA17" s="17">
        <f t="shared" ca="1" si="25"/>
        <v>1.84</v>
      </c>
      <c r="AB17" s="2">
        <f t="shared" ca="1" si="26"/>
        <v>47</v>
      </c>
      <c r="AC17" s="2">
        <f t="shared" ca="1" si="27"/>
        <v>55</v>
      </c>
      <c r="AD17" s="18">
        <f t="shared" ca="1" si="28"/>
        <v>9</v>
      </c>
      <c r="AE17" s="18">
        <f t="shared" ca="1" si="29"/>
        <v>74</v>
      </c>
      <c r="AF17" s="18">
        <f t="shared" ca="1" si="30"/>
        <v>32</v>
      </c>
      <c r="AG17" s="18">
        <f t="shared" ca="1" si="31"/>
        <v>0</v>
      </c>
      <c r="AH17" s="18">
        <f t="shared" ca="1" si="32"/>
        <v>73</v>
      </c>
      <c r="AI17" s="2">
        <f t="shared" ca="1" si="33"/>
        <v>0</v>
      </c>
      <c r="AJ17" s="19" t="str">
        <f t="shared" ca="1" si="34"/>
        <v>-</v>
      </c>
      <c r="AK17" s="2"/>
      <c r="AL17" s="13"/>
      <c r="AM17" s="2"/>
      <c r="AN17" s="13"/>
      <c r="AO17" s="2"/>
      <c r="AP17" s="13"/>
    </row>
    <row r="18" spans="1:42" ht="19.5" customHeight="1" x14ac:dyDescent="0.3">
      <c r="A18" s="2">
        <v>14</v>
      </c>
      <c r="B18" s="10" t="str">
        <f t="shared" ca="1" si="0"/>
        <v>b1t</v>
      </c>
      <c r="C18" s="4">
        <f t="shared" ca="1" si="1"/>
        <v>6</v>
      </c>
      <c r="D18" s="5">
        <f t="shared" ca="1" si="2"/>
        <v>1.05</v>
      </c>
      <c r="E18" s="6">
        <f t="shared" ca="1" si="3"/>
        <v>5.5555555555555552E-2</v>
      </c>
      <c r="F18" s="15">
        <f t="shared" ca="1" si="4"/>
        <v>0</v>
      </c>
      <c r="G18" s="6">
        <f t="shared" ca="1" si="5"/>
        <v>0.60899999999999999</v>
      </c>
      <c r="H18" s="5">
        <f t="shared" ca="1" si="6"/>
        <v>0.02</v>
      </c>
      <c r="I18" s="5">
        <f t="shared" ca="1" si="7"/>
        <v>1.61</v>
      </c>
      <c r="J18" s="16">
        <f t="shared" ca="1" si="8"/>
        <v>1.2615384615384611</v>
      </c>
      <c r="K18" s="16">
        <f t="shared" ca="1" si="9"/>
        <v>0.30381818181818171</v>
      </c>
      <c r="L18" s="16">
        <f t="shared" ca="1" si="10"/>
        <v>41.258181818181853</v>
      </c>
      <c r="M18" s="14">
        <f t="shared" ca="1" si="11"/>
        <v>0.35599999999999998</v>
      </c>
      <c r="N18" s="18">
        <f t="shared" ca="1" si="12"/>
        <v>101</v>
      </c>
      <c r="O18" s="2">
        <f t="shared" ca="1" si="13"/>
        <v>0.11</v>
      </c>
      <c r="P18" s="13">
        <f t="shared" ca="1" si="14"/>
        <v>0.13</v>
      </c>
      <c r="Q18" s="14">
        <f t="shared" ca="1" si="15"/>
        <v>0.254</v>
      </c>
      <c r="R18" s="13">
        <f t="shared" ca="1" si="16"/>
        <v>2.29</v>
      </c>
      <c r="S18" s="14">
        <f t="shared" ca="1" si="17"/>
        <v>6.3E-2</v>
      </c>
      <c r="T18" s="14">
        <f t="shared" ca="1" si="18"/>
        <v>0</v>
      </c>
      <c r="U18" s="2">
        <f t="shared" ca="1" si="19"/>
        <v>77</v>
      </c>
      <c r="V18" s="17">
        <f t="shared" ca="1" si="20"/>
        <v>0.01</v>
      </c>
      <c r="W18" s="14">
        <f t="shared" ca="1" si="21"/>
        <v>1.0999999999999999E-2</v>
      </c>
      <c r="X18" s="14" t="str">
        <f t="shared" ca="1" si="22"/>
        <v>-</v>
      </c>
      <c r="Y18" s="13">
        <f t="shared" ca="1" si="23"/>
        <v>0</v>
      </c>
      <c r="Z18" s="13">
        <f t="shared" ca="1" si="24"/>
        <v>0.5</v>
      </c>
      <c r="AA18" s="17">
        <f t="shared" ca="1" si="25"/>
        <v>2.06</v>
      </c>
      <c r="AB18" s="2">
        <f t="shared" ca="1" si="26"/>
        <v>50</v>
      </c>
      <c r="AC18" s="2">
        <f t="shared" ca="1" si="27"/>
        <v>22</v>
      </c>
      <c r="AD18" s="18">
        <f t="shared" ca="1" si="28"/>
        <v>79</v>
      </c>
      <c r="AE18" s="18">
        <f t="shared" ca="1" si="29"/>
        <v>57</v>
      </c>
      <c r="AF18" s="18">
        <f t="shared" ca="1" si="30"/>
        <v>11</v>
      </c>
      <c r="AG18" s="18">
        <f t="shared" ca="1" si="31"/>
        <v>0</v>
      </c>
      <c r="AH18" s="18">
        <f t="shared" ca="1" si="32"/>
        <v>25</v>
      </c>
      <c r="AI18" s="2">
        <f t="shared" ca="1" si="33"/>
        <v>0</v>
      </c>
      <c r="AJ18" s="19" t="str">
        <f t="shared" ca="1" si="34"/>
        <v>-</v>
      </c>
      <c r="AK18" s="2"/>
      <c r="AL18" s="13"/>
      <c r="AM18" s="2"/>
      <c r="AN18" s="13"/>
      <c r="AO18" s="2"/>
      <c r="AP18" s="13"/>
    </row>
    <row r="19" spans="1:42" ht="19.899999999999999" customHeight="1" x14ac:dyDescent="0.3">
      <c r="A19" s="2">
        <v>15</v>
      </c>
      <c r="B19" s="10" t="str">
        <f t="shared" ca="1" si="0"/>
        <v>zweih</v>
      </c>
      <c r="C19" s="4">
        <f t="shared" ca="1" si="1"/>
        <v>4</v>
      </c>
      <c r="D19" s="5">
        <f t="shared" ca="1" si="2"/>
        <v>1.04</v>
      </c>
      <c r="E19" s="6">
        <f t="shared" ca="1" si="3"/>
        <v>8.8235294117647065E-2</v>
      </c>
      <c r="F19" s="15">
        <f t="shared" ca="1" si="4"/>
        <v>9.8039215686274508E-3</v>
      </c>
      <c r="G19" s="6">
        <f t="shared" ca="1" si="5"/>
        <v>0.6</v>
      </c>
      <c r="H19" s="5">
        <f t="shared" ca="1" si="6"/>
        <v>0.02</v>
      </c>
      <c r="I19" s="5">
        <f t="shared" ca="1" si="7"/>
        <v>3.59</v>
      </c>
      <c r="J19" s="16">
        <f t="shared" ca="1" si="8"/>
        <v>1.61</v>
      </c>
      <c r="K19" s="16">
        <f t="shared" ca="1" si="9"/>
        <v>0.28833333333333327</v>
      </c>
      <c r="L19" s="16">
        <f t="shared" ca="1" si="10"/>
        <v>32.137499999999989</v>
      </c>
      <c r="M19" s="14">
        <f t="shared" ca="1" si="11"/>
        <v>0.157</v>
      </c>
      <c r="N19" s="18">
        <f t="shared" ca="1" si="12"/>
        <v>105</v>
      </c>
      <c r="O19" s="2">
        <f t="shared" ca="1" si="13"/>
        <v>0.06</v>
      </c>
      <c r="P19" s="13">
        <f t="shared" ca="1" si="14"/>
        <v>0.11</v>
      </c>
      <c r="Q19" s="14">
        <f t="shared" ca="1" si="15"/>
        <v>0.16700000000000001</v>
      </c>
      <c r="R19" s="13">
        <f t="shared" ca="1" si="16"/>
        <v>2.4700000000000002</v>
      </c>
      <c r="S19" s="14">
        <f t="shared" ca="1" si="17"/>
        <v>5.8999999999999997E-2</v>
      </c>
      <c r="T19" s="14">
        <f t="shared" ca="1" si="18"/>
        <v>1</v>
      </c>
      <c r="U19" s="2">
        <f t="shared" ca="1" si="19"/>
        <v>73</v>
      </c>
      <c r="V19" s="17">
        <f t="shared" ca="1" si="20"/>
        <v>0.02</v>
      </c>
      <c r="W19" s="14">
        <f t="shared" ca="1" si="21"/>
        <v>2.9000000000000001E-2</v>
      </c>
      <c r="X19" s="14">
        <f t="shared" ca="1" si="22"/>
        <v>0.01</v>
      </c>
      <c r="Y19" s="13">
        <f t="shared" ca="1" si="23"/>
        <v>0.98</v>
      </c>
      <c r="Z19" s="13">
        <f t="shared" ca="1" si="24"/>
        <v>0.42</v>
      </c>
      <c r="AA19" s="17">
        <f t="shared" ca="1" si="25"/>
        <v>2.76</v>
      </c>
      <c r="AB19" s="2">
        <f t="shared" ca="1" si="26"/>
        <v>48</v>
      </c>
      <c r="AC19" s="2">
        <f t="shared" ca="1" si="27"/>
        <v>19</v>
      </c>
      <c r="AD19" s="18">
        <f t="shared" ca="1" si="28"/>
        <v>36</v>
      </c>
      <c r="AE19" s="18">
        <f t="shared" ca="1" si="29"/>
        <v>75</v>
      </c>
      <c r="AF19" s="18">
        <f t="shared" ca="1" si="30"/>
        <v>29</v>
      </c>
      <c r="AG19" s="18">
        <f t="shared" ca="1" si="31"/>
        <v>4</v>
      </c>
      <c r="AH19" s="18">
        <f t="shared" ca="1" si="32"/>
        <v>36</v>
      </c>
      <c r="AI19" s="2">
        <f t="shared" ca="1" si="33"/>
        <v>0</v>
      </c>
      <c r="AJ19" s="19" t="str">
        <f t="shared" ca="1" si="34"/>
        <v>-</v>
      </c>
      <c r="AK19" s="2"/>
      <c r="AL19" s="13"/>
      <c r="AM19" s="2"/>
      <c r="AN19" s="13"/>
      <c r="AO19" s="2"/>
      <c r="AP19" s="13"/>
    </row>
    <row r="20" spans="1:42" ht="19.899999999999999" customHeight="1" x14ac:dyDescent="0.3">
      <c r="A20" s="2">
        <v>16</v>
      </c>
      <c r="B20" s="10" t="str">
        <f t="shared" ca="1" si="0"/>
        <v>kyousuke</v>
      </c>
      <c r="C20" s="4">
        <f t="shared" ca="1" si="1"/>
        <v>2</v>
      </c>
      <c r="D20" s="5">
        <f t="shared" ca="1" si="2"/>
        <v>1.04</v>
      </c>
      <c r="E20" s="6">
        <f t="shared" ca="1" si="3"/>
        <v>4.4444444444444453E-2</v>
      </c>
      <c r="F20" s="15">
        <f t="shared" ca="1" si="4"/>
        <v>0</v>
      </c>
      <c r="G20" s="6">
        <f t="shared" ca="1" si="5"/>
        <v>0.66700000000000004</v>
      </c>
      <c r="H20" s="5">
        <f t="shared" ca="1" si="6"/>
        <v>0.02</v>
      </c>
      <c r="I20" s="5">
        <f t="shared" ca="1" si="7"/>
        <v>3.36</v>
      </c>
      <c r="J20" s="16" t="str">
        <f t="shared" ca="1" si="8"/>
        <v>-</v>
      </c>
      <c r="K20" s="16">
        <f t="shared" ca="1" si="9"/>
        <v>0.51999999999999991</v>
      </c>
      <c r="L20" s="16">
        <f t="shared" ca="1" si="10"/>
        <v>51.479310344827589</v>
      </c>
      <c r="M20" s="14">
        <f t="shared" ca="1" si="11"/>
        <v>0.152</v>
      </c>
      <c r="N20" s="18">
        <f t="shared" ca="1" si="12"/>
        <v>110</v>
      </c>
      <c r="O20" s="2">
        <f t="shared" ca="1" si="13"/>
        <v>0.16</v>
      </c>
      <c r="P20" s="13">
        <f t="shared" ca="1" si="14"/>
        <v>0.16</v>
      </c>
      <c r="Q20" s="14">
        <f t="shared" ca="1" si="15"/>
        <v>0.156</v>
      </c>
      <c r="R20" s="13">
        <f t="shared" ca="1" si="16"/>
        <v>2.76</v>
      </c>
      <c r="S20" s="14">
        <f t="shared" ca="1" si="17"/>
        <v>0.13300000000000001</v>
      </c>
      <c r="T20" s="14" t="str">
        <f t="shared" ca="1" si="18"/>
        <v>-</v>
      </c>
      <c r="U20" s="2">
        <f t="shared" ca="1" si="19"/>
        <v>72</v>
      </c>
      <c r="V20" s="17">
        <f t="shared" ca="1" si="20"/>
        <v>0.02</v>
      </c>
      <c r="W20" s="14">
        <f t="shared" ca="1" si="21"/>
        <v>0.03</v>
      </c>
      <c r="X20" s="14">
        <f t="shared" ca="1" si="22"/>
        <v>4.3999999999999997E-2</v>
      </c>
      <c r="Y20" s="13">
        <f t="shared" ca="1" si="23"/>
        <v>0</v>
      </c>
      <c r="Z20" s="13">
        <f t="shared" ca="1" si="24"/>
        <v>0.42</v>
      </c>
      <c r="AA20" s="17">
        <f t="shared" ca="1" si="25"/>
        <v>1.83</v>
      </c>
      <c r="AB20" s="2">
        <f t="shared" ca="1" si="26"/>
        <v>80</v>
      </c>
      <c r="AC20" s="2">
        <f t="shared" ca="1" si="27"/>
        <v>40</v>
      </c>
      <c r="AD20" s="18">
        <f t="shared" ca="1" si="28"/>
        <v>82</v>
      </c>
      <c r="AE20" s="18">
        <f t="shared" ca="1" si="29"/>
        <v>14</v>
      </c>
      <c r="AF20" s="18">
        <f t="shared" ca="1" si="30"/>
        <v>21</v>
      </c>
      <c r="AG20" s="18">
        <f t="shared" ca="1" si="31"/>
        <v>3</v>
      </c>
      <c r="AH20" s="18">
        <f t="shared" ca="1" si="32"/>
        <v>25</v>
      </c>
      <c r="AI20" s="2">
        <f t="shared" ca="1" si="33"/>
        <v>0</v>
      </c>
      <c r="AJ20" s="19" t="str">
        <f t="shared" ca="1" si="34"/>
        <v>-</v>
      </c>
      <c r="AK20" s="2"/>
      <c r="AL20" s="13"/>
      <c r="AM20" s="2"/>
      <c r="AN20" s="13"/>
      <c r="AO20" s="2"/>
      <c r="AP20" s="13"/>
    </row>
    <row r="21" spans="1:42" ht="19.899999999999999" customHeight="1" x14ac:dyDescent="0.3">
      <c r="A21" s="2">
        <v>17</v>
      </c>
      <c r="B21" s="10" t="str">
        <f t="shared" ca="1" si="0"/>
        <v>sh1ro</v>
      </c>
      <c r="C21" s="4">
        <f t="shared" ca="1" si="1"/>
        <v>4</v>
      </c>
      <c r="D21" s="5">
        <f t="shared" ca="1" si="2"/>
        <v>1.04</v>
      </c>
      <c r="E21" s="6">
        <f t="shared" ca="1" si="3"/>
        <v>4.9019607843137247E-2</v>
      </c>
      <c r="F21" s="15">
        <f t="shared" ca="1" si="4"/>
        <v>0</v>
      </c>
      <c r="G21" s="6">
        <f t="shared" ca="1" si="5"/>
        <v>0.254</v>
      </c>
      <c r="H21" s="5">
        <f t="shared" ca="1" si="6"/>
        <v>0.05</v>
      </c>
      <c r="I21" s="5">
        <f t="shared" ca="1" si="7"/>
        <v>5.19</v>
      </c>
      <c r="J21" s="16">
        <f t="shared" ca="1" si="8"/>
        <v>1.2277777777777781</v>
      </c>
      <c r="K21" s="16">
        <f t="shared" ca="1" si="9"/>
        <v>0.31583333333333341</v>
      </c>
      <c r="L21" s="16">
        <f t="shared" ca="1" si="10"/>
        <v>41.087499999999999</v>
      </c>
      <c r="M21" s="14">
        <f t="shared" ca="1" si="11"/>
        <v>0.313</v>
      </c>
      <c r="N21" s="18">
        <f t="shared" ca="1" si="12"/>
        <v>102</v>
      </c>
      <c r="O21" s="2">
        <f t="shared" ca="1" si="13"/>
        <v>0.03</v>
      </c>
      <c r="P21" s="13">
        <f t="shared" ca="1" si="14"/>
        <v>0.09</v>
      </c>
      <c r="Q21" s="14">
        <f t="shared" ca="1" si="15"/>
        <v>0.26500000000000001</v>
      </c>
      <c r="R21" s="13">
        <f t="shared" ca="1" si="16"/>
        <v>2.0299999999999998</v>
      </c>
      <c r="S21" s="14">
        <f t="shared" ca="1" si="17"/>
        <v>0.13700000000000001</v>
      </c>
      <c r="T21" s="14" t="str">
        <f t="shared" ca="1" si="18"/>
        <v>-</v>
      </c>
      <c r="U21" s="2">
        <f t="shared" ca="1" si="19"/>
        <v>82</v>
      </c>
      <c r="V21" s="17">
        <f t="shared" ca="1" si="20"/>
        <v>0.32</v>
      </c>
      <c r="W21" s="14">
        <f t="shared" ca="1" si="21"/>
        <v>0.49299999999999999</v>
      </c>
      <c r="X21" s="14">
        <f t="shared" ca="1" si="22"/>
        <v>0.32400000000000001</v>
      </c>
      <c r="Y21" s="13">
        <f t="shared" ca="1" si="23"/>
        <v>2.94</v>
      </c>
      <c r="Z21" s="13">
        <f t="shared" ca="1" si="24"/>
        <v>0.89</v>
      </c>
      <c r="AA21" s="17">
        <f t="shared" ca="1" si="25"/>
        <v>2.25</v>
      </c>
      <c r="AB21" s="2">
        <f t="shared" ca="1" si="26"/>
        <v>45</v>
      </c>
      <c r="AC21" s="2">
        <f t="shared" ca="1" si="27"/>
        <v>4</v>
      </c>
      <c r="AD21" s="18">
        <f t="shared" ca="1" si="28"/>
        <v>37</v>
      </c>
      <c r="AE21" s="18">
        <f t="shared" ca="1" si="29"/>
        <v>8</v>
      </c>
      <c r="AF21" s="18">
        <f t="shared" ca="1" si="30"/>
        <v>22</v>
      </c>
      <c r="AG21" s="18">
        <f t="shared" ca="1" si="31"/>
        <v>94</v>
      </c>
      <c r="AH21" s="18">
        <f t="shared" ca="1" si="32"/>
        <v>80</v>
      </c>
      <c r="AI21" s="2">
        <f t="shared" ca="1" si="33"/>
        <v>0</v>
      </c>
      <c r="AJ21" s="19" t="str">
        <f t="shared" ca="1" si="34"/>
        <v>-</v>
      </c>
      <c r="AK21" s="2"/>
      <c r="AL21" s="13"/>
      <c r="AM21" s="2"/>
      <c r="AN21" s="13"/>
      <c r="AO21" s="2"/>
      <c r="AP21" s="13"/>
    </row>
    <row r="22" spans="1:42" ht="19.899999999999999" customHeight="1" x14ac:dyDescent="0.3">
      <c r="A22" s="2">
        <v>18</v>
      </c>
      <c r="B22" s="10" t="str">
        <f t="shared" ca="1" si="0"/>
        <v>KSCERATO</v>
      </c>
      <c r="C22" s="4">
        <f t="shared" ca="1" si="1"/>
        <v>3</v>
      </c>
      <c r="D22" s="5">
        <f t="shared" ca="1" si="2"/>
        <v>1.03</v>
      </c>
      <c r="E22" s="6">
        <f t="shared" ca="1" si="3"/>
        <v>3.1746031746031737E-2</v>
      </c>
      <c r="F22" s="15">
        <f t="shared" ca="1" si="4"/>
        <v>0</v>
      </c>
      <c r="G22" s="6">
        <f t="shared" ca="1" si="5"/>
        <v>0.36199999999999999</v>
      </c>
      <c r="H22" s="5">
        <f t="shared" ca="1" si="6"/>
        <v>0.06</v>
      </c>
      <c r="I22" s="5">
        <f t="shared" ca="1" si="7"/>
        <v>11.24</v>
      </c>
      <c r="J22" s="16">
        <f t="shared" ca="1" si="8"/>
        <v>1.1299999999999999</v>
      </c>
      <c r="K22" s="16">
        <f t="shared" ca="1" si="9"/>
        <v>0.54051282051282046</v>
      </c>
      <c r="L22" s="16">
        <f t="shared" ca="1" si="10"/>
        <v>59.853846153846163</v>
      </c>
      <c r="M22" s="14">
        <f t="shared" ca="1" si="11"/>
        <v>0.29799999999999999</v>
      </c>
      <c r="N22" s="18">
        <f t="shared" ca="1" si="12"/>
        <v>104</v>
      </c>
      <c r="O22" s="2">
        <f t="shared" ca="1" si="13"/>
        <v>0.11</v>
      </c>
      <c r="P22" s="13">
        <f t="shared" ca="1" si="14"/>
        <v>0.19</v>
      </c>
      <c r="Q22" s="14">
        <f t="shared" ca="1" si="15"/>
        <v>0.17499999999999999</v>
      </c>
      <c r="R22" s="13">
        <f t="shared" ca="1" si="16"/>
        <v>3.35</v>
      </c>
      <c r="S22" s="14">
        <f t="shared" ca="1" si="17"/>
        <v>7.9000000000000001E-2</v>
      </c>
      <c r="T22" s="14" t="str">
        <f t="shared" ca="1" si="18"/>
        <v>-</v>
      </c>
      <c r="U22" s="2">
        <f t="shared" ca="1" si="19"/>
        <v>69</v>
      </c>
      <c r="V22" s="17">
        <f t="shared" ca="1" si="20"/>
        <v>0</v>
      </c>
      <c r="W22" s="14">
        <f t="shared" ca="1" si="21"/>
        <v>0</v>
      </c>
      <c r="X22" s="14" t="str">
        <f t="shared" ca="1" si="22"/>
        <v>-</v>
      </c>
      <c r="Y22" s="13">
        <f t="shared" ca="1" si="23"/>
        <v>1.59</v>
      </c>
      <c r="Z22" s="13">
        <f t="shared" ca="1" si="24"/>
        <v>0.48</v>
      </c>
      <c r="AA22" s="17">
        <f t="shared" ca="1" si="25"/>
        <v>2.1800000000000002</v>
      </c>
      <c r="AB22" s="2">
        <f t="shared" ca="1" si="26"/>
        <v>85</v>
      </c>
      <c r="AC22" s="2">
        <f t="shared" ca="1" si="27"/>
        <v>67</v>
      </c>
      <c r="AD22" s="18">
        <f t="shared" ca="1" si="28"/>
        <v>77</v>
      </c>
      <c r="AE22" s="18">
        <f t="shared" ca="1" si="29"/>
        <v>39</v>
      </c>
      <c r="AF22" s="18">
        <f t="shared" ca="1" si="30"/>
        <v>11</v>
      </c>
      <c r="AG22" s="18">
        <f t="shared" ca="1" si="31"/>
        <v>0</v>
      </c>
      <c r="AH22" s="18">
        <f t="shared" ca="1" si="32"/>
        <v>68</v>
      </c>
      <c r="AI22" s="2">
        <f t="shared" ca="1" si="33"/>
        <v>0</v>
      </c>
      <c r="AJ22" s="19" t="str">
        <f t="shared" ca="1" si="34"/>
        <v>-</v>
      </c>
      <c r="AK22" s="2"/>
      <c r="AL22" s="13"/>
      <c r="AM22" s="2"/>
      <c r="AN22" s="13"/>
      <c r="AO22" s="2"/>
      <c r="AP22" s="13"/>
    </row>
    <row r="23" spans="1:42" ht="19.899999999999999" customHeight="1" x14ac:dyDescent="0.3">
      <c r="A23" s="2">
        <v>19</v>
      </c>
      <c r="B23" s="10" t="str">
        <f t="shared" ca="1" si="0"/>
        <v>torzsi</v>
      </c>
      <c r="C23" s="4">
        <f t="shared" ca="1" si="1"/>
        <v>2</v>
      </c>
      <c r="D23" s="5">
        <f t="shared" ca="1" si="2"/>
        <v>1</v>
      </c>
      <c r="E23" s="6">
        <f t="shared" ca="1" si="3"/>
        <v>5.128205128205128E-2</v>
      </c>
      <c r="F23" s="15">
        <f t="shared" ca="1" si="4"/>
        <v>2.564102564102564E-2</v>
      </c>
      <c r="G23" s="6">
        <f t="shared" ca="1" si="5"/>
        <v>0.379</v>
      </c>
      <c r="H23" s="5">
        <f t="shared" ca="1" si="6"/>
        <v>0</v>
      </c>
      <c r="I23" s="5">
        <f t="shared" ca="1" si="7"/>
        <v>1.28</v>
      </c>
      <c r="J23" s="16" t="str">
        <f t="shared" ca="1" si="8"/>
        <v>-</v>
      </c>
      <c r="K23" s="16">
        <f t="shared" ca="1" si="9"/>
        <v>0.73038461538461541</v>
      </c>
      <c r="L23" s="16">
        <f t="shared" ca="1" si="10"/>
        <v>73.8</v>
      </c>
      <c r="M23" s="14">
        <f t="shared" ca="1" si="11"/>
        <v>0.27600000000000002</v>
      </c>
      <c r="N23" s="18">
        <f t="shared" ca="1" si="12"/>
        <v>103</v>
      </c>
      <c r="O23" s="2">
        <f t="shared" ca="1" si="13"/>
        <v>0.08</v>
      </c>
      <c r="P23" s="13">
        <f t="shared" ca="1" si="14"/>
        <v>0.21</v>
      </c>
      <c r="Q23" s="14">
        <f t="shared" ca="1" si="15"/>
        <v>0.17899999999999999</v>
      </c>
      <c r="R23" s="13">
        <f t="shared" ca="1" si="16"/>
        <v>1.85</v>
      </c>
      <c r="S23" s="14">
        <f t="shared" ca="1" si="17"/>
        <v>0.154</v>
      </c>
      <c r="T23" s="14">
        <f t="shared" ca="1" si="18"/>
        <v>1</v>
      </c>
      <c r="U23" s="2">
        <f t="shared" ca="1" si="19"/>
        <v>84</v>
      </c>
      <c r="V23" s="17">
        <f t="shared" ca="1" si="20"/>
        <v>0.46</v>
      </c>
      <c r="W23" s="14">
        <f t="shared" ca="1" si="21"/>
        <v>0.621</v>
      </c>
      <c r="X23" s="14">
        <f t="shared" ca="1" si="22"/>
        <v>0.308</v>
      </c>
      <c r="Y23" s="13">
        <f t="shared" ca="1" si="23"/>
        <v>0</v>
      </c>
      <c r="Z23" s="13">
        <f t="shared" ca="1" si="24"/>
        <v>0.9</v>
      </c>
      <c r="AA23" s="17">
        <f t="shared" ca="1" si="25"/>
        <v>2.15</v>
      </c>
      <c r="AB23" s="2">
        <f t="shared" ca="1" si="26"/>
        <v>84</v>
      </c>
      <c r="AC23" s="2">
        <f t="shared" ca="1" si="27"/>
        <v>21</v>
      </c>
      <c r="AD23" s="18">
        <f t="shared" ca="1" si="28"/>
        <v>95</v>
      </c>
      <c r="AE23" s="18">
        <f t="shared" ca="1" si="29"/>
        <v>26</v>
      </c>
      <c r="AF23" s="18">
        <f t="shared" ca="1" si="30"/>
        <v>71</v>
      </c>
      <c r="AG23" s="18">
        <f t="shared" ca="1" si="31"/>
        <v>95</v>
      </c>
      <c r="AH23" s="18">
        <f t="shared" ca="1" si="32"/>
        <v>42</v>
      </c>
      <c r="AI23" s="2">
        <f t="shared" ca="1" si="33"/>
        <v>0</v>
      </c>
      <c r="AJ23" s="19" t="str">
        <f t="shared" ca="1" si="34"/>
        <v>-</v>
      </c>
      <c r="AK23" s="2"/>
      <c r="AL23" s="13"/>
      <c r="AM23" s="2"/>
      <c r="AN23" s="13"/>
      <c r="AO23" s="2"/>
      <c r="AP23" s="13"/>
    </row>
    <row r="24" spans="1:42" ht="19.899999999999999" customHeight="1" x14ac:dyDescent="0.3">
      <c r="A24" s="2">
        <v>20</v>
      </c>
      <c r="B24" s="10" t="str">
        <f t="shared" ca="1" si="0"/>
        <v>m0NESY</v>
      </c>
      <c r="C24" s="4">
        <f t="shared" ca="1" si="1"/>
        <v>2</v>
      </c>
      <c r="D24" s="5">
        <f t="shared" ca="1" si="2"/>
        <v>0.97</v>
      </c>
      <c r="E24" s="6">
        <f t="shared" ca="1" si="3"/>
        <v>4.4444444444444453E-2</v>
      </c>
      <c r="F24" s="15">
        <f t="shared" ca="1" si="4"/>
        <v>2.222222222222222E-2</v>
      </c>
      <c r="G24" s="6">
        <f t="shared" ca="1" si="5"/>
        <v>0.621</v>
      </c>
      <c r="H24" s="5">
        <f t="shared" ca="1" si="6"/>
        <v>0.16</v>
      </c>
      <c r="I24" s="5">
        <f t="shared" ca="1" si="7"/>
        <v>1.84</v>
      </c>
      <c r="J24" s="16" t="str">
        <f t="shared" ca="1" si="8"/>
        <v>-</v>
      </c>
      <c r="K24" s="16">
        <f t="shared" ca="1" si="9"/>
        <v>0.27724137931034482</v>
      </c>
      <c r="L24" s="16">
        <f t="shared" ca="1" si="10"/>
        <v>26.73103448275862</v>
      </c>
      <c r="M24" s="14">
        <f t="shared" ca="1" si="11"/>
        <v>0.20699999999999999</v>
      </c>
      <c r="N24" s="18">
        <f t="shared" ca="1" si="12"/>
        <v>96</v>
      </c>
      <c r="O24" s="2">
        <f t="shared" ca="1" si="13"/>
        <v>7.0000000000000007E-2</v>
      </c>
      <c r="P24" s="13">
        <f t="shared" ca="1" si="14"/>
        <v>0.18</v>
      </c>
      <c r="Q24" s="14">
        <f t="shared" ca="1" si="15"/>
        <v>0.111</v>
      </c>
      <c r="R24" s="13">
        <f t="shared" ca="1" si="16"/>
        <v>1.6</v>
      </c>
      <c r="S24" s="14">
        <f t="shared" ca="1" si="17"/>
        <v>0.222</v>
      </c>
      <c r="T24" s="14">
        <f t="shared" ca="1" si="18"/>
        <v>1</v>
      </c>
      <c r="U24" s="2">
        <f t="shared" ca="1" si="19"/>
        <v>76</v>
      </c>
      <c r="V24" s="17">
        <f t="shared" ca="1" si="20"/>
        <v>0.2</v>
      </c>
      <c r="W24" s="14">
        <f t="shared" ca="1" si="21"/>
        <v>0.31</v>
      </c>
      <c r="X24" s="14">
        <f t="shared" ca="1" si="22"/>
        <v>0.2</v>
      </c>
      <c r="Y24" s="13">
        <f t="shared" ca="1" si="23"/>
        <v>0</v>
      </c>
      <c r="Z24" s="13">
        <f t="shared" ca="1" si="24"/>
        <v>0.73</v>
      </c>
      <c r="AA24" s="17">
        <f t="shared" ca="1" si="25"/>
        <v>3.71</v>
      </c>
      <c r="AB24" s="2">
        <f t="shared" ca="1" si="26"/>
        <v>47</v>
      </c>
      <c r="AC24" s="2">
        <f t="shared" ca="1" si="27"/>
        <v>1</v>
      </c>
      <c r="AD24" s="18">
        <f t="shared" ca="1" si="28"/>
        <v>59</v>
      </c>
      <c r="AE24" s="18">
        <f t="shared" ca="1" si="29"/>
        <v>32</v>
      </c>
      <c r="AF24" s="18">
        <f t="shared" ca="1" si="30"/>
        <v>65</v>
      </c>
      <c r="AG24" s="18">
        <f t="shared" ca="1" si="31"/>
        <v>73</v>
      </c>
      <c r="AH24" s="18">
        <f t="shared" ca="1" si="32"/>
        <v>58</v>
      </c>
      <c r="AI24" s="2">
        <f t="shared" ca="1" si="33"/>
        <v>0</v>
      </c>
      <c r="AJ24" s="19" t="str">
        <f t="shared" ca="1" si="34"/>
        <v>-</v>
      </c>
      <c r="AK24" s="2"/>
      <c r="AL24" s="13"/>
      <c r="AM24" s="2"/>
      <c r="AN24" s="13"/>
      <c r="AO24" s="2"/>
      <c r="AP24" s="13"/>
    </row>
    <row r="25" spans="1:42" ht="19.899999999999999" customHeight="1" x14ac:dyDescent="0.3">
      <c r="A25" s="2">
        <v>21</v>
      </c>
      <c r="B25" s="10" t="str">
        <f t="shared" ca="1" si="0"/>
        <v>NiKo</v>
      </c>
      <c r="C25" s="4">
        <f t="shared" ca="1" si="1"/>
        <v>2</v>
      </c>
      <c r="D25" s="5">
        <f t="shared" ca="1" si="2"/>
        <v>0.96</v>
      </c>
      <c r="E25" s="6">
        <f t="shared" ca="1" si="3"/>
        <v>0</v>
      </c>
      <c r="F25" s="15">
        <f t="shared" ca="1" si="4"/>
        <v>0</v>
      </c>
      <c r="G25" s="6">
        <f t="shared" ca="1" si="5"/>
        <v>0.51700000000000002</v>
      </c>
      <c r="H25" s="5">
        <f t="shared" ca="1" si="6"/>
        <v>0.04</v>
      </c>
      <c r="I25" s="5">
        <f t="shared" ca="1" si="7"/>
        <v>6.89</v>
      </c>
      <c r="J25" s="16" t="str">
        <f t="shared" ca="1" si="8"/>
        <v>-</v>
      </c>
      <c r="K25" s="16">
        <f t="shared" ca="1" si="9"/>
        <v>0.44827586206896552</v>
      </c>
      <c r="L25" s="16">
        <f t="shared" ca="1" si="10"/>
        <v>53.151724137931041</v>
      </c>
      <c r="M25" s="14">
        <f t="shared" ca="1" si="11"/>
        <v>0.20699999999999999</v>
      </c>
      <c r="N25" s="18">
        <f t="shared" ca="1" si="12"/>
        <v>109</v>
      </c>
      <c r="O25" s="2">
        <f t="shared" ca="1" si="13"/>
        <v>0.09</v>
      </c>
      <c r="P25" s="13">
        <f t="shared" ca="1" si="14"/>
        <v>0.13</v>
      </c>
      <c r="Q25" s="14">
        <f t="shared" ca="1" si="15"/>
        <v>6.7000000000000004E-2</v>
      </c>
      <c r="R25" s="13">
        <f t="shared" ca="1" si="16"/>
        <v>2.71</v>
      </c>
      <c r="S25" s="14">
        <f t="shared" ca="1" si="17"/>
        <v>0.111</v>
      </c>
      <c r="T25" s="14" t="str">
        <f t="shared" ca="1" si="18"/>
        <v>-</v>
      </c>
      <c r="U25" s="2">
        <f t="shared" ca="1" si="19"/>
        <v>70</v>
      </c>
      <c r="V25" s="17">
        <f t="shared" ca="1" si="20"/>
        <v>0</v>
      </c>
      <c r="W25" s="14">
        <f t="shared" ca="1" si="21"/>
        <v>0</v>
      </c>
      <c r="X25" s="14" t="str">
        <f t="shared" ca="1" si="22"/>
        <v>-</v>
      </c>
      <c r="Y25" s="13">
        <f t="shared" ca="1" si="23"/>
        <v>0</v>
      </c>
      <c r="Z25" s="13">
        <f t="shared" ca="1" si="24"/>
        <v>0.56000000000000005</v>
      </c>
      <c r="AA25" s="17">
        <f t="shared" ca="1" si="25"/>
        <v>2.78</v>
      </c>
      <c r="AB25" s="2">
        <f t="shared" ca="1" si="26"/>
        <v>33</v>
      </c>
      <c r="AC25" s="2">
        <f t="shared" ca="1" si="27"/>
        <v>26</v>
      </c>
      <c r="AD25" s="18">
        <f t="shared" ca="1" si="28"/>
        <v>55</v>
      </c>
      <c r="AE25" s="18">
        <f t="shared" ca="1" si="29"/>
        <v>78</v>
      </c>
      <c r="AF25" s="18">
        <f t="shared" ca="1" si="30"/>
        <v>16</v>
      </c>
      <c r="AG25" s="18">
        <f t="shared" ca="1" si="31"/>
        <v>0</v>
      </c>
      <c r="AH25" s="18">
        <f t="shared" ca="1" si="32"/>
        <v>72</v>
      </c>
      <c r="AI25" s="2">
        <f t="shared" ca="1" si="33"/>
        <v>0</v>
      </c>
      <c r="AJ25" s="19" t="str">
        <f t="shared" ca="1" si="34"/>
        <v>-</v>
      </c>
      <c r="AK25" s="2"/>
      <c r="AL25" s="13"/>
      <c r="AM25" s="2"/>
      <c r="AN25" s="13"/>
      <c r="AO25" s="2"/>
      <c r="AP25" s="13"/>
    </row>
    <row r="26" spans="1:42" ht="19.899999999999999" customHeight="1" x14ac:dyDescent="0.3">
      <c r="A26" s="2">
        <v>22</v>
      </c>
      <c r="B26" s="10" t="str">
        <f t="shared" ca="1" si="0"/>
        <v>Aleksib</v>
      </c>
      <c r="C26" s="4">
        <f t="shared" ca="1" si="1"/>
        <v>6</v>
      </c>
      <c r="D26" s="5">
        <f t="shared" ca="1" si="2"/>
        <v>0.96</v>
      </c>
      <c r="E26" s="6">
        <f t="shared" ca="1" si="3"/>
        <v>1.5873015873015869E-2</v>
      </c>
      <c r="F26" s="15">
        <f t="shared" ca="1" si="4"/>
        <v>2.3809523809523812E-2</v>
      </c>
      <c r="G26" s="6">
        <f t="shared" ca="1" si="5"/>
        <v>0.5</v>
      </c>
      <c r="H26" s="5">
        <f t="shared" ca="1" si="6"/>
        <v>0.11</v>
      </c>
      <c r="I26" s="5">
        <f t="shared" ca="1" si="7"/>
        <v>8.32</v>
      </c>
      <c r="J26" s="16">
        <f t="shared" ca="1" si="8"/>
        <v>1.1330769230769231</v>
      </c>
      <c r="K26" s="16">
        <f t="shared" ca="1" si="9"/>
        <v>0.42309090909090907</v>
      </c>
      <c r="L26" s="16">
        <f t="shared" ca="1" si="10"/>
        <v>48.289090909090923</v>
      </c>
      <c r="M26" s="14">
        <f t="shared" ca="1" si="11"/>
        <v>0.25</v>
      </c>
      <c r="N26" s="18">
        <f t="shared" ca="1" si="12"/>
        <v>121</v>
      </c>
      <c r="O26" s="2">
        <f t="shared" ca="1" si="13"/>
        <v>0.14000000000000001</v>
      </c>
      <c r="P26" s="13">
        <f t="shared" ca="1" si="14"/>
        <v>0.1</v>
      </c>
      <c r="Q26" s="14">
        <f t="shared" ca="1" si="15"/>
        <v>0.30199999999999999</v>
      </c>
      <c r="R26" s="13">
        <f t="shared" ca="1" si="16"/>
        <v>2.93</v>
      </c>
      <c r="S26" s="14">
        <f t="shared" ca="1" si="17"/>
        <v>9.5000000000000001E-2</v>
      </c>
      <c r="T26" s="14">
        <f t="shared" ca="1" si="18"/>
        <v>0.6</v>
      </c>
      <c r="U26" s="2">
        <f t="shared" ca="1" si="19"/>
        <v>75</v>
      </c>
      <c r="V26" s="17">
        <f t="shared" ca="1" si="20"/>
        <v>0</v>
      </c>
      <c r="W26" s="14">
        <f t="shared" ca="1" si="21"/>
        <v>0</v>
      </c>
      <c r="X26" s="14" t="str">
        <f t="shared" ca="1" si="22"/>
        <v>-</v>
      </c>
      <c r="Y26" s="13">
        <f t="shared" ca="1" si="23"/>
        <v>0.79</v>
      </c>
      <c r="Z26" s="13">
        <f t="shared" ca="1" si="24"/>
        <v>0.78</v>
      </c>
      <c r="AA26" s="17">
        <f t="shared" ca="1" si="25"/>
        <v>2.91</v>
      </c>
      <c r="AB26" s="2">
        <f t="shared" ca="1" si="26"/>
        <v>11</v>
      </c>
      <c r="AC26" s="2">
        <f t="shared" ca="1" si="27"/>
        <v>92</v>
      </c>
      <c r="AD26" s="18">
        <f t="shared" ca="1" si="28"/>
        <v>48</v>
      </c>
      <c r="AE26" s="18">
        <f t="shared" ca="1" si="29"/>
        <v>10</v>
      </c>
      <c r="AF26" s="18">
        <f t="shared" ca="1" si="30"/>
        <v>58</v>
      </c>
      <c r="AG26" s="18">
        <f t="shared" ca="1" si="31"/>
        <v>0</v>
      </c>
      <c r="AH26" s="18">
        <f t="shared" ca="1" si="32"/>
        <v>93</v>
      </c>
      <c r="AI26" s="2">
        <f t="shared" ca="1" si="33"/>
        <v>0</v>
      </c>
      <c r="AJ26" s="19" t="str">
        <f t="shared" ca="1" si="34"/>
        <v>-</v>
      </c>
      <c r="AK26" s="2"/>
      <c r="AL26" s="13"/>
      <c r="AM26" s="2"/>
      <c r="AN26" s="13"/>
      <c r="AO26" s="2"/>
      <c r="AP26" s="13"/>
    </row>
    <row r="27" spans="1:42" ht="19.899999999999999" customHeight="1" x14ac:dyDescent="0.3">
      <c r="A27" s="2">
        <v>23</v>
      </c>
      <c r="B27" s="10" t="str">
        <f t="shared" ca="1" si="0"/>
        <v>jcobbb</v>
      </c>
      <c r="C27" s="4">
        <f t="shared" ca="1" si="1"/>
        <v>9</v>
      </c>
      <c r="D27" s="5">
        <f t="shared" ca="1" si="2"/>
        <v>0.92</v>
      </c>
      <c r="E27" s="6">
        <f t="shared" ca="1" si="3"/>
        <v>2.8735632183908049E-2</v>
      </c>
      <c r="F27" s="15">
        <f t="shared" ca="1" si="4"/>
        <v>5.7471264367816091E-3</v>
      </c>
      <c r="G27" s="6">
        <f t="shared" ca="1" si="5"/>
        <v>0.73499999999999999</v>
      </c>
      <c r="H27" s="5">
        <f t="shared" ca="1" si="6"/>
        <v>0.02</v>
      </c>
      <c r="I27" s="5">
        <f t="shared" ca="1" si="7"/>
        <v>2.56</v>
      </c>
      <c r="J27" s="16">
        <f t="shared" ca="1" si="8"/>
        <v>1.169514563106796</v>
      </c>
      <c r="K27" s="16">
        <f t="shared" ca="1" si="9"/>
        <v>0.35155555555555562</v>
      </c>
      <c r="L27" s="16">
        <f t="shared" ca="1" si="10"/>
        <v>47.966666666666669</v>
      </c>
      <c r="M27" s="14">
        <f t="shared" ca="1" si="11"/>
        <v>0.19400000000000001</v>
      </c>
      <c r="N27" s="18">
        <f t="shared" ca="1" si="12"/>
        <v>122</v>
      </c>
      <c r="O27" s="2">
        <f t="shared" ca="1" si="13"/>
        <v>0.09</v>
      </c>
      <c r="P27" s="13">
        <f t="shared" ca="1" si="14"/>
        <v>0.08</v>
      </c>
      <c r="Q27" s="14">
        <f t="shared" ca="1" si="15"/>
        <v>0.25900000000000001</v>
      </c>
      <c r="R27" s="13">
        <f t="shared" ca="1" si="16"/>
        <v>2.16</v>
      </c>
      <c r="S27" s="14">
        <f t="shared" ca="1" si="17"/>
        <v>5.7000000000000002E-2</v>
      </c>
      <c r="T27" s="14">
        <f t="shared" ca="1" si="18"/>
        <v>0.5</v>
      </c>
      <c r="U27" s="2">
        <f t="shared" ca="1" si="19"/>
        <v>73</v>
      </c>
      <c r="V27" s="17">
        <f t="shared" ca="1" si="20"/>
        <v>0</v>
      </c>
      <c r="W27" s="14">
        <f t="shared" ca="1" si="21"/>
        <v>0</v>
      </c>
      <c r="X27" s="14" t="str">
        <f t="shared" ca="1" si="22"/>
        <v>-</v>
      </c>
      <c r="Y27" s="13">
        <f t="shared" ca="1" si="23"/>
        <v>0.56999999999999995</v>
      </c>
      <c r="Z27" s="13">
        <f t="shared" ca="1" si="24"/>
        <v>0.21</v>
      </c>
      <c r="AA27" s="17">
        <f t="shared" ca="1" si="25"/>
        <v>1.73</v>
      </c>
      <c r="AB27" s="2">
        <f t="shared" ca="1" si="26"/>
        <v>17</v>
      </c>
      <c r="AC27" s="2">
        <f t="shared" ca="1" si="27"/>
        <v>50</v>
      </c>
      <c r="AD27" s="18">
        <f t="shared" ca="1" si="28"/>
        <v>17</v>
      </c>
      <c r="AE27" s="18">
        <f t="shared" ca="1" si="29"/>
        <v>5</v>
      </c>
      <c r="AF27" s="18">
        <f t="shared" ca="1" si="30"/>
        <v>23</v>
      </c>
      <c r="AG27" s="18">
        <f t="shared" ca="1" si="31"/>
        <v>0</v>
      </c>
      <c r="AH27" s="18">
        <f t="shared" ca="1" si="32"/>
        <v>11</v>
      </c>
      <c r="AI27" s="2">
        <f t="shared" ca="1" si="33"/>
        <v>0</v>
      </c>
      <c r="AJ27" s="19" t="str">
        <f t="shared" ca="1" si="34"/>
        <v>-</v>
      </c>
      <c r="AK27" s="2"/>
      <c r="AL27" s="13"/>
      <c r="AM27" s="2"/>
      <c r="AN27" s="13"/>
      <c r="AO27" s="2"/>
      <c r="AP27" s="13"/>
    </row>
    <row r="28" spans="1:42" ht="19.899999999999999" customHeight="1" x14ac:dyDescent="0.3">
      <c r="A28" s="2">
        <v>24</v>
      </c>
      <c r="B28" s="10" t="str">
        <f t="shared" ca="1" si="0"/>
        <v>FalleN</v>
      </c>
      <c r="C28" s="4">
        <f t="shared" ca="1" si="1"/>
        <v>3</v>
      </c>
      <c r="D28" s="5">
        <f t="shared" ca="1" si="2"/>
        <v>0.9</v>
      </c>
      <c r="E28" s="6">
        <f t="shared" ca="1" si="3"/>
        <v>4.7619047619047623E-2</v>
      </c>
      <c r="F28" s="15">
        <f t="shared" ca="1" si="4"/>
        <v>9.5238095238095233E-2</v>
      </c>
      <c r="G28" s="6">
        <f t="shared" ca="1" si="5"/>
        <v>0.438</v>
      </c>
      <c r="H28" s="5">
        <f t="shared" ca="1" si="6"/>
        <v>0.08</v>
      </c>
      <c r="I28" s="5">
        <f t="shared" ca="1" si="7"/>
        <v>2.7</v>
      </c>
      <c r="J28" s="16">
        <f t="shared" ca="1" si="8"/>
        <v>1.56</v>
      </c>
      <c r="K28" s="16">
        <f t="shared" ca="1" si="9"/>
        <v>0.25435897435897431</v>
      </c>
      <c r="L28" s="16">
        <f t="shared" ca="1" si="10"/>
        <v>24.746153846153859</v>
      </c>
      <c r="M28" s="14">
        <f t="shared" ca="1" si="11"/>
        <v>0.438</v>
      </c>
      <c r="N28" s="18">
        <f t="shared" ca="1" si="12"/>
        <v>103</v>
      </c>
      <c r="O28" s="2">
        <f t="shared" ca="1" si="13"/>
        <v>0.1</v>
      </c>
      <c r="P28" s="13">
        <f t="shared" ca="1" si="14"/>
        <v>0.1</v>
      </c>
      <c r="Q28" s="14">
        <f t="shared" ca="1" si="15"/>
        <v>0.23799999999999999</v>
      </c>
      <c r="R28" s="13">
        <f t="shared" ca="1" si="16"/>
        <v>2.2400000000000002</v>
      </c>
      <c r="S28" s="14">
        <f t="shared" ca="1" si="17"/>
        <v>0.111</v>
      </c>
      <c r="T28" s="14">
        <f t="shared" ca="1" si="18"/>
        <v>1</v>
      </c>
      <c r="U28" s="2">
        <f t="shared" ca="1" si="19"/>
        <v>73</v>
      </c>
      <c r="V28" s="17">
        <f t="shared" ca="1" si="20"/>
        <v>0.03</v>
      </c>
      <c r="W28" s="14">
        <f t="shared" ca="1" si="21"/>
        <v>6.2E-2</v>
      </c>
      <c r="X28" s="14">
        <f t="shared" ca="1" si="22"/>
        <v>4.8000000000000001E-2</v>
      </c>
      <c r="Y28" s="13">
        <f t="shared" ca="1" si="23"/>
        <v>3.17</v>
      </c>
      <c r="Z28" s="13">
        <f t="shared" ca="1" si="24"/>
        <v>1.1599999999999999</v>
      </c>
      <c r="AA28" s="17">
        <f t="shared" ca="1" si="25"/>
        <v>2.06</v>
      </c>
      <c r="AB28" s="2">
        <f t="shared" ca="1" si="26"/>
        <v>7</v>
      </c>
      <c r="AC28" s="2">
        <f t="shared" ca="1" si="27"/>
        <v>10</v>
      </c>
      <c r="AD28" s="18">
        <f t="shared" ca="1" si="28"/>
        <v>44</v>
      </c>
      <c r="AE28" s="18">
        <f t="shared" ca="1" si="29"/>
        <v>15</v>
      </c>
      <c r="AF28" s="18">
        <f t="shared" ca="1" si="30"/>
        <v>92</v>
      </c>
      <c r="AG28" s="18">
        <f t="shared" ca="1" si="31"/>
        <v>5</v>
      </c>
      <c r="AH28" s="18">
        <f t="shared" ca="1" si="32"/>
        <v>61</v>
      </c>
      <c r="AI28" s="2">
        <f t="shared" ca="1" si="33"/>
        <v>0</v>
      </c>
      <c r="AJ28" s="19" t="str">
        <f t="shared" ca="1" si="34"/>
        <v>-</v>
      </c>
      <c r="AK28" s="2"/>
      <c r="AL28" s="13"/>
      <c r="AM28" s="2"/>
      <c r="AN28" s="13"/>
      <c r="AO28" s="2"/>
      <c r="AP28" s="13"/>
    </row>
    <row r="29" spans="1:42" ht="19.899999999999999" customHeight="1" x14ac:dyDescent="0.3">
      <c r="A29" s="2">
        <v>25</v>
      </c>
      <c r="B29" s="10" t="str">
        <f t="shared" ca="1" si="0"/>
        <v>karrigan</v>
      </c>
      <c r="C29" s="4">
        <f t="shared" ca="1" si="1"/>
        <v>9</v>
      </c>
      <c r="D29" s="5">
        <f t="shared" ca="1" si="2"/>
        <v>0.89</v>
      </c>
      <c r="E29" s="6">
        <f t="shared" ca="1" si="3"/>
        <v>2.8735632183908049E-2</v>
      </c>
      <c r="F29" s="15">
        <f t="shared" ca="1" si="4"/>
        <v>5.7471264367816091E-3</v>
      </c>
      <c r="G29" s="6">
        <f t="shared" ca="1" si="5"/>
        <v>0.46899999999999997</v>
      </c>
      <c r="H29" s="5">
        <f t="shared" ca="1" si="6"/>
        <v>0.05</v>
      </c>
      <c r="I29" s="5">
        <f t="shared" ca="1" si="7"/>
        <v>5.17</v>
      </c>
      <c r="J29" s="16">
        <f t="shared" ca="1" si="8"/>
        <v>1.125728155339806</v>
      </c>
      <c r="K29" s="16">
        <f t="shared" ca="1" si="9"/>
        <v>0.35733333333333328</v>
      </c>
      <c r="L29" s="16">
        <f t="shared" ca="1" si="10"/>
        <v>49.3</v>
      </c>
      <c r="M29" s="14">
        <f t="shared" ca="1" si="11"/>
        <v>0.26</v>
      </c>
      <c r="N29" s="18">
        <f t="shared" ca="1" si="12"/>
        <v>110</v>
      </c>
      <c r="O29" s="2">
        <f t="shared" ca="1" si="13"/>
        <v>0.11</v>
      </c>
      <c r="P29" s="13">
        <f t="shared" ca="1" si="14"/>
        <v>0.06</v>
      </c>
      <c r="Q29" s="14">
        <f t="shared" ca="1" si="15"/>
        <v>0.24099999999999999</v>
      </c>
      <c r="R29" s="13">
        <f t="shared" ca="1" si="16"/>
        <v>2.56</v>
      </c>
      <c r="S29" s="14">
        <f t="shared" ca="1" si="17"/>
        <v>5.1999999999999998E-2</v>
      </c>
      <c r="T29" s="14">
        <f t="shared" ca="1" si="18"/>
        <v>1</v>
      </c>
      <c r="U29" s="2">
        <f t="shared" ca="1" si="19"/>
        <v>73</v>
      </c>
      <c r="V29" s="17">
        <f t="shared" ca="1" si="20"/>
        <v>0.01</v>
      </c>
      <c r="W29" s="14">
        <f t="shared" ca="1" si="21"/>
        <v>0.01</v>
      </c>
      <c r="X29" s="14">
        <f t="shared" ca="1" si="22"/>
        <v>6.0000000000000001E-3</v>
      </c>
      <c r="Y29" s="13">
        <f t="shared" ca="1" si="23"/>
        <v>1.72</v>
      </c>
      <c r="Z29" s="13">
        <f t="shared" ca="1" si="24"/>
        <v>0.89</v>
      </c>
      <c r="AA29" s="17">
        <f t="shared" ca="1" si="25"/>
        <v>2.4</v>
      </c>
      <c r="AB29" s="2">
        <f t="shared" ca="1" si="26"/>
        <v>14</v>
      </c>
      <c r="AC29" s="2">
        <f t="shared" ca="1" si="27"/>
        <v>65</v>
      </c>
      <c r="AD29" s="18">
        <f t="shared" ca="1" si="28"/>
        <v>22</v>
      </c>
      <c r="AE29" s="18">
        <f t="shared" ca="1" si="29"/>
        <v>44</v>
      </c>
      <c r="AF29" s="18">
        <f t="shared" ca="1" si="30"/>
        <v>23</v>
      </c>
      <c r="AG29" s="18">
        <f t="shared" ca="1" si="31"/>
        <v>0</v>
      </c>
      <c r="AH29" s="18">
        <f t="shared" ca="1" si="32"/>
        <v>80</v>
      </c>
      <c r="AI29" s="2">
        <f t="shared" ca="1" si="33"/>
        <v>0</v>
      </c>
      <c r="AJ29" s="19" t="str">
        <f t="shared" ca="1" si="34"/>
        <v>-</v>
      </c>
      <c r="AK29" s="2"/>
      <c r="AL29" s="13"/>
      <c r="AM29" s="2"/>
      <c r="AN29" s="13"/>
      <c r="AO29" s="2"/>
      <c r="AP29" s="13"/>
    </row>
    <row r="30" spans="1:42" ht="19.899999999999999" customHeight="1" x14ac:dyDescent="0.3">
      <c r="A30" s="2">
        <v>26</v>
      </c>
      <c r="B30" s="10" t="str">
        <f t="shared" ca="1" si="0"/>
        <v>Spinx</v>
      </c>
      <c r="C30" s="4">
        <f t="shared" ca="1" si="1"/>
        <v>2</v>
      </c>
      <c r="D30" s="5">
        <f t="shared" ca="1" si="2"/>
        <v>0.88</v>
      </c>
      <c r="E30" s="6">
        <f t="shared" ca="1" si="3"/>
        <v>5.128205128205128E-2</v>
      </c>
      <c r="F30" s="15">
        <f t="shared" ca="1" si="4"/>
        <v>5.128205128205128E-2</v>
      </c>
      <c r="G30" s="6">
        <f t="shared" ca="1" si="5"/>
        <v>0.61899999999999999</v>
      </c>
      <c r="H30" s="5">
        <f t="shared" ca="1" si="6"/>
        <v>0</v>
      </c>
      <c r="I30" s="5">
        <f t="shared" ca="1" si="7"/>
        <v>3.05</v>
      </c>
      <c r="J30" s="16" t="str">
        <f t="shared" ca="1" si="8"/>
        <v>-</v>
      </c>
      <c r="K30" s="16">
        <f t="shared" ca="1" si="9"/>
        <v>0.30769230769230771</v>
      </c>
      <c r="L30" s="16">
        <f t="shared" ca="1" si="10"/>
        <v>34.700000000000003</v>
      </c>
      <c r="M30" s="14">
        <f t="shared" ca="1" si="11"/>
        <v>0.33300000000000002</v>
      </c>
      <c r="N30" s="18">
        <f t="shared" ca="1" si="12"/>
        <v>104</v>
      </c>
      <c r="O30" s="2">
        <f t="shared" ca="1" si="13"/>
        <v>0.21</v>
      </c>
      <c r="P30" s="13">
        <f t="shared" ca="1" si="14"/>
        <v>0.18</v>
      </c>
      <c r="Q30" s="14">
        <f t="shared" ca="1" si="15"/>
        <v>0.17899999999999999</v>
      </c>
      <c r="R30" s="13">
        <f t="shared" ca="1" si="16"/>
        <v>1.41</v>
      </c>
      <c r="S30" s="14">
        <f t="shared" ca="1" si="17"/>
        <v>0.17899999999999999</v>
      </c>
      <c r="T30" s="14" t="str">
        <f t="shared" ca="1" si="18"/>
        <v>-</v>
      </c>
      <c r="U30" s="2">
        <f t="shared" ca="1" si="19"/>
        <v>72</v>
      </c>
      <c r="V30" s="17">
        <f t="shared" ca="1" si="20"/>
        <v>0</v>
      </c>
      <c r="W30" s="14">
        <f t="shared" ca="1" si="21"/>
        <v>0</v>
      </c>
      <c r="X30" s="14" t="str">
        <f t="shared" ca="1" si="22"/>
        <v>-</v>
      </c>
      <c r="Y30" s="13">
        <f t="shared" ca="1" si="23"/>
        <v>0</v>
      </c>
      <c r="Z30" s="13">
        <f t="shared" ca="1" si="24"/>
        <v>0.21</v>
      </c>
      <c r="AA30" s="17">
        <f t="shared" ca="1" si="25"/>
        <v>1.01</v>
      </c>
      <c r="AB30" s="2">
        <f t="shared" ca="1" si="26"/>
        <v>4</v>
      </c>
      <c r="AC30" s="2">
        <f t="shared" ca="1" si="27"/>
        <v>92</v>
      </c>
      <c r="AD30" s="18">
        <f t="shared" ca="1" si="28"/>
        <v>99</v>
      </c>
      <c r="AE30" s="18">
        <f t="shared" ca="1" si="29"/>
        <v>11</v>
      </c>
      <c r="AF30" s="18">
        <f t="shared" ca="1" si="30"/>
        <v>97</v>
      </c>
      <c r="AG30" s="18">
        <f t="shared" ca="1" si="31"/>
        <v>0</v>
      </c>
      <c r="AH30" s="18">
        <f t="shared" ca="1" si="32"/>
        <v>8</v>
      </c>
      <c r="AI30" s="2">
        <f t="shared" ca="1" si="33"/>
        <v>0</v>
      </c>
      <c r="AJ30" s="19" t="str">
        <f t="shared" ca="1" si="34"/>
        <v>-</v>
      </c>
      <c r="AK30" s="2"/>
      <c r="AL30" s="13"/>
      <c r="AM30" s="2"/>
      <c r="AN30" s="13"/>
      <c r="AO30" s="2"/>
      <c r="AP30" s="13"/>
    </row>
    <row r="31" spans="1:42" ht="19.899999999999999" customHeight="1" x14ac:dyDescent="0.3">
      <c r="A31" s="2">
        <v>27</v>
      </c>
      <c r="B31" s="10" t="str">
        <f t="shared" ca="1" si="0"/>
        <v>xertioN</v>
      </c>
      <c r="C31" s="4">
        <f t="shared" ca="1" si="1"/>
        <v>2</v>
      </c>
      <c r="D31" s="5">
        <f t="shared" ca="1" si="2"/>
        <v>0.87</v>
      </c>
      <c r="E31" s="6">
        <f t="shared" ca="1" si="3"/>
        <v>2.564102564102564E-2</v>
      </c>
      <c r="F31" s="15">
        <f t="shared" ca="1" si="4"/>
        <v>5.128205128205128E-2</v>
      </c>
      <c r="G31" s="6">
        <f t="shared" ca="1" si="5"/>
        <v>0.61099999999999999</v>
      </c>
      <c r="H31" s="5">
        <f t="shared" ca="1" si="6"/>
        <v>0</v>
      </c>
      <c r="I31" s="5">
        <f t="shared" ca="1" si="7"/>
        <v>7.72</v>
      </c>
      <c r="J31" s="16" t="str">
        <f t="shared" ca="1" si="8"/>
        <v>-</v>
      </c>
      <c r="K31" s="16">
        <f t="shared" ca="1" si="9"/>
        <v>0.15230769230769231</v>
      </c>
      <c r="L31" s="16">
        <f t="shared" ca="1" si="10"/>
        <v>39.100000000000023</v>
      </c>
      <c r="M31" s="14">
        <f t="shared" ca="1" si="11"/>
        <v>0.27800000000000002</v>
      </c>
      <c r="N31" s="18">
        <f t="shared" ca="1" si="12"/>
        <v>143</v>
      </c>
      <c r="O31" s="2">
        <f t="shared" ca="1" si="13"/>
        <v>0.13</v>
      </c>
      <c r="P31" s="13">
        <f t="shared" ca="1" si="14"/>
        <v>0.03</v>
      </c>
      <c r="Q31" s="14">
        <f t="shared" ca="1" si="15"/>
        <v>0.25600000000000001</v>
      </c>
      <c r="R31" s="13">
        <f t="shared" ca="1" si="16"/>
        <v>2.59</v>
      </c>
      <c r="S31" s="14">
        <f t="shared" ca="1" si="17"/>
        <v>0.10299999999999999</v>
      </c>
      <c r="T31" s="14" t="str">
        <f t="shared" ca="1" si="18"/>
        <v>-</v>
      </c>
      <c r="U31" s="2">
        <f t="shared" ca="1" si="19"/>
        <v>71</v>
      </c>
      <c r="V31" s="17">
        <f t="shared" ca="1" si="20"/>
        <v>0</v>
      </c>
      <c r="W31" s="14">
        <f t="shared" ca="1" si="21"/>
        <v>0</v>
      </c>
      <c r="X31" s="14" t="str">
        <f t="shared" ca="1" si="22"/>
        <v>-</v>
      </c>
      <c r="Y31" s="13">
        <f t="shared" ca="1" si="23"/>
        <v>0</v>
      </c>
      <c r="Z31" s="13">
        <f t="shared" ca="1" si="24"/>
        <v>0.59</v>
      </c>
      <c r="AA31" s="17">
        <f t="shared" ca="1" si="25"/>
        <v>2.44</v>
      </c>
      <c r="AB31" s="2">
        <f t="shared" ca="1" si="26"/>
        <v>7</v>
      </c>
      <c r="AC31" s="2">
        <f t="shared" ca="1" si="27"/>
        <v>93</v>
      </c>
      <c r="AD31" s="18">
        <f t="shared" ca="1" si="28"/>
        <v>9</v>
      </c>
      <c r="AE31" s="18">
        <f t="shared" ca="1" si="29"/>
        <v>48</v>
      </c>
      <c r="AF31" s="18">
        <f t="shared" ca="1" si="30"/>
        <v>88</v>
      </c>
      <c r="AG31" s="18">
        <f t="shared" ca="1" si="31"/>
        <v>0</v>
      </c>
      <c r="AH31" s="18">
        <f t="shared" ca="1" si="32"/>
        <v>66</v>
      </c>
      <c r="AI31" s="2">
        <f t="shared" ca="1" si="33"/>
        <v>0</v>
      </c>
      <c r="AJ31" s="19" t="str">
        <f t="shared" ca="1" si="34"/>
        <v>-</v>
      </c>
      <c r="AK31" s="2"/>
      <c r="AL31" s="13"/>
      <c r="AM31" s="2"/>
      <c r="AN31" s="13"/>
      <c r="AO31" s="2"/>
      <c r="AP31" s="13"/>
    </row>
    <row r="32" spans="1:42" ht="19.899999999999999" customHeight="1" x14ac:dyDescent="0.3">
      <c r="A32" s="2">
        <v>28</v>
      </c>
      <c r="B32" s="10" t="str">
        <f t="shared" ca="1" si="0"/>
        <v>yuurih</v>
      </c>
      <c r="C32" s="4">
        <f t="shared" ca="1" si="1"/>
        <v>3</v>
      </c>
      <c r="D32" s="5">
        <f t="shared" ca="1" si="2"/>
        <v>0.86</v>
      </c>
      <c r="E32" s="6">
        <f t="shared" ca="1" si="3"/>
        <v>0</v>
      </c>
      <c r="F32" s="15">
        <f t="shared" ca="1" si="4"/>
        <v>3.1746031746031737E-2</v>
      </c>
      <c r="G32" s="6">
        <f t="shared" ca="1" si="5"/>
        <v>0.52900000000000003</v>
      </c>
      <c r="H32" s="5">
        <f t="shared" ca="1" si="6"/>
        <v>0.02</v>
      </c>
      <c r="I32" s="5">
        <f t="shared" ca="1" si="7"/>
        <v>4.6500000000000004</v>
      </c>
      <c r="J32" s="16">
        <f t="shared" ca="1" si="8"/>
        <v>1.06</v>
      </c>
      <c r="K32" s="16">
        <f t="shared" ca="1" si="9"/>
        <v>0.38564102564102559</v>
      </c>
      <c r="L32" s="16">
        <f t="shared" ca="1" si="10"/>
        <v>44.53846153846154</v>
      </c>
      <c r="M32" s="14">
        <f t="shared" ca="1" si="11"/>
        <v>0.26500000000000001</v>
      </c>
      <c r="N32" s="18">
        <f t="shared" ca="1" si="12"/>
        <v>114</v>
      </c>
      <c r="O32" s="2">
        <f t="shared" ca="1" si="13"/>
        <v>0.08</v>
      </c>
      <c r="P32" s="13">
        <f t="shared" ca="1" si="14"/>
        <v>0.1</v>
      </c>
      <c r="Q32" s="14">
        <f t="shared" ca="1" si="15"/>
        <v>0.27</v>
      </c>
      <c r="R32" s="13">
        <f t="shared" ca="1" si="16"/>
        <v>2.63</v>
      </c>
      <c r="S32" s="14">
        <f t="shared" ca="1" si="17"/>
        <v>0.111</v>
      </c>
      <c r="T32" s="14" t="str">
        <f t="shared" ca="1" si="18"/>
        <v>-</v>
      </c>
      <c r="U32" s="2">
        <f t="shared" ca="1" si="19"/>
        <v>74</v>
      </c>
      <c r="V32" s="17">
        <f t="shared" ca="1" si="20"/>
        <v>0</v>
      </c>
      <c r="W32" s="14">
        <f t="shared" ca="1" si="21"/>
        <v>0</v>
      </c>
      <c r="X32" s="14" t="str">
        <f t="shared" ca="1" si="22"/>
        <v>-</v>
      </c>
      <c r="Y32" s="13">
        <f t="shared" ca="1" si="23"/>
        <v>3.17</v>
      </c>
      <c r="Z32" s="13">
        <f t="shared" ca="1" si="24"/>
        <v>0.56999999999999995</v>
      </c>
      <c r="AA32" s="17">
        <f t="shared" ca="1" si="25"/>
        <v>2.35</v>
      </c>
      <c r="AB32" s="2">
        <f t="shared" ca="1" si="26"/>
        <v>10</v>
      </c>
      <c r="AC32" s="2">
        <f t="shared" ca="1" si="27"/>
        <v>15</v>
      </c>
      <c r="AD32" s="18">
        <f t="shared" ca="1" si="28"/>
        <v>15</v>
      </c>
      <c r="AE32" s="18">
        <f t="shared" ca="1" si="29"/>
        <v>60</v>
      </c>
      <c r="AF32" s="18">
        <f t="shared" ca="1" si="30"/>
        <v>74</v>
      </c>
      <c r="AG32" s="18">
        <f t="shared" ca="1" si="31"/>
        <v>0</v>
      </c>
      <c r="AH32" s="18">
        <f t="shared" ca="1" si="32"/>
        <v>57</v>
      </c>
      <c r="AI32" s="2">
        <f t="shared" ca="1" si="33"/>
        <v>0</v>
      </c>
      <c r="AJ32" s="19" t="str">
        <f t="shared" ca="1" si="34"/>
        <v>-</v>
      </c>
      <c r="AK32" s="2"/>
      <c r="AL32" s="13"/>
      <c r="AM32" s="2"/>
      <c r="AN32" s="13"/>
      <c r="AO32" s="2"/>
      <c r="AP32" s="13"/>
    </row>
    <row r="33" spans="1:48" ht="19.899999999999999" customHeight="1" x14ac:dyDescent="0.3">
      <c r="A33" s="2">
        <v>29</v>
      </c>
      <c r="B33" s="10" t="str">
        <f t="shared" ca="1" si="0"/>
        <v>910</v>
      </c>
      <c r="C33" s="4">
        <f t="shared" ca="1" si="1"/>
        <v>2</v>
      </c>
      <c r="D33" s="5">
        <f t="shared" ca="1" si="2"/>
        <v>0.86</v>
      </c>
      <c r="E33" s="6">
        <f t="shared" ca="1" si="3"/>
        <v>5.7142857142857141E-2</v>
      </c>
      <c r="F33" s="15">
        <f t="shared" ca="1" si="4"/>
        <v>0</v>
      </c>
      <c r="G33" s="6">
        <f t="shared" ca="1" si="5"/>
        <v>0.435</v>
      </c>
      <c r="H33" s="5">
        <f t="shared" ca="1" si="6"/>
        <v>0.03</v>
      </c>
      <c r="I33" s="5">
        <f t="shared" ca="1" si="7"/>
        <v>1.31</v>
      </c>
      <c r="J33" s="16" t="str">
        <f t="shared" ca="1" si="8"/>
        <v>-</v>
      </c>
      <c r="K33" s="16">
        <f t="shared" ca="1" si="9"/>
        <v>0.57653846153846156</v>
      </c>
      <c r="L33" s="16">
        <f t="shared" ca="1" si="10"/>
        <v>53.861538461538473</v>
      </c>
      <c r="M33" s="14">
        <f t="shared" ca="1" si="11"/>
        <v>0.435</v>
      </c>
      <c r="N33" s="18">
        <f t="shared" ca="1" si="12"/>
        <v>96</v>
      </c>
      <c r="O33" s="2">
        <f t="shared" ca="1" si="13"/>
        <v>0.03</v>
      </c>
      <c r="P33" s="13">
        <f t="shared" ca="1" si="14"/>
        <v>0.09</v>
      </c>
      <c r="Q33" s="14">
        <f t="shared" ca="1" si="15"/>
        <v>8.5999999999999993E-2</v>
      </c>
      <c r="R33" s="13">
        <f t="shared" ca="1" si="16"/>
        <v>1.8</v>
      </c>
      <c r="S33" s="14">
        <f t="shared" ca="1" si="17"/>
        <v>0.22900000000000001</v>
      </c>
      <c r="T33" s="14" t="str">
        <f t="shared" ca="1" si="18"/>
        <v>-</v>
      </c>
      <c r="U33" s="2">
        <f t="shared" ca="1" si="19"/>
        <v>69</v>
      </c>
      <c r="V33" s="17">
        <f t="shared" ca="1" si="20"/>
        <v>0.23</v>
      </c>
      <c r="W33" s="14">
        <f t="shared" ca="1" si="21"/>
        <v>0.34799999999999998</v>
      </c>
      <c r="X33" s="14">
        <f t="shared" ca="1" si="22"/>
        <v>0.17100000000000001</v>
      </c>
      <c r="Y33" s="13">
        <f t="shared" ca="1" si="23"/>
        <v>0</v>
      </c>
      <c r="Z33" s="13">
        <f t="shared" ca="1" si="24"/>
        <v>0.8</v>
      </c>
      <c r="AA33" s="17">
        <f t="shared" ca="1" si="25"/>
        <v>1.3</v>
      </c>
      <c r="AB33" s="2">
        <f t="shared" ca="1" si="26"/>
        <v>19</v>
      </c>
      <c r="AC33" s="2">
        <f t="shared" ca="1" si="27"/>
        <v>23</v>
      </c>
      <c r="AD33" s="18">
        <f t="shared" ca="1" si="28"/>
        <v>53</v>
      </c>
      <c r="AE33" s="18">
        <f t="shared" ca="1" si="29"/>
        <v>32</v>
      </c>
      <c r="AF33" s="18">
        <f t="shared" ca="1" si="30"/>
        <v>24</v>
      </c>
      <c r="AG33" s="18">
        <f t="shared" ca="1" si="31"/>
        <v>56</v>
      </c>
      <c r="AH33" s="18">
        <f t="shared" ca="1" si="32"/>
        <v>43</v>
      </c>
      <c r="AI33" s="2">
        <f t="shared" ca="1" si="33"/>
        <v>0</v>
      </c>
      <c r="AJ33" s="19" t="str">
        <f t="shared" ca="1" si="34"/>
        <v>-</v>
      </c>
      <c r="AK33" s="2"/>
      <c r="AL33" s="13"/>
      <c r="AM33" s="2"/>
      <c r="AN33" s="13"/>
      <c r="AO33" s="2"/>
      <c r="AP33" s="13"/>
    </row>
    <row r="34" spans="1:48" ht="19.899999999999999" customHeight="1" x14ac:dyDescent="0.3">
      <c r="A34" s="2">
        <v>30</v>
      </c>
      <c r="B34" s="10" t="str">
        <f t="shared" ca="1" si="0"/>
        <v>bLitz</v>
      </c>
      <c r="C34" s="4">
        <f t="shared" ca="1" si="1"/>
        <v>2</v>
      </c>
      <c r="D34" s="5">
        <f t="shared" ca="1" si="2"/>
        <v>0.86</v>
      </c>
      <c r="E34" s="6">
        <f t="shared" ca="1" si="3"/>
        <v>2.8571428571428571E-2</v>
      </c>
      <c r="F34" s="15">
        <f t="shared" ca="1" si="4"/>
        <v>0</v>
      </c>
      <c r="G34" s="6">
        <f t="shared" ca="1" si="5"/>
        <v>0.44400000000000001</v>
      </c>
      <c r="H34" s="5">
        <f t="shared" ca="1" si="6"/>
        <v>0.03</v>
      </c>
      <c r="I34" s="5">
        <f t="shared" ca="1" si="7"/>
        <v>11.06</v>
      </c>
      <c r="J34" s="16" t="str">
        <f t="shared" ca="1" si="8"/>
        <v>-</v>
      </c>
      <c r="K34" s="16">
        <f t="shared" ca="1" si="9"/>
        <v>0.42230769230769227</v>
      </c>
      <c r="L34" s="16">
        <f t="shared" ca="1" si="10"/>
        <v>73.861538461538458</v>
      </c>
      <c r="M34" s="14">
        <f t="shared" ca="1" si="11"/>
        <v>0.222</v>
      </c>
      <c r="N34" s="18">
        <f t="shared" ca="1" si="12"/>
        <v>154</v>
      </c>
      <c r="O34" s="2">
        <f t="shared" ca="1" si="13"/>
        <v>0.09</v>
      </c>
      <c r="P34" s="13">
        <f t="shared" ca="1" si="14"/>
        <v>0.06</v>
      </c>
      <c r="Q34" s="14">
        <f t="shared" ca="1" si="15"/>
        <v>0.17100000000000001</v>
      </c>
      <c r="R34" s="13">
        <f t="shared" ca="1" si="16"/>
        <v>3.66</v>
      </c>
      <c r="S34" s="14">
        <f t="shared" ca="1" si="17"/>
        <v>0.114</v>
      </c>
      <c r="T34" s="14" t="str">
        <f t="shared" ca="1" si="18"/>
        <v>-</v>
      </c>
      <c r="U34" s="2">
        <f t="shared" ca="1" si="19"/>
        <v>67</v>
      </c>
      <c r="V34" s="17">
        <f t="shared" ca="1" si="20"/>
        <v>0</v>
      </c>
      <c r="W34" s="14">
        <f t="shared" ca="1" si="21"/>
        <v>0</v>
      </c>
      <c r="X34" s="14" t="str">
        <f t="shared" ca="1" si="22"/>
        <v>-</v>
      </c>
      <c r="Y34" s="13">
        <f t="shared" ca="1" si="23"/>
        <v>0</v>
      </c>
      <c r="Z34" s="13">
        <f t="shared" ca="1" si="24"/>
        <v>0.8</v>
      </c>
      <c r="AA34" s="17">
        <f t="shared" ca="1" si="25"/>
        <v>2.76</v>
      </c>
      <c r="AB34" s="2">
        <f t="shared" ca="1" si="26"/>
        <v>27</v>
      </c>
      <c r="AC34" s="2">
        <f t="shared" ca="1" si="27"/>
        <v>15</v>
      </c>
      <c r="AD34" s="18">
        <f t="shared" ca="1" si="28"/>
        <v>3</v>
      </c>
      <c r="AE34" s="18">
        <f t="shared" ca="1" si="29"/>
        <v>60</v>
      </c>
      <c r="AF34" s="18">
        <f t="shared" ca="1" si="30"/>
        <v>16</v>
      </c>
      <c r="AG34" s="18">
        <f t="shared" ca="1" si="31"/>
        <v>0</v>
      </c>
      <c r="AH34" s="18">
        <f t="shared" ca="1" si="32"/>
        <v>84</v>
      </c>
      <c r="AI34" s="2">
        <f t="shared" ca="1" si="33"/>
        <v>0</v>
      </c>
      <c r="AJ34" s="19" t="str">
        <f t="shared" ca="1" si="34"/>
        <v>-</v>
      </c>
      <c r="AK34" s="2"/>
      <c r="AL34" s="13"/>
      <c r="AM34" s="2"/>
      <c r="AN34" s="13"/>
      <c r="AO34" s="2"/>
      <c r="AP34" s="13"/>
    </row>
    <row r="35" spans="1:48" ht="19.899999999999999" customHeight="1" x14ac:dyDescent="0.3">
      <c r="A35" s="2">
        <v>31</v>
      </c>
      <c r="B35" s="10" t="str">
        <f t="shared" ca="1" si="0"/>
        <v>YEKINDAR</v>
      </c>
      <c r="C35" s="4">
        <f t="shared" ca="1" si="1"/>
        <v>3</v>
      </c>
      <c r="D35" s="5">
        <f t="shared" ca="1" si="2"/>
        <v>0.84</v>
      </c>
      <c r="E35" s="6">
        <f t="shared" ca="1" si="3"/>
        <v>1.5873015873015869E-2</v>
      </c>
      <c r="F35" s="15">
        <f t="shared" ca="1" si="4"/>
        <v>0</v>
      </c>
      <c r="G35" s="6">
        <f t="shared" ca="1" si="5"/>
        <v>0.48499999999999999</v>
      </c>
      <c r="H35" s="5">
        <f t="shared" ca="1" si="6"/>
        <v>0.08</v>
      </c>
      <c r="I35" s="5">
        <f t="shared" ca="1" si="7"/>
        <v>4.08</v>
      </c>
      <c r="J35" s="16">
        <f t="shared" ca="1" si="8"/>
        <v>0.99</v>
      </c>
      <c r="K35" s="16">
        <f t="shared" ca="1" si="9"/>
        <v>0.25538461538461538</v>
      </c>
      <c r="L35" s="16">
        <f t="shared" ca="1" si="10"/>
        <v>44.107692307692332</v>
      </c>
      <c r="M35" s="14">
        <f t="shared" ca="1" si="11"/>
        <v>0.121</v>
      </c>
      <c r="N35" s="18">
        <f t="shared" ca="1" si="12"/>
        <v>134</v>
      </c>
      <c r="O35" s="2">
        <f t="shared" ca="1" si="13"/>
        <v>0.11</v>
      </c>
      <c r="P35" s="13">
        <f t="shared" ca="1" si="14"/>
        <v>0.1</v>
      </c>
      <c r="Q35" s="14">
        <f t="shared" ca="1" si="15"/>
        <v>0.254</v>
      </c>
      <c r="R35" s="13">
        <f t="shared" ca="1" si="16"/>
        <v>2.78</v>
      </c>
      <c r="S35" s="14">
        <f t="shared" ca="1" si="17"/>
        <v>0.127</v>
      </c>
      <c r="T35" s="14" t="str">
        <f t="shared" ca="1" si="18"/>
        <v>-</v>
      </c>
      <c r="U35" s="2">
        <f t="shared" ca="1" si="19"/>
        <v>72</v>
      </c>
      <c r="V35" s="17">
        <f t="shared" ca="1" si="20"/>
        <v>0</v>
      </c>
      <c r="W35" s="14">
        <f t="shared" ca="1" si="21"/>
        <v>0</v>
      </c>
      <c r="X35" s="14" t="str">
        <f t="shared" ca="1" si="22"/>
        <v>-</v>
      </c>
      <c r="Y35" s="13">
        <f t="shared" ca="1" si="23"/>
        <v>0</v>
      </c>
      <c r="Z35" s="13">
        <f t="shared" ca="1" si="24"/>
        <v>0.65</v>
      </c>
      <c r="AA35" s="17">
        <f t="shared" ca="1" si="25"/>
        <v>2.91</v>
      </c>
      <c r="AB35" s="2">
        <f t="shared" ca="1" si="26"/>
        <v>25</v>
      </c>
      <c r="AC35" s="2">
        <f t="shared" ca="1" si="27"/>
        <v>26</v>
      </c>
      <c r="AD35" s="18">
        <f t="shared" ca="1" si="28"/>
        <v>13</v>
      </c>
      <c r="AE35" s="18">
        <f t="shared" ca="1" si="29"/>
        <v>78</v>
      </c>
      <c r="AF35" s="18">
        <f t="shared" ca="1" si="30"/>
        <v>20</v>
      </c>
      <c r="AG35" s="18">
        <f t="shared" ca="1" si="31"/>
        <v>0</v>
      </c>
      <c r="AH35" s="18">
        <f t="shared" ca="1" si="32"/>
        <v>64</v>
      </c>
      <c r="AI35" s="2">
        <f t="shared" ca="1" si="33"/>
        <v>0</v>
      </c>
      <c r="AJ35" s="19" t="str">
        <f t="shared" ca="1" si="34"/>
        <v>-</v>
      </c>
      <c r="AK35" s="2"/>
      <c r="AL35" s="13"/>
      <c r="AM35" s="2"/>
      <c r="AN35" s="13"/>
      <c r="AO35" s="2"/>
      <c r="AP35" s="13"/>
    </row>
    <row r="36" spans="1:48" ht="19.899999999999999" customHeight="1" x14ac:dyDescent="0.3">
      <c r="A36" s="2">
        <v>32</v>
      </c>
      <c r="B36" s="10" t="str">
        <f t="shared" ca="1" si="0"/>
        <v>Techno</v>
      </c>
      <c r="C36" s="4">
        <f t="shared" ca="1" si="1"/>
        <v>2</v>
      </c>
      <c r="D36" s="5">
        <f t="shared" ca="1" si="2"/>
        <v>0.81</v>
      </c>
      <c r="E36" s="6">
        <f t="shared" ca="1" si="3"/>
        <v>5.7142857142857141E-2</v>
      </c>
      <c r="F36" s="15">
        <f t="shared" ca="1" si="4"/>
        <v>0</v>
      </c>
      <c r="G36" s="6">
        <f t="shared" ca="1" si="5"/>
        <v>0.63200000000000001</v>
      </c>
      <c r="H36" s="5">
        <f t="shared" ca="1" si="6"/>
        <v>0</v>
      </c>
      <c r="I36" s="5">
        <f t="shared" ca="1" si="7"/>
        <v>0.6</v>
      </c>
      <c r="J36" s="16" t="str">
        <f t="shared" ca="1" si="8"/>
        <v>-</v>
      </c>
      <c r="K36" s="16">
        <f t="shared" ca="1" si="9"/>
        <v>0.61653846153846159</v>
      </c>
      <c r="L36" s="16">
        <f t="shared" ca="1" si="10"/>
        <v>63.373076923076923</v>
      </c>
      <c r="M36" s="14">
        <f t="shared" ca="1" si="11"/>
        <v>0.36799999999999999</v>
      </c>
      <c r="N36" s="18">
        <f t="shared" ca="1" si="12"/>
        <v>102</v>
      </c>
      <c r="O36" s="2">
        <f t="shared" ca="1" si="13"/>
        <v>0.03</v>
      </c>
      <c r="P36" s="13">
        <f t="shared" ca="1" si="14"/>
        <v>0.11</v>
      </c>
      <c r="Q36" s="14">
        <f t="shared" ca="1" si="15"/>
        <v>0.25700000000000001</v>
      </c>
      <c r="R36" s="13">
        <f t="shared" ca="1" si="16"/>
        <v>1.66</v>
      </c>
      <c r="S36" s="14">
        <f t="shared" ca="1" si="17"/>
        <v>0.22900000000000001</v>
      </c>
      <c r="T36" s="14">
        <f t="shared" ca="1" si="18"/>
        <v>0</v>
      </c>
      <c r="U36" s="2">
        <f t="shared" ca="1" si="19"/>
        <v>77</v>
      </c>
      <c r="V36" s="17">
        <f t="shared" ca="1" si="20"/>
        <v>0</v>
      </c>
      <c r="W36" s="14">
        <f t="shared" ca="1" si="21"/>
        <v>0</v>
      </c>
      <c r="X36" s="14" t="str">
        <f t="shared" ca="1" si="22"/>
        <v>-</v>
      </c>
      <c r="Y36" s="13">
        <f t="shared" ca="1" si="23"/>
        <v>0</v>
      </c>
      <c r="Z36" s="13">
        <f t="shared" ca="1" si="24"/>
        <v>0.28999999999999998</v>
      </c>
      <c r="AA36" s="17">
        <f t="shared" ca="1" si="25"/>
        <v>1.75</v>
      </c>
      <c r="AB36" s="2">
        <f t="shared" ca="1" si="26"/>
        <v>5</v>
      </c>
      <c r="AC36" s="2">
        <f t="shared" ca="1" si="27"/>
        <v>9</v>
      </c>
      <c r="AD36" s="18">
        <f t="shared" ca="1" si="28"/>
        <v>51</v>
      </c>
      <c r="AE36" s="18">
        <f t="shared" ca="1" si="29"/>
        <v>1</v>
      </c>
      <c r="AF36" s="18">
        <f t="shared" ca="1" si="30"/>
        <v>25</v>
      </c>
      <c r="AG36" s="18">
        <f t="shared" ca="1" si="31"/>
        <v>0</v>
      </c>
      <c r="AH36" s="18">
        <f t="shared" ca="1" si="32"/>
        <v>5</v>
      </c>
      <c r="AI36" s="2">
        <f t="shared" ca="1" si="33"/>
        <v>0</v>
      </c>
      <c r="AJ36" s="19" t="str">
        <f t="shared" ca="1" si="34"/>
        <v>-</v>
      </c>
      <c r="AK36" s="2"/>
      <c r="AL36" s="13"/>
      <c r="AM36" s="2"/>
      <c r="AN36" s="13"/>
      <c r="AO36" s="2"/>
      <c r="AP36" s="13"/>
    </row>
    <row r="37" spans="1:48" ht="19.899999999999999" customHeight="1" x14ac:dyDescent="0.3">
      <c r="A37" s="2">
        <v>33</v>
      </c>
      <c r="B37" s="10" t="str">
        <f t="shared" ca="1" si="0"/>
        <v>molodoy</v>
      </c>
      <c r="C37" s="4">
        <f t="shared" ca="1" si="1"/>
        <v>3</v>
      </c>
      <c r="D37" s="5">
        <f t="shared" ca="1" si="2"/>
        <v>0.81</v>
      </c>
      <c r="E37" s="6">
        <f t="shared" ca="1" si="3"/>
        <v>3.1746031746031737E-2</v>
      </c>
      <c r="F37" s="15">
        <f t="shared" ca="1" si="4"/>
        <v>0</v>
      </c>
      <c r="G37" s="6">
        <f t="shared" ca="1" si="5"/>
        <v>0.34300000000000003</v>
      </c>
      <c r="H37" s="5">
        <f t="shared" ca="1" si="6"/>
        <v>0.1</v>
      </c>
      <c r="I37" s="5">
        <f t="shared" ca="1" si="7"/>
        <v>0.68</v>
      </c>
      <c r="J37" s="16">
        <f t="shared" ca="1" si="8"/>
        <v>0.88</v>
      </c>
      <c r="K37" s="16">
        <f t="shared" ca="1" si="9"/>
        <v>0.38666666666666671</v>
      </c>
      <c r="L37" s="16">
        <f t="shared" ca="1" si="10"/>
        <v>31.64615384615384</v>
      </c>
      <c r="M37" s="14">
        <f t="shared" ca="1" si="11"/>
        <v>0.25700000000000001</v>
      </c>
      <c r="N37" s="18">
        <f t="shared" ca="1" si="12"/>
        <v>100</v>
      </c>
      <c r="O37" s="2">
        <f t="shared" ca="1" si="13"/>
        <v>0.1</v>
      </c>
      <c r="P37" s="13">
        <f t="shared" ca="1" si="14"/>
        <v>0.02</v>
      </c>
      <c r="Q37" s="14">
        <f t="shared" ca="1" si="15"/>
        <v>0.159</v>
      </c>
      <c r="R37" s="13">
        <f t="shared" ca="1" si="16"/>
        <v>1.27</v>
      </c>
      <c r="S37" s="14">
        <f t="shared" ca="1" si="17"/>
        <v>0.159</v>
      </c>
      <c r="T37" s="14" t="str">
        <f t="shared" ca="1" si="18"/>
        <v>-</v>
      </c>
      <c r="U37" s="2">
        <f t="shared" ca="1" si="19"/>
        <v>70</v>
      </c>
      <c r="V37" s="17">
        <f t="shared" ca="1" si="20"/>
        <v>0.27</v>
      </c>
      <c r="W37" s="14">
        <f t="shared" ca="1" si="21"/>
        <v>0.48599999999999999</v>
      </c>
      <c r="X37" s="14">
        <f t="shared" ca="1" si="22"/>
        <v>0.20599999999999999</v>
      </c>
      <c r="Y37" s="13">
        <f t="shared" ca="1" si="23"/>
        <v>1.59</v>
      </c>
      <c r="Z37" s="13">
        <f t="shared" ca="1" si="24"/>
        <v>0.54</v>
      </c>
      <c r="AA37" s="17">
        <f t="shared" ca="1" si="25"/>
        <v>1.55</v>
      </c>
      <c r="AB37" s="2">
        <f t="shared" ca="1" si="26"/>
        <v>4</v>
      </c>
      <c r="AC37" s="2">
        <f t="shared" ca="1" si="27"/>
        <v>55</v>
      </c>
      <c r="AD37" s="18">
        <f t="shared" ca="1" si="28"/>
        <v>5</v>
      </c>
      <c r="AE37" s="18">
        <f t="shared" ca="1" si="29"/>
        <v>76</v>
      </c>
      <c r="AF37" s="18">
        <f t="shared" ca="1" si="30"/>
        <v>23</v>
      </c>
      <c r="AG37" s="18">
        <f t="shared" ca="1" si="31"/>
        <v>81</v>
      </c>
      <c r="AH37" s="18">
        <f t="shared" ca="1" si="32"/>
        <v>38</v>
      </c>
      <c r="AI37" s="2">
        <f t="shared" ca="1" si="33"/>
        <v>0</v>
      </c>
      <c r="AJ37" s="19" t="str">
        <f t="shared" ca="1" si="34"/>
        <v>-</v>
      </c>
      <c r="AK37" s="2"/>
      <c r="AL37" s="13"/>
      <c r="AM37" s="2"/>
      <c r="AN37" s="13"/>
      <c r="AO37" s="2"/>
      <c r="AP37" s="13"/>
    </row>
    <row r="38" spans="1:48" ht="19.899999999999999" customHeight="1" x14ac:dyDescent="0.3">
      <c r="A38" s="2">
        <v>34</v>
      </c>
      <c r="B38" s="10" t="str">
        <f t="shared" ca="1" si="0"/>
        <v>apEX</v>
      </c>
      <c r="C38" s="4">
        <f t="shared" ca="1" si="1"/>
        <v>8</v>
      </c>
      <c r="D38" s="5">
        <f t="shared" ca="1" si="2"/>
        <v>0.8</v>
      </c>
      <c r="E38" s="6">
        <f t="shared" ca="1" si="3"/>
        <v>1.8292682926829271E-2</v>
      </c>
      <c r="F38" s="15">
        <f t="shared" ca="1" si="4"/>
        <v>1.2195121951219509E-2</v>
      </c>
      <c r="G38" s="6">
        <f t="shared" ca="1" si="5"/>
        <v>0.45300000000000001</v>
      </c>
      <c r="H38" s="5">
        <f t="shared" ca="1" si="6"/>
        <v>0.1</v>
      </c>
      <c r="I38" s="5">
        <f t="shared" ca="1" si="7"/>
        <v>9.33</v>
      </c>
      <c r="J38" s="16">
        <f t="shared" ca="1" si="8"/>
        <v>0.86813793103448278</v>
      </c>
      <c r="K38" s="16">
        <f t="shared" ca="1" si="9"/>
        <v>0.23327868852459019</v>
      </c>
      <c r="L38" s="16">
        <f t="shared" ca="1" si="10"/>
        <v>44.040983606557383</v>
      </c>
      <c r="M38" s="14">
        <f t="shared" ca="1" si="11"/>
        <v>0.28000000000000003</v>
      </c>
      <c r="N38" s="18">
        <f t="shared" ca="1" si="12"/>
        <v>129</v>
      </c>
      <c r="O38" s="2">
        <f t="shared" ca="1" si="13"/>
        <v>0.1</v>
      </c>
      <c r="P38" s="13">
        <f t="shared" ca="1" si="14"/>
        <v>0.05</v>
      </c>
      <c r="Q38" s="14">
        <f t="shared" ca="1" si="15"/>
        <v>0.28699999999999998</v>
      </c>
      <c r="R38" s="13">
        <f t="shared" ca="1" si="16"/>
        <v>2.63</v>
      </c>
      <c r="S38" s="14">
        <f t="shared" ca="1" si="17"/>
        <v>6.7000000000000004E-2</v>
      </c>
      <c r="T38" s="14">
        <f t="shared" ca="1" si="18"/>
        <v>1</v>
      </c>
      <c r="U38" s="2">
        <f t="shared" ca="1" si="19"/>
        <v>74</v>
      </c>
      <c r="V38" s="17">
        <f t="shared" ca="1" si="20"/>
        <v>0</v>
      </c>
      <c r="W38" s="14">
        <f t="shared" ca="1" si="21"/>
        <v>0</v>
      </c>
      <c r="X38" s="14" t="str">
        <f t="shared" ca="1" si="22"/>
        <v>-</v>
      </c>
      <c r="Y38" s="13">
        <f t="shared" ca="1" si="23"/>
        <v>2.44</v>
      </c>
      <c r="Z38" s="13">
        <f t="shared" ca="1" si="24"/>
        <v>0.98</v>
      </c>
      <c r="AA38" s="17">
        <f t="shared" ca="1" si="25"/>
        <v>2.73</v>
      </c>
      <c r="AB38" s="2">
        <f t="shared" ca="1" si="26"/>
        <v>1</v>
      </c>
      <c r="AC38" s="2">
        <f t="shared" ca="1" si="27"/>
        <v>48</v>
      </c>
      <c r="AD38" s="18">
        <f t="shared" ca="1" si="28"/>
        <v>12</v>
      </c>
      <c r="AE38" s="18">
        <f t="shared" ca="1" si="29"/>
        <v>58</v>
      </c>
      <c r="AF38" s="18">
        <f t="shared" ca="1" si="30"/>
        <v>33</v>
      </c>
      <c r="AG38" s="18">
        <f t="shared" ca="1" si="31"/>
        <v>0</v>
      </c>
      <c r="AH38" s="18">
        <f t="shared" ca="1" si="32"/>
        <v>96</v>
      </c>
      <c r="AI38" s="2">
        <f t="shared" ca="1" si="33"/>
        <v>0</v>
      </c>
      <c r="AJ38" s="19" t="str">
        <f t="shared" ca="1" si="34"/>
        <v>-</v>
      </c>
      <c r="AK38" s="2"/>
      <c r="AL38" s="13"/>
      <c r="AM38" s="22"/>
      <c r="AN38" s="13"/>
      <c r="AO38" s="2"/>
      <c r="AP38" s="13"/>
    </row>
    <row r="39" spans="1:48" ht="19.899999999999999" customHeight="1" x14ac:dyDescent="0.3">
      <c r="A39" s="24">
        <v>35</v>
      </c>
      <c r="B39" s="10" t="str">
        <f t="shared" ca="1" si="0"/>
        <v>kyxsan</v>
      </c>
      <c r="C39" s="4">
        <f t="shared" ca="1" si="1"/>
        <v>2</v>
      </c>
      <c r="D39" s="5">
        <f t="shared" ca="1" si="2"/>
        <v>0.73</v>
      </c>
      <c r="E39" s="6">
        <f t="shared" ca="1" si="3"/>
        <v>0</v>
      </c>
      <c r="F39" s="15">
        <f t="shared" ca="1" si="4"/>
        <v>0</v>
      </c>
      <c r="G39" s="6">
        <f t="shared" ca="1" si="5"/>
        <v>0.63200000000000001</v>
      </c>
      <c r="H39" s="5">
        <f t="shared" ca="1" si="6"/>
        <v>7.0000000000000007E-2</v>
      </c>
      <c r="I39" s="5">
        <f t="shared" ca="1" si="7"/>
        <v>0.64</v>
      </c>
      <c r="J39" s="16" t="str">
        <f t="shared" ca="1" si="8"/>
        <v>-</v>
      </c>
      <c r="K39" s="16">
        <f t="shared" ca="1" si="9"/>
        <v>0.37931034482758619</v>
      </c>
      <c r="L39" s="16">
        <f t="shared" ca="1" si="10"/>
        <v>44.313793103448283</v>
      </c>
      <c r="M39" s="14">
        <f t="shared" ca="1" si="11"/>
        <v>0.21099999999999999</v>
      </c>
      <c r="N39" s="18">
        <f t="shared" ca="1" si="12"/>
        <v>117</v>
      </c>
      <c r="O39" s="2">
        <f t="shared" ca="1" si="13"/>
        <v>0.11</v>
      </c>
      <c r="P39" s="13">
        <f t="shared" ca="1" si="14"/>
        <v>7.0000000000000007E-2</v>
      </c>
      <c r="Q39" s="14">
        <f t="shared" ca="1" si="15"/>
        <v>0.17799999999999999</v>
      </c>
      <c r="R39" s="13">
        <f t="shared" ca="1" si="16"/>
        <v>1.58</v>
      </c>
      <c r="S39" s="14">
        <f t="shared" ca="1" si="17"/>
        <v>0.13300000000000001</v>
      </c>
      <c r="T39" s="14" t="str">
        <f t="shared" ca="1" si="18"/>
        <v>-</v>
      </c>
      <c r="U39" s="2">
        <f t="shared" ca="1" si="19"/>
        <v>74</v>
      </c>
      <c r="V39" s="17">
        <f t="shared" ca="1" si="20"/>
        <v>0</v>
      </c>
      <c r="W39" s="14">
        <f t="shared" ca="1" si="21"/>
        <v>0</v>
      </c>
      <c r="X39" s="14" t="str">
        <f t="shared" ca="1" si="22"/>
        <v>-</v>
      </c>
      <c r="Y39" s="13">
        <f t="shared" ca="1" si="23"/>
        <v>0</v>
      </c>
      <c r="Z39" s="13">
        <f t="shared" ca="1" si="24"/>
        <v>0.96</v>
      </c>
      <c r="AA39" s="17">
        <f t="shared" ca="1" si="25"/>
        <v>1.57</v>
      </c>
      <c r="AB39" s="2">
        <f t="shared" ca="1" si="26"/>
        <v>2</v>
      </c>
      <c r="AC39" s="2">
        <f t="shared" ca="1" si="27"/>
        <v>33</v>
      </c>
      <c r="AD39" s="18">
        <f t="shared" ca="1" si="28"/>
        <v>6</v>
      </c>
      <c r="AE39" s="18">
        <f t="shared" ca="1" si="29"/>
        <v>18</v>
      </c>
      <c r="AF39" s="18">
        <f t="shared" ca="1" si="30"/>
        <v>21</v>
      </c>
      <c r="AG39" s="18">
        <f t="shared" ca="1" si="31"/>
        <v>0</v>
      </c>
      <c r="AH39" s="18">
        <f t="shared" ca="1" si="32"/>
        <v>50</v>
      </c>
      <c r="AI39" s="2">
        <f t="shared" ca="1" si="33"/>
        <v>0</v>
      </c>
      <c r="AJ39" s="19" t="str">
        <f t="shared" ca="1" si="34"/>
        <v>-</v>
      </c>
      <c r="AK39" s="2"/>
      <c r="AL39" s="13"/>
      <c r="AM39" s="22"/>
      <c r="AN39" s="13"/>
      <c r="AO39" s="2"/>
      <c r="AP39" s="13"/>
    </row>
    <row r="40" spans="1:48" ht="19.899999999999999" customHeight="1" x14ac:dyDescent="0.3">
      <c r="A40" s="24">
        <v>36</v>
      </c>
      <c r="B40" s="10" t="str">
        <f t="shared" ca="1" si="0"/>
        <v>Jimpphat</v>
      </c>
      <c r="C40" s="4">
        <f t="shared" ca="1" si="1"/>
        <v>2</v>
      </c>
      <c r="D40" s="5">
        <f t="shared" ca="1" si="2"/>
        <v>0.7</v>
      </c>
      <c r="E40" s="6">
        <f t="shared" ca="1" si="3"/>
        <v>0</v>
      </c>
      <c r="F40" s="15">
        <f t="shared" ca="1" si="4"/>
        <v>0</v>
      </c>
      <c r="G40" s="6">
        <f t="shared" ca="1" si="5"/>
        <v>0.6</v>
      </c>
      <c r="H40" s="5">
        <f t="shared" ca="1" si="6"/>
        <v>0.05</v>
      </c>
      <c r="I40" s="5">
        <f t="shared" ca="1" si="7"/>
        <v>2.2799999999999998</v>
      </c>
      <c r="J40" s="16" t="str">
        <f t="shared" ca="1" si="8"/>
        <v>-</v>
      </c>
      <c r="K40" s="16">
        <f t="shared" ca="1" si="9"/>
        <v>0.38423076923076932</v>
      </c>
      <c r="L40" s="16">
        <f t="shared" ca="1" si="10"/>
        <v>47.349999999999987</v>
      </c>
      <c r="M40" s="14">
        <f t="shared" ca="1" si="11"/>
        <v>0.45</v>
      </c>
      <c r="N40" s="18">
        <f t="shared" ca="1" si="12"/>
        <v>110</v>
      </c>
      <c r="O40" s="2">
        <f t="shared" ca="1" si="13"/>
        <v>0.08</v>
      </c>
      <c r="P40" s="13">
        <f t="shared" ca="1" si="14"/>
        <v>0.1</v>
      </c>
      <c r="Q40" s="14">
        <f t="shared" ca="1" si="15"/>
        <v>0.154</v>
      </c>
      <c r="R40" s="13">
        <f t="shared" ca="1" si="16"/>
        <v>2.41</v>
      </c>
      <c r="S40" s="14">
        <f t="shared" ca="1" si="17"/>
        <v>0.154</v>
      </c>
      <c r="T40" s="14" t="str">
        <f t="shared" ca="1" si="18"/>
        <v>-</v>
      </c>
      <c r="U40" s="2">
        <f t="shared" ca="1" si="19"/>
        <v>76</v>
      </c>
      <c r="V40" s="17">
        <f t="shared" ca="1" si="20"/>
        <v>0</v>
      </c>
      <c r="W40" s="14">
        <f t="shared" ca="1" si="21"/>
        <v>0</v>
      </c>
      <c r="X40" s="14" t="str">
        <f t="shared" ca="1" si="22"/>
        <v>-</v>
      </c>
      <c r="Y40" s="13">
        <f t="shared" ca="1" si="23"/>
        <v>0</v>
      </c>
      <c r="Z40" s="13">
        <f t="shared" ca="1" si="24"/>
        <v>0.46</v>
      </c>
      <c r="AA40" s="17">
        <f t="shared" ca="1" si="25"/>
        <v>1.55</v>
      </c>
      <c r="AB40" s="2">
        <f t="shared" ca="1" si="26"/>
        <v>3</v>
      </c>
      <c r="AC40" s="2">
        <f t="shared" ca="1" si="27"/>
        <v>45</v>
      </c>
      <c r="AD40" s="18">
        <f t="shared" ca="1" si="28"/>
        <v>76</v>
      </c>
      <c r="AE40" s="18">
        <f t="shared" ca="1" si="29"/>
        <v>6</v>
      </c>
      <c r="AF40" s="18">
        <f t="shared" ca="1" si="30"/>
        <v>24</v>
      </c>
      <c r="AG40" s="18">
        <f t="shared" ca="1" si="31"/>
        <v>0</v>
      </c>
      <c r="AH40" s="18">
        <f t="shared" ca="1" si="32"/>
        <v>27</v>
      </c>
      <c r="AI40" s="2">
        <f t="shared" ca="1" si="33"/>
        <v>0</v>
      </c>
      <c r="AJ40" s="19" t="str">
        <f t="shared" ca="1" si="34"/>
        <v>-</v>
      </c>
      <c r="AK40" s="2"/>
      <c r="AL40" s="13"/>
      <c r="AM40" s="22"/>
      <c r="AN40" s="13"/>
      <c r="AO40" s="2"/>
      <c r="AP40" s="13"/>
    </row>
    <row r="41" spans="1:48" ht="19.899999999999999" customHeight="1" x14ac:dyDescent="0.3">
      <c r="A41" s="24">
        <v>37</v>
      </c>
      <c r="B41" s="10" t="str">
        <f t="shared" ca="1" si="0"/>
        <v>chopper</v>
      </c>
      <c r="C41" s="4">
        <f t="shared" ca="1" si="1"/>
        <v>4</v>
      </c>
      <c r="D41" s="5">
        <f t="shared" ca="1" si="2"/>
        <v>0.66</v>
      </c>
      <c r="E41" s="6">
        <f t="shared" ca="1" si="3"/>
        <v>2.9411764705882349E-2</v>
      </c>
      <c r="F41" s="15">
        <f t="shared" ca="1" si="4"/>
        <v>4.9019607843137247E-2</v>
      </c>
      <c r="G41" s="6">
        <f t="shared" ca="1" si="5"/>
        <v>0.65</v>
      </c>
      <c r="H41" s="5">
        <f t="shared" ca="1" si="6"/>
        <v>0.12</v>
      </c>
      <c r="I41" s="5">
        <f t="shared" ca="1" si="7"/>
        <v>5.59</v>
      </c>
      <c r="J41" s="16">
        <f t="shared" ca="1" si="8"/>
        <v>0.69844444444444442</v>
      </c>
      <c r="K41" s="16">
        <f t="shared" ca="1" si="9"/>
        <v>0.1470833333333334</v>
      </c>
      <c r="L41" s="16">
        <f t="shared" ca="1" si="10"/>
        <v>19.324999999999989</v>
      </c>
      <c r="M41" s="14">
        <f t="shared" ca="1" si="11"/>
        <v>0.27500000000000002</v>
      </c>
      <c r="N41" s="18">
        <f t="shared" ca="1" si="12"/>
        <v>113</v>
      </c>
      <c r="O41" s="2">
        <f t="shared" ca="1" si="13"/>
        <v>0.13</v>
      </c>
      <c r="P41" s="13">
        <f t="shared" ca="1" si="14"/>
        <v>0.03</v>
      </c>
      <c r="Q41" s="14">
        <f t="shared" ca="1" si="15"/>
        <v>0.26500000000000001</v>
      </c>
      <c r="R41" s="13">
        <f t="shared" ca="1" si="16"/>
        <v>1.81</v>
      </c>
      <c r="S41" s="14">
        <f t="shared" ca="1" si="17"/>
        <v>0.108</v>
      </c>
      <c r="T41" s="14">
        <f t="shared" ca="1" si="18"/>
        <v>1</v>
      </c>
      <c r="U41" s="2">
        <f t="shared" ca="1" si="19"/>
        <v>78</v>
      </c>
      <c r="V41" s="17">
        <f t="shared" ca="1" si="20"/>
        <v>0</v>
      </c>
      <c r="W41" s="14">
        <f t="shared" ca="1" si="21"/>
        <v>0</v>
      </c>
      <c r="X41" s="14" t="str">
        <f t="shared" ca="1" si="22"/>
        <v>-</v>
      </c>
      <c r="Y41" s="13">
        <f t="shared" ca="1" si="23"/>
        <v>0.98</v>
      </c>
      <c r="Z41" s="13">
        <f t="shared" ca="1" si="24"/>
        <v>0.95</v>
      </c>
      <c r="AA41" s="17">
        <f t="shared" ca="1" si="25"/>
        <v>2.11</v>
      </c>
      <c r="AB41" s="2">
        <f t="shared" ca="1" si="26"/>
        <v>0</v>
      </c>
      <c r="AC41" s="2">
        <f t="shared" ca="1" si="27"/>
        <v>61</v>
      </c>
      <c r="AD41" s="18">
        <f t="shared" ca="1" si="28"/>
        <v>7</v>
      </c>
      <c r="AE41" s="18">
        <f t="shared" ca="1" si="29"/>
        <v>34</v>
      </c>
      <c r="AF41" s="18">
        <f t="shared" ca="1" si="30"/>
        <v>89</v>
      </c>
      <c r="AG41" s="18">
        <f t="shared" ca="1" si="31"/>
        <v>0</v>
      </c>
      <c r="AH41" s="18">
        <f t="shared" ca="1" si="32"/>
        <v>84</v>
      </c>
      <c r="AI41" s="2">
        <f t="shared" ca="1" si="33"/>
        <v>0</v>
      </c>
      <c r="AJ41" s="19" t="str">
        <f t="shared" ca="1" si="34"/>
        <v>-</v>
      </c>
      <c r="AK41" s="2"/>
      <c r="AL41" s="13"/>
      <c r="AM41" s="22"/>
      <c r="AN41" s="13"/>
      <c r="AO41" s="2"/>
      <c r="AP41" s="13"/>
    </row>
    <row r="42" spans="1:48" ht="19.899999999999999" customHeight="1" x14ac:dyDescent="0.3">
      <c r="A42" s="24">
        <v>38</v>
      </c>
      <c r="B42" s="10" t="str">
        <f t="shared" ca="1" si="0"/>
        <v>Brollan</v>
      </c>
      <c r="C42" s="4">
        <f t="shared" ca="1" si="1"/>
        <v>2</v>
      </c>
      <c r="D42" s="5">
        <f t="shared" ca="1" si="2"/>
        <v>0.64</v>
      </c>
      <c r="E42" s="6">
        <f t="shared" ca="1" si="3"/>
        <v>2.564102564102564E-2</v>
      </c>
      <c r="F42" s="15">
        <f t="shared" ca="1" si="4"/>
        <v>2.564102564102564E-2</v>
      </c>
      <c r="G42" s="6">
        <f t="shared" ca="1" si="5"/>
        <v>0.57899999999999996</v>
      </c>
      <c r="H42" s="5">
        <f t="shared" ca="1" si="6"/>
        <v>0</v>
      </c>
      <c r="I42" s="5">
        <f t="shared" ca="1" si="7"/>
        <v>4.79</v>
      </c>
      <c r="J42" s="16" t="str">
        <f t="shared" ca="1" si="8"/>
        <v>-</v>
      </c>
      <c r="K42" s="16">
        <f t="shared" ca="1" si="9"/>
        <v>0.34576923076923077</v>
      </c>
      <c r="L42" s="16">
        <f t="shared" ca="1" si="10"/>
        <v>47.150000000000013</v>
      </c>
      <c r="M42" s="14">
        <f t="shared" ca="1" si="11"/>
        <v>0.316</v>
      </c>
      <c r="N42" s="18">
        <f t="shared" ca="1" si="12"/>
        <v>114</v>
      </c>
      <c r="O42" s="2">
        <f t="shared" ca="1" si="13"/>
        <v>0.15</v>
      </c>
      <c r="P42" s="13">
        <f t="shared" ca="1" si="14"/>
        <v>0.13</v>
      </c>
      <c r="Q42" s="14">
        <f t="shared" ca="1" si="15"/>
        <v>0.128</v>
      </c>
      <c r="R42" s="13">
        <f t="shared" ca="1" si="16"/>
        <v>2.54</v>
      </c>
      <c r="S42" s="14">
        <f t="shared" ca="1" si="17"/>
        <v>7.6999999999999999E-2</v>
      </c>
      <c r="T42" s="14">
        <f t="shared" ca="1" si="18"/>
        <v>1</v>
      </c>
      <c r="U42" s="2">
        <f t="shared" ca="1" si="19"/>
        <v>68</v>
      </c>
      <c r="V42" s="17">
        <f t="shared" ca="1" si="20"/>
        <v>0</v>
      </c>
      <c r="W42" s="14">
        <f t="shared" ca="1" si="21"/>
        <v>0</v>
      </c>
      <c r="X42" s="14" t="str">
        <f t="shared" ca="1" si="22"/>
        <v>-</v>
      </c>
      <c r="Y42" s="13">
        <f t="shared" ca="1" si="23"/>
        <v>0</v>
      </c>
      <c r="Z42" s="13">
        <f t="shared" ca="1" si="24"/>
        <v>0.51</v>
      </c>
      <c r="AA42" s="17">
        <f t="shared" ca="1" si="25"/>
        <v>2.38</v>
      </c>
      <c r="AB42" s="2">
        <f t="shared" ca="1" si="26"/>
        <v>17</v>
      </c>
      <c r="AC42" s="2">
        <f t="shared" ca="1" si="27"/>
        <v>44</v>
      </c>
      <c r="AD42" s="18">
        <f t="shared" ca="1" si="28"/>
        <v>85</v>
      </c>
      <c r="AE42" s="18">
        <f t="shared" ca="1" si="29"/>
        <v>37</v>
      </c>
      <c r="AF42" s="18">
        <f t="shared" ca="1" si="30"/>
        <v>57</v>
      </c>
      <c r="AG42" s="18">
        <f t="shared" ca="1" si="31"/>
        <v>0</v>
      </c>
      <c r="AH42" s="18">
        <f t="shared" ca="1" si="32"/>
        <v>46</v>
      </c>
      <c r="AI42" s="2">
        <f t="shared" ca="1" si="33"/>
        <v>0</v>
      </c>
      <c r="AJ42" s="19" t="str">
        <f t="shared" ca="1" si="34"/>
        <v>-</v>
      </c>
      <c r="AK42" s="2"/>
      <c r="AL42" s="13"/>
      <c r="AM42" s="22"/>
      <c r="AN42" s="13"/>
      <c r="AO42" s="2"/>
      <c r="AP42" s="13"/>
    </row>
    <row r="43" spans="1:48" ht="19.899999999999999" customHeight="1" x14ac:dyDescent="0.3">
      <c r="A43" s="24">
        <v>39</v>
      </c>
      <c r="B43" s="10" t="str">
        <f t="shared" ca="1" si="0"/>
        <v>TeSeS</v>
      </c>
      <c r="C43" s="4">
        <f t="shared" ca="1" si="1"/>
        <v>2</v>
      </c>
      <c r="D43" s="5">
        <f t="shared" ca="1" si="2"/>
        <v>0.64</v>
      </c>
      <c r="E43" s="6">
        <f t="shared" ca="1" si="3"/>
        <v>2.222222222222222E-2</v>
      </c>
      <c r="F43" s="15">
        <f t="shared" ca="1" si="4"/>
        <v>0</v>
      </c>
      <c r="G43" s="6">
        <f t="shared" ca="1" si="5"/>
        <v>0.625</v>
      </c>
      <c r="H43" s="5">
        <f t="shared" ca="1" si="6"/>
        <v>0.09</v>
      </c>
      <c r="I43" s="5">
        <f t="shared" ca="1" si="7"/>
        <v>3.47</v>
      </c>
      <c r="J43" s="16" t="str">
        <f t="shared" ca="1" si="8"/>
        <v>-</v>
      </c>
      <c r="K43" s="16">
        <f t="shared" ca="1" si="9"/>
        <v>0.20965517241379311</v>
      </c>
      <c r="L43" s="16">
        <f t="shared" ca="1" si="10"/>
        <v>38.834482758620688</v>
      </c>
      <c r="M43" s="14">
        <f t="shared" ca="1" si="11"/>
        <v>6.2E-2</v>
      </c>
      <c r="N43" s="18">
        <f t="shared" ca="1" si="12"/>
        <v>150</v>
      </c>
      <c r="O43" s="2">
        <f t="shared" ca="1" si="13"/>
        <v>0.13</v>
      </c>
      <c r="P43" s="13">
        <f t="shared" ca="1" si="14"/>
        <v>0.02</v>
      </c>
      <c r="Q43" s="14">
        <f t="shared" ca="1" si="15"/>
        <v>0.222</v>
      </c>
      <c r="R43" s="13">
        <f t="shared" ca="1" si="16"/>
        <v>1.82</v>
      </c>
      <c r="S43" s="14">
        <f t="shared" ca="1" si="17"/>
        <v>6.7000000000000004E-2</v>
      </c>
      <c r="T43" s="14" t="str">
        <f t="shared" ca="1" si="18"/>
        <v>-</v>
      </c>
      <c r="U43" s="2">
        <f t="shared" ca="1" si="19"/>
        <v>68</v>
      </c>
      <c r="V43" s="17">
        <f t="shared" ca="1" si="20"/>
        <v>0</v>
      </c>
      <c r="W43" s="14">
        <f t="shared" ca="1" si="21"/>
        <v>0</v>
      </c>
      <c r="X43" s="14" t="str">
        <f t="shared" ca="1" si="22"/>
        <v>-</v>
      </c>
      <c r="Y43" s="13">
        <f t="shared" ca="1" si="23"/>
        <v>0</v>
      </c>
      <c r="Z43" s="13">
        <f t="shared" ca="1" si="24"/>
        <v>0.67</v>
      </c>
      <c r="AA43" s="17">
        <f t="shared" ca="1" si="25"/>
        <v>2.59</v>
      </c>
      <c r="AB43" s="2">
        <f t="shared" ca="1" si="26"/>
        <v>0</v>
      </c>
      <c r="AC43" s="2">
        <f t="shared" ca="1" si="27"/>
        <v>72</v>
      </c>
      <c r="AD43" s="18">
        <f t="shared" ca="1" si="28"/>
        <v>0</v>
      </c>
      <c r="AE43" s="18">
        <f t="shared" ca="1" si="29"/>
        <v>37</v>
      </c>
      <c r="AF43" s="18">
        <f t="shared" ca="1" si="30"/>
        <v>9</v>
      </c>
      <c r="AG43" s="18">
        <f t="shared" ca="1" si="31"/>
        <v>0</v>
      </c>
      <c r="AH43" s="18">
        <f t="shared" ca="1" si="32"/>
        <v>58</v>
      </c>
      <c r="AI43" s="2">
        <f t="shared" ca="1" si="33"/>
        <v>0</v>
      </c>
      <c r="AJ43" s="19" t="str">
        <f t="shared" ca="1" si="34"/>
        <v>-</v>
      </c>
      <c r="AK43" s="2"/>
      <c r="AL43" s="13"/>
      <c r="AM43" s="22"/>
      <c r="AN43" s="13"/>
      <c r="AO43" s="2"/>
      <c r="AP43" s="13"/>
    </row>
    <row r="44" spans="1:48" ht="19.899999999999999" customHeight="1" x14ac:dyDescent="0.3">
      <c r="A44" s="24">
        <v>40</v>
      </c>
      <c r="B44" s="10" t="str">
        <f t="shared" ca="1" si="0"/>
        <v>controlez</v>
      </c>
      <c r="C44" s="4">
        <f t="shared" ca="1" si="1"/>
        <v>2</v>
      </c>
      <c r="D44" s="5">
        <f t="shared" ca="1" si="2"/>
        <v>0.46</v>
      </c>
      <c r="E44" s="6">
        <f t="shared" ca="1" si="3"/>
        <v>0</v>
      </c>
      <c r="F44" s="15">
        <f t="shared" ca="1" si="4"/>
        <v>0</v>
      </c>
      <c r="G44" s="6">
        <f t="shared" ca="1" si="5"/>
        <v>0.58299999999999996</v>
      </c>
      <c r="H44" s="5">
        <f t="shared" ca="1" si="6"/>
        <v>0.03</v>
      </c>
      <c r="I44" s="5">
        <f t="shared" ca="1" si="7"/>
        <v>1.66</v>
      </c>
      <c r="J44" s="16" t="str">
        <f t="shared" ca="1" si="8"/>
        <v>-</v>
      </c>
      <c r="K44" s="16">
        <f t="shared" ca="1" si="9"/>
        <v>0.34730769230769232</v>
      </c>
      <c r="L44" s="16">
        <f t="shared" ca="1" si="10"/>
        <v>40.299999999999997</v>
      </c>
      <c r="M44" s="14">
        <f t="shared" ca="1" si="11"/>
        <v>0.33300000000000002</v>
      </c>
      <c r="N44" s="18">
        <f t="shared" ca="1" si="12"/>
        <v>125</v>
      </c>
      <c r="O44" s="2">
        <f t="shared" ca="1" si="13"/>
        <v>0.11</v>
      </c>
      <c r="P44" s="13">
        <f t="shared" ca="1" si="14"/>
        <v>0</v>
      </c>
      <c r="Q44" s="14">
        <f t="shared" ca="1" si="15"/>
        <v>0.17100000000000001</v>
      </c>
      <c r="R44" s="13">
        <f t="shared" ca="1" si="16"/>
        <v>1.43</v>
      </c>
      <c r="S44" s="14">
        <f t="shared" ca="1" si="17"/>
        <v>8.5999999999999993E-2</v>
      </c>
      <c r="T44" s="14" t="str">
        <f t="shared" ca="1" si="18"/>
        <v>-</v>
      </c>
      <c r="U44" s="2">
        <f t="shared" ca="1" si="19"/>
        <v>59</v>
      </c>
      <c r="V44" s="17">
        <f t="shared" ca="1" si="20"/>
        <v>0</v>
      </c>
      <c r="W44" s="14">
        <f t="shared" ca="1" si="21"/>
        <v>0</v>
      </c>
      <c r="X44" s="14" t="str">
        <f t="shared" ca="1" si="22"/>
        <v>-</v>
      </c>
      <c r="Y44" s="13">
        <f t="shared" ca="1" si="23"/>
        <v>0</v>
      </c>
      <c r="Z44" s="13">
        <f t="shared" ca="1" si="24"/>
        <v>0.34</v>
      </c>
      <c r="AA44" s="17">
        <f t="shared" ca="1" si="25"/>
        <v>1.77</v>
      </c>
      <c r="AB44" s="2">
        <f t="shared" ca="1" si="26"/>
        <v>3</v>
      </c>
      <c r="AC44" s="2">
        <f t="shared" ca="1" si="27"/>
        <v>19</v>
      </c>
      <c r="AD44" s="18">
        <f t="shared" ca="1" si="28"/>
        <v>13</v>
      </c>
      <c r="AE44" s="18">
        <f t="shared" ca="1" si="29"/>
        <v>8</v>
      </c>
      <c r="AF44" s="18">
        <f t="shared" ca="1" si="30"/>
        <v>6</v>
      </c>
      <c r="AG44" s="18">
        <f t="shared" ca="1" si="31"/>
        <v>0</v>
      </c>
      <c r="AH44" s="18">
        <f t="shared" ca="1" si="32"/>
        <v>13</v>
      </c>
      <c r="AI44" s="2">
        <f t="shared" ca="1" si="33"/>
        <v>0</v>
      </c>
      <c r="AJ44" s="19" t="str">
        <f t="shared" ca="1" si="34"/>
        <v>-</v>
      </c>
      <c r="AK44" s="9"/>
      <c r="AL44" s="11"/>
      <c r="AM44" s="23"/>
      <c r="AN44" s="11"/>
      <c r="AO44" s="9"/>
      <c r="AP44" s="11"/>
      <c r="AQ44" s="9"/>
      <c r="AR44" s="9"/>
      <c r="AS44" s="9"/>
      <c r="AT44" s="9"/>
      <c r="AU44" s="9"/>
      <c r="AV44" s="9"/>
    </row>
    <row r="45" spans="1:48" ht="19.899999999999999" customHeight="1" x14ac:dyDescent="0.3">
      <c r="A45" s="24">
        <v>41</v>
      </c>
      <c r="B45" s="10"/>
      <c r="C45" s="4"/>
      <c r="D45" s="5"/>
      <c r="E45" s="6"/>
      <c r="F45" s="15"/>
      <c r="G45" s="6"/>
      <c r="H45" s="5"/>
      <c r="I45" s="5"/>
      <c r="J45" s="16"/>
      <c r="K45" s="16"/>
      <c r="L45" s="16"/>
      <c r="M45" s="14"/>
      <c r="N45" s="18"/>
      <c r="O45" s="2"/>
      <c r="P45" s="13"/>
      <c r="Q45" s="14"/>
      <c r="R45" s="13"/>
      <c r="S45" s="14"/>
      <c r="T45" s="14"/>
      <c r="U45" s="2"/>
      <c r="V45" s="17"/>
      <c r="W45" s="14"/>
      <c r="X45" s="14"/>
      <c r="Y45" s="13"/>
      <c r="Z45" s="13"/>
      <c r="AA45" s="17"/>
      <c r="AB45" s="2"/>
      <c r="AC45" s="2"/>
      <c r="AD45" s="18"/>
      <c r="AE45" s="18"/>
      <c r="AF45" s="18"/>
      <c r="AG45" s="18"/>
      <c r="AH45" s="18"/>
      <c r="AI45" s="2"/>
      <c r="AJ45" s="19"/>
      <c r="AK45" s="9"/>
      <c r="AL45" s="11"/>
      <c r="AM45" s="23"/>
      <c r="AN45" s="11"/>
      <c r="AO45" s="9"/>
      <c r="AP45" s="11"/>
      <c r="AQ45" s="9"/>
      <c r="AR45" s="9"/>
      <c r="AS45" s="9"/>
      <c r="AT45" s="9"/>
      <c r="AU45" s="9"/>
      <c r="AV45" s="9"/>
    </row>
    <row r="46" spans="1:48" ht="19.899999999999999" customHeight="1" x14ac:dyDescent="0.3">
      <c r="A46" s="24">
        <v>42</v>
      </c>
      <c r="B46" s="10"/>
      <c r="C46" s="4"/>
      <c r="D46" s="5"/>
      <c r="E46" s="6"/>
      <c r="F46" s="15"/>
      <c r="G46" s="6"/>
      <c r="H46" s="5"/>
      <c r="I46" s="5"/>
      <c r="J46" s="16"/>
      <c r="K46" s="16"/>
      <c r="L46" s="16"/>
      <c r="M46" s="14"/>
      <c r="N46" s="18"/>
      <c r="O46" s="2"/>
      <c r="P46" s="13"/>
      <c r="Q46" s="14"/>
      <c r="R46" s="13"/>
      <c r="S46" s="14"/>
      <c r="T46" s="14"/>
      <c r="U46" s="2"/>
      <c r="V46" s="17"/>
      <c r="W46" s="14"/>
      <c r="X46" s="14"/>
      <c r="Y46" s="13"/>
      <c r="Z46" s="13"/>
      <c r="AA46" s="17"/>
      <c r="AB46" s="2"/>
      <c r="AC46" s="2"/>
      <c r="AD46" s="18"/>
      <c r="AE46" s="18"/>
      <c r="AF46" s="18"/>
      <c r="AG46" s="18"/>
      <c r="AH46" s="18"/>
      <c r="AI46" s="2"/>
      <c r="AJ46" s="19"/>
      <c r="AK46" s="9"/>
      <c r="AL46" s="11"/>
      <c r="AM46" s="23"/>
      <c r="AN46" s="11"/>
      <c r="AO46" s="9"/>
      <c r="AP46" s="11"/>
      <c r="AQ46" s="9"/>
      <c r="AR46" s="9"/>
      <c r="AS46" s="9"/>
      <c r="AT46" s="9"/>
      <c r="AU46" s="9"/>
      <c r="AV46" s="9"/>
    </row>
    <row r="47" spans="1:48" ht="19.899999999999999" customHeight="1" x14ac:dyDescent="0.3">
      <c r="A47" s="24">
        <v>43</v>
      </c>
      <c r="B47" s="10"/>
      <c r="C47" s="4"/>
      <c r="D47" s="5"/>
      <c r="E47" s="6"/>
      <c r="F47" s="15"/>
      <c r="G47" s="6"/>
      <c r="H47" s="5"/>
      <c r="I47" s="5"/>
      <c r="J47" s="16"/>
      <c r="K47" s="16"/>
      <c r="L47" s="16"/>
      <c r="M47" s="14"/>
      <c r="N47" s="18"/>
      <c r="O47" s="2"/>
      <c r="P47" s="13"/>
      <c r="Q47" s="14"/>
      <c r="R47" s="13"/>
      <c r="S47" s="14"/>
      <c r="T47" s="14"/>
      <c r="U47" s="2"/>
      <c r="V47" s="17"/>
      <c r="W47" s="14"/>
      <c r="X47" s="14"/>
      <c r="Y47" s="13"/>
      <c r="Z47" s="13"/>
      <c r="AA47" s="17"/>
      <c r="AB47" s="2"/>
      <c r="AC47" s="2"/>
      <c r="AD47" s="18"/>
      <c r="AE47" s="18"/>
      <c r="AF47" s="18"/>
      <c r="AG47" s="18"/>
      <c r="AH47" s="18"/>
      <c r="AI47" s="2"/>
      <c r="AJ47" s="19"/>
      <c r="AK47" s="9"/>
      <c r="AL47" s="11"/>
      <c r="AM47" s="23"/>
      <c r="AN47" s="11"/>
      <c r="AO47" s="9"/>
      <c r="AP47" s="11"/>
      <c r="AQ47" s="9"/>
      <c r="AR47" s="9"/>
      <c r="AS47" s="9"/>
      <c r="AT47" s="9"/>
      <c r="AU47" s="9"/>
      <c r="AV47" s="9"/>
    </row>
    <row r="48" spans="1:48" ht="19.899999999999999" customHeight="1" x14ac:dyDescent="0.3">
      <c r="A48" s="24">
        <v>44</v>
      </c>
      <c r="B48" s="10"/>
      <c r="C48" s="4"/>
      <c r="D48" s="5"/>
      <c r="E48" s="6"/>
      <c r="F48" s="15"/>
      <c r="G48" s="6"/>
      <c r="H48" s="5"/>
      <c r="I48" s="5"/>
      <c r="J48" s="16"/>
      <c r="K48" s="16"/>
      <c r="L48" s="16"/>
      <c r="M48" s="14"/>
      <c r="N48" s="18"/>
      <c r="O48" s="2"/>
      <c r="P48" s="13"/>
      <c r="Q48" s="14"/>
      <c r="R48" s="13"/>
      <c r="S48" s="14"/>
      <c r="T48" s="14"/>
      <c r="U48" s="2"/>
      <c r="V48" s="17"/>
      <c r="W48" s="14"/>
      <c r="X48" s="14"/>
      <c r="Y48" s="13"/>
      <c r="Z48" s="13"/>
      <c r="AA48" s="17"/>
      <c r="AB48" s="2"/>
      <c r="AC48" s="2"/>
      <c r="AD48" s="18"/>
      <c r="AE48" s="18"/>
      <c r="AF48" s="18"/>
      <c r="AG48" s="18"/>
      <c r="AH48" s="18"/>
      <c r="AI48" s="2"/>
      <c r="AJ48" s="19"/>
      <c r="AK48" s="9"/>
      <c r="AL48" s="11"/>
      <c r="AM48" s="23"/>
      <c r="AN48" s="11"/>
      <c r="AO48" s="9"/>
      <c r="AP48" s="11"/>
      <c r="AQ48" s="9"/>
      <c r="AR48" s="9"/>
      <c r="AS48" s="9"/>
      <c r="AT48" s="9"/>
      <c r="AU48" s="9"/>
      <c r="AV48" s="9"/>
    </row>
    <row r="49" spans="1:86" ht="19.899999999999999" customHeight="1" x14ac:dyDescent="0.3">
      <c r="A49" s="24">
        <v>45</v>
      </c>
      <c r="B49" s="10"/>
      <c r="C49" s="4"/>
      <c r="D49" s="5"/>
      <c r="E49" s="6"/>
      <c r="F49" s="15"/>
      <c r="G49" s="6"/>
      <c r="H49" s="5"/>
      <c r="I49" s="5"/>
      <c r="J49" s="16"/>
      <c r="K49" s="16"/>
      <c r="L49" s="16"/>
      <c r="M49" s="14"/>
      <c r="N49" s="18"/>
      <c r="O49" s="2"/>
      <c r="P49" s="13"/>
      <c r="Q49" s="14"/>
      <c r="R49" s="13"/>
      <c r="S49" s="14"/>
      <c r="T49" s="14"/>
      <c r="U49" s="2"/>
      <c r="V49" s="17"/>
      <c r="W49" s="14"/>
      <c r="X49" s="14"/>
      <c r="Y49" s="13"/>
      <c r="Z49" s="13"/>
      <c r="AA49" s="17"/>
      <c r="AB49" s="2"/>
      <c r="AC49" s="2"/>
      <c r="AD49" s="18"/>
      <c r="AE49" s="18"/>
      <c r="AF49" s="18"/>
      <c r="AG49" s="18"/>
      <c r="AH49" s="18"/>
      <c r="AI49" s="2"/>
      <c r="AJ49" s="19"/>
      <c r="AK49" s="9"/>
      <c r="AL49" s="11"/>
      <c r="AM49" s="23"/>
      <c r="AN49" s="11"/>
      <c r="AO49" s="9"/>
      <c r="AP49" s="11"/>
      <c r="AQ49" s="9"/>
      <c r="AR49" s="9"/>
      <c r="AS49" s="9"/>
      <c r="AT49" s="9"/>
      <c r="AU49" s="9"/>
      <c r="AV49" s="9"/>
    </row>
    <row r="50" spans="1:86" ht="19.899999999999999" customHeight="1" x14ac:dyDescent="0.3">
      <c r="A50" s="24">
        <v>46</v>
      </c>
      <c r="B50" s="10"/>
      <c r="C50" s="4"/>
      <c r="D50" s="5"/>
      <c r="E50" s="6"/>
      <c r="F50" s="15"/>
      <c r="G50" s="6"/>
      <c r="H50" s="5"/>
      <c r="I50" s="5"/>
      <c r="J50" s="16"/>
      <c r="K50" s="16"/>
      <c r="L50" s="16"/>
      <c r="M50" s="14"/>
      <c r="N50" s="18"/>
      <c r="O50" s="2"/>
      <c r="P50" s="13"/>
      <c r="Q50" s="14"/>
      <c r="R50" s="13"/>
      <c r="S50" s="14"/>
      <c r="T50" s="14"/>
      <c r="U50" s="2"/>
      <c r="V50" s="17"/>
      <c r="W50" s="14"/>
      <c r="X50" s="14"/>
      <c r="Y50" s="13"/>
      <c r="Z50" s="13"/>
      <c r="AA50" s="17"/>
      <c r="AB50" s="2"/>
      <c r="AC50" s="2"/>
      <c r="AD50" s="18"/>
      <c r="AE50" s="18"/>
      <c r="AF50" s="18"/>
      <c r="AG50" s="18"/>
      <c r="AH50" s="18"/>
      <c r="AI50" s="2"/>
      <c r="AJ50" s="19"/>
      <c r="AK50" s="9"/>
      <c r="AL50" s="11"/>
      <c r="AM50" s="23"/>
      <c r="AN50" s="11"/>
      <c r="AO50" s="9"/>
      <c r="AP50" s="11"/>
      <c r="AQ50" s="9"/>
      <c r="AR50" s="9"/>
      <c r="AS50" s="9"/>
      <c r="AT50" s="9"/>
      <c r="AU50" s="9"/>
      <c r="AV50" s="9"/>
    </row>
    <row r="51" spans="1:86" ht="19.899999999999999" customHeight="1" x14ac:dyDescent="0.3">
      <c r="A51" s="24">
        <v>47</v>
      </c>
      <c r="B51" s="10"/>
      <c r="C51" s="4"/>
      <c r="D51" s="5"/>
      <c r="E51" s="6"/>
      <c r="F51" s="15"/>
      <c r="G51" s="6"/>
      <c r="H51" s="5"/>
      <c r="I51" s="5"/>
      <c r="J51" s="16"/>
      <c r="K51" s="16"/>
      <c r="L51" s="16"/>
      <c r="M51" s="14"/>
      <c r="N51" s="18"/>
      <c r="O51" s="2"/>
      <c r="P51" s="13"/>
      <c r="Q51" s="14"/>
      <c r="R51" s="13"/>
      <c r="S51" s="14"/>
      <c r="T51" s="14"/>
      <c r="U51" s="2"/>
      <c r="V51" s="17"/>
      <c r="W51" s="14"/>
      <c r="X51" s="14"/>
      <c r="Y51" s="13"/>
      <c r="Z51" s="13"/>
      <c r="AA51" s="17"/>
      <c r="AB51" s="2"/>
      <c r="AC51" s="2"/>
      <c r="AD51" s="18"/>
      <c r="AE51" s="18"/>
      <c r="AF51" s="18"/>
      <c r="AG51" s="18"/>
      <c r="AH51" s="18"/>
      <c r="AI51" s="2"/>
      <c r="AJ51" s="19"/>
      <c r="AK51" s="9"/>
      <c r="AL51" s="11"/>
      <c r="AM51" s="23"/>
      <c r="AN51" s="11"/>
      <c r="AO51" s="9"/>
      <c r="AP51" s="11"/>
      <c r="AQ51" s="9"/>
      <c r="AR51" s="9"/>
      <c r="AS51" s="9"/>
      <c r="AT51" s="9"/>
      <c r="AU51" s="9"/>
      <c r="AV51" s="9"/>
    </row>
    <row r="52" spans="1:86" ht="19.899999999999999" customHeight="1" x14ac:dyDescent="0.3">
      <c r="A52" s="24">
        <v>48</v>
      </c>
      <c r="B52" s="10"/>
      <c r="C52" s="4"/>
      <c r="D52" s="5"/>
      <c r="E52" s="6"/>
      <c r="F52" s="15"/>
      <c r="G52" s="6"/>
      <c r="H52" s="5"/>
      <c r="I52" s="5"/>
      <c r="J52" s="16"/>
      <c r="K52" s="16"/>
      <c r="L52" s="16"/>
      <c r="M52" s="14"/>
      <c r="N52" s="18"/>
      <c r="O52" s="2"/>
      <c r="P52" s="13"/>
      <c r="Q52" s="14"/>
      <c r="R52" s="13"/>
      <c r="S52" s="14"/>
      <c r="T52" s="14"/>
      <c r="U52" s="2"/>
      <c r="V52" s="17"/>
      <c r="W52" s="14"/>
      <c r="X52" s="14"/>
      <c r="Y52" s="13"/>
      <c r="Z52" s="13"/>
      <c r="AA52" s="17"/>
      <c r="AB52" s="2"/>
      <c r="AC52" s="2"/>
      <c r="AD52" s="18"/>
      <c r="AE52" s="18"/>
      <c r="AF52" s="18"/>
      <c r="AG52" s="18"/>
      <c r="AH52" s="18"/>
      <c r="AI52" s="2"/>
      <c r="AJ52" s="19"/>
      <c r="AK52" s="9"/>
      <c r="AL52" s="11"/>
      <c r="AM52" s="23"/>
      <c r="AN52" s="11"/>
      <c r="AO52" s="9"/>
      <c r="AP52" s="11"/>
      <c r="AQ52" s="9"/>
      <c r="AR52" s="9"/>
      <c r="AS52" s="9"/>
      <c r="AT52" s="9"/>
      <c r="AU52" s="9"/>
      <c r="AV52" s="9"/>
    </row>
    <row r="53" spans="1:86" ht="19.899999999999999" customHeight="1" x14ac:dyDescent="0.3">
      <c r="A53" s="24">
        <v>49</v>
      </c>
      <c r="B53" s="10"/>
      <c r="C53" s="4"/>
      <c r="D53" s="5"/>
      <c r="E53" s="6"/>
      <c r="F53" s="15"/>
      <c r="G53" s="6"/>
      <c r="H53" s="5"/>
      <c r="I53" s="5"/>
      <c r="J53" s="16"/>
      <c r="K53" s="16"/>
      <c r="L53" s="16"/>
      <c r="M53" s="14"/>
      <c r="N53" s="18"/>
      <c r="O53" s="2"/>
      <c r="P53" s="13"/>
      <c r="Q53" s="14"/>
      <c r="R53" s="13"/>
      <c r="S53" s="14"/>
      <c r="T53" s="14"/>
      <c r="U53" s="2"/>
      <c r="V53" s="17"/>
      <c r="W53" s="14"/>
      <c r="X53" s="14"/>
      <c r="Y53" s="13"/>
      <c r="Z53" s="13"/>
      <c r="AA53" s="17"/>
      <c r="AB53" s="2"/>
      <c r="AC53" s="2"/>
      <c r="AD53" s="18"/>
      <c r="AE53" s="18"/>
      <c r="AF53" s="18"/>
      <c r="AG53" s="18"/>
      <c r="AH53" s="18"/>
      <c r="AI53" s="2"/>
      <c r="AJ53" s="19"/>
      <c r="AK53" s="9"/>
      <c r="AL53" s="11"/>
      <c r="AM53" s="23"/>
      <c r="AN53" s="11"/>
      <c r="AO53" s="9"/>
      <c r="AP53" s="11"/>
      <c r="AQ53" s="9"/>
      <c r="AR53" s="9"/>
      <c r="AS53" s="9"/>
      <c r="AT53" s="9"/>
      <c r="AU53" s="9"/>
      <c r="AV53" s="9"/>
    </row>
    <row r="54" spans="1:86" ht="19.899999999999999" customHeight="1" x14ac:dyDescent="0.3">
      <c r="A54" s="24">
        <v>50</v>
      </c>
      <c r="B54" s="10"/>
      <c r="C54" s="4"/>
      <c r="D54" s="5"/>
      <c r="E54" s="6"/>
      <c r="F54" s="15"/>
      <c r="G54" s="6"/>
      <c r="H54" s="5"/>
      <c r="I54" s="5"/>
      <c r="J54" s="16"/>
      <c r="K54" s="16"/>
      <c r="L54" s="16"/>
      <c r="M54" s="14"/>
      <c r="N54" s="18"/>
      <c r="O54" s="2"/>
      <c r="P54" s="13"/>
      <c r="Q54" s="14"/>
      <c r="R54" s="13"/>
      <c r="S54" s="14"/>
      <c r="T54" s="14"/>
      <c r="U54" s="2"/>
      <c r="V54" s="17"/>
      <c r="W54" s="14"/>
      <c r="X54" s="14"/>
      <c r="Y54" s="13"/>
      <c r="Z54" s="13"/>
      <c r="AA54" s="17"/>
      <c r="AB54" s="2"/>
      <c r="AC54" s="2"/>
      <c r="AD54" s="18"/>
      <c r="AE54" s="18"/>
      <c r="AF54" s="18"/>
      <c r="AG54" s="18"/>
      <c r="AH54" s="18"/>
      <c r="AI54" s="2"/>
      <c r="AJ54" s="19"/>
      <c r="AK54" s="9"/>
      <c r="AL54" s="11"/>
      <c r="AM54" s="23"/>
      <c r="AN54" s="11"/>
      <c r="AO54" s="9"/>
      <c r="AP54" s="11"/>
      <c r="AQ54" s="9"/>
      <c r="AR54" s="9"/>
      <c r="AS54" s="9"/>
      <c r="AT54" s="9"/>
      <c r="AU54" s="9"/>
      <c r="AV54" s="9"/>
    </row>
    <row r="55" spans="1:86" ht="19.899999999999999" customHeight="1" x14ac:dyDescent="0.3">
      <c r="A55" s="24">
        <v>51</v>
      </c>
      <c r="B55" s="10"/>
      <c r="C55" s="4"/>
      <c r="D55" s="5"/>
      <c r="E55" s="6"/>
      <c r="F55" s="15"/>
      <c r="G55" s="6"/>
      <c r="H55" s="5"/>
      <c r="I55" s="5"/>
      <c r="J55" s="16"/>
      <c r="K55" s="16"/>
      <c r="L55" s="16"/>
      <c r="M55" s="14"/>
      <c r="N55" s="18"/>
      <c r="O55" s="2"/>
      <c r="P55" s="13"/>
      <c r="Q55" s="14"/>
      <c r="R55" s="13"/>
      <c r="S55" s="14"/>
      <c r="T55" s="14"/>
      <c r="U55" s="2"/>
      <c r="V55" s="17"/>
      <c r="W55" s="14"/>
      <c r="X55" s="14"/>
      <c r="Y55" s="13"/>
      <c r="Z55" s="13"/>
      <c r="AA55" s="17"/>
      <c r="AB55" s="2"/>
      <c r="AC55" s="2"/>
      <c r="AD55" s="18"/>
      <c r="AE55" s="18"/>
      <c r="AF55" s="18"/>
      <c r="AG55" s="18"/>
      <c r="AH55" s="18"/>
      <c r="AI55" s="2"/>
      <c r="AJ55" s="19"/>
      <c r="AK55" s="9"/>
      <c r="AL55" s="11"/>
      <c r="AM55" s="23"/>
      <c r="AN55" s="11"/>
      <c r="AO55" s="9"/>
      <c r="AP55" s="11"/>
      <c r="AQ55" s="9"/>
      <c r="AR55" s="9"/>
      <c r="AS55" s="9"/>
      <c r="AT55" s="9"/>
      <c r="AU55" s="9"/>
      <c r="AV55" s="9"/>
    </row>
    <row r="56" spans="1:86" ht="19.899999999999999" customHeight="1" x14ac:dyDescent="0.3">
      <c r="A56" s="24">
        <v>52</v>
      </c>
      <c r="B56" s="10"/>
      <c r="C56" s="4"/>
      <c r="D56" s="5"/>
      <c r="E56" s="6"/>
      <c r="F56" s="15"/>
      <c r="G56" s="6"/>
      <c r="H56" s="5"/>
      <c r="I56" s="5"/>
      <c r="J56" s="16"/>
      <c r="K56" s="16"/>
      <c r="L56" s="16"/>
      <c r="M56" s="14"/>
      <c r="N56" s="18"/>
      <c r="O56" s="2"/>
      <c r="P56" s="13"/>
      <c r="Q56" s="14"/>
      <c r="R56" s="13"/>
      <c r="S56" s="14"/>
      <c r="T56" s="14"/>
      <c r="U56" s="2"/>
      <c r="V56" s="17"/>
      <c r="W56" s="14"/>
      <c r="X56" s="14"/>
      <c r="Y56" s="13"/>
      <c r="Z56" s="13"/>
      <c r="AA56" s="17"/>
      <c r="AB56" s="2"/>
      <c r="AC56" s="2"/>
      <c r="AD56" s="18"/>
      <c r="AE56" s="18"/>
      <c r="AF56" s="18"/>
      <c r="AG56" s="18"/>
      <c r="AH56" s="18"/>
      <c r="AI56" s="2"/>
      <c r="AJ56" s="19"/>
      <c r="AK56" s="9"/>
      <c r="AL56" s="11"/>
      <c r="AM56" s="23"/>
      <c r="AN56" s="11"/>
      <c r="AO56" s="9"/>
      <c r="AP56" s="11"/>
      <c r="AQ56" s="9"/>
      <c r="AR56" s="9"/>
      <c r="AS56" s="9"/>
      <c r="AT56" s="9"/>
      <c r="AU56" s="9"/>
      <c r="AV56" s="9"/>
    </row>
    <row r="57" spans="1:86" ht="19.899999999999999" customHeight="1" x14ac:dyDescent="0.3">
      <c r="A57" s="24">
        <v>53</v>
      </c>
      <c r="B57" s="10"/>
      <c r="C57" s="4"/>
      <c r="D57" s="5"/>
      <c r="E57" s="6"/>
      <c r="F57" s="15"/>
      <c r="G57" s="6"/>
      <c r="H57" s="5"/>
      <c r="I57" s="5"/>
      <c r="J57" s="16"/>
      <c r="K57" s="16"/>
      <c r="L57" s="16"/>
      <c r="M57" s="14"/>
      <c r="N57" s="18"/>
      <c r="O57" s="2"/>
      <c r="P57" s="13"/>
      <c r="Q57" s="14"/>
      <c r="R57" s="13"/>
      <c r="S57" s="14"/>
      <c r="T57" s="14"/>
      <c r="U57" s="2"/>
      <c r="V57" s="17"/>
      <c r="W57" s="14"/>
      <c r="X57" s="14"/>
      <c r="Y57" s="13"/>
      <c r="Z57" s="13"/>
      <c r="AA57" s="17"/>
      <c r="AB57" s="2"/>
      <c r="AC57" s="2"/>
      <c r="AD57" s="18"/>
      <c r="AE57" s="18"/>
      <c r="AF57" s="18"/>
      <c r="AG57" s="18"/>
      <c r="AH57" s="18"/>
      <c r="AI57" s="2"/>
      <c r="AJ57" s="19"/>
      <c r="AK57" s="9"/>
      <c r="AL57" s="11"/>
      <c r="AM57" s="23"/>
      <c r="AN57" s="11"/>
      <c r="AO57" s="9"/>
      <c r="AP57" s="11"/>
      <c r="AQ57" s="9"/>
      <c r="AR57" s="9"/>
      <c r="AS57" s="9"/>
      <c r="AT57" s="9"/>
      <c r="AU57" s="9"/>
      <c r="AV57" s="9"/>
    </row>
    <row r="58" spans="1:86" ht="19.899999999999999" customHeight="1" x14ac:dyDescent="0.3">
      <c r="A58" s="24">
        <v>54</v>
      </c>
      <c r="B58" s="10"/>
      <c r="C58" s="4"/>
      <c r="D58" s="5"/>
      <c r="E58" s="6"/>
      <c r="F58" s="15"/>
      <c r="G58" s="6"/>
      <c r="H58" s="5"/>
      <c r="I58" s="5"/>
      <c r="J58" s="16"/>
      <c r="K58" s="16"/>
      <c r="L58" s="16"/>
      <c r="M58" s="14"/>
      <c r="N58" s="18"/>
      <c r="O58" s="2"/>
      <c r="P58" s="13"/>
      <c r="Q58" s="14"/>
      <c r="R58" s="13"/>
      <c r="S58" s="14"/>
      <c r="T58" s="14"/>
      <c r="U58" s="2"/>
      <c r="V58" s="17"/>
      <c r="W58" s="14"/>
      <c r="X58" s="14"/>
      <c r="Y58" s="13"/>
      <c r="Z58" s="13"/>
      <c r="AA58" s="17"/>
      <c r="AB58" s="2"/>
      <c r="AC58" s="2"/>
      <c r="AD58" s="18"/>
      <c r="AE58" s="18"/>
      <c r="AF58" s="18"/>
      <c r="AG58" s="18"/>
      <c r="AH58" s="18"/>
      <c r="AI58" s="2"/>
      <c r="AJ58" s="19"/>
      <c r="AK58" s="9"/>
      <c r="AL58" s="11"/>
      <c r="AM58" s="23"/>
      <c r="AN58" s="11"/>
      <c r="AO58" s="9"/>
      <c r="AP58" s="11"/>
      <c r="AQ58" s="9"/>
      <c r="AR58" s="9"/>
      <c r="AS58" s="9"/>
      <c r="AT58" s="9"/>
      <c r="AU58" s="9"/>
      <c r="AV58" s="9"/>
    </row>
    <row r="59" spans="1:86" ht="19.899999999999999" customHeight="1" x14ac:dyDescent="0.3">
      <c r="A59" s="24">
        <v>55</v>
      </c>
      <c r="B59" s="10"/>
      <c r="C59" s="4"/>
      <c r="D59" s="5"/>
      <c r="E59" s="6"/>
      <c r="F59" s="15"/>
      <c r="G59" s="6"/>
      <c r="H59" s="5"/>
      <c r="I59" s="5"/>
      <c r="J59" s="16"/>
      <c r="K59" s="16"/>
      <c r="L59" s="16"/>
      <c r="M59" s="14"/>
      <c r="N59" s="18"/>
      <c r="O59" s="2"/>
      <c r="P59" s="13"/>
      <c r="Q59" s="14"/>
      <c r="R59" s="13"/>
      <c r="S59" s="14"/>
      <c r="T59" s="14"/>
      <c r="U59" s="2"/>
      <c r="V59" s="17"/>
      <c r="W59" s="14"/>
      <c r="X59" s="14"/>
      <c r="Y59" s="13"/>
      <c r="Z59" s="13"/>
      <c r="AA59" s="17"/>
      <c r="AB59" s="2"/>
      <c r="AC59" s="2"/>
      <c r="AD59" s="18"/>
      <c r="AE59" s="18"/>
      <c r="AF59" s="18"/>
      <c r="AG59" s="18"/>
      <c r="AH59" s="18"/>
      <c r="AI59" s="2"/>
      <c r="AJ59" s="19"/>
      <c r="AK59" s="9"/>
      <c r="AL59" s="11"/>
      <c r="AM59" s="23"/>
      <c r="AN59" s="11"/>
      <c r="AO59" s="9"/>
      <c r="AP59" s="11"/>
      <c r="AQ59" s="9"/>
      <c r="AR59" s="9"/>
      <c r="AS59" s="9"/>
      <c r="AT59" s="9"/>
      <c r="AU59" s="9"/>
      <c r="AV59" s="9"/>
    </row>
    <row r="60" spans="1:86" ht="19.899999999999999" customHeight="1" x14ac:dyDescent="0.3">
      <c r="A60" s="24">
        <v>56</v>
      </c>
      <c r="B60" s="10"/>
      <c r="C60" s="4"/>
      <c r="D60" s="5"/>
      <c r="E60" s="6"/>
      <c r="F60" s="15"/>
      <c r="G60" s="6"/>
      <c r="H60" s="5"/>
      <c r="I60" s="5"/>
      <c r="J60" s="16"/>
      <c r="K60" s="16"/>
      <c r="L60" s="16"/>
      <c r="M60" s="14"/>
      <c r="N60" s="18"/>
      <c r="O60" s="2"/>
      <c r="P60" s="13"/>
      <c r="Q60" s="14"/>
      <c r="R60" s="13"/>
      <c r="S60" s="14"/>
      <c r="T60" s="14"/>
      <c r="U60" s="2"/>
      <c r="V60" s="17"/>
      <c r="W60" s="14"/>
      <c r="X60" s="14"/>
      <c r="Y60" s="13"/>
      <c r="Z60" s="13"/>
      <c r="AA60" s="17"/>
      <c r="AB60" s="2"/>
      <c r="AC60" s="2"/>
      <c r="AD60" s="18"/>
      <c r="AE60" s="18"/>
      <c r="AF60" s="18"/>
      <c r="AG60" s="18"/>
      <c r="AH60" s="18"/>
      <c r="AI60" s="2"/>
      <c r="AJ60" s="19"/>
      <c r="AK60" s="9"/>
      <c r="AL60" s="11"/>
      <c r="AM60" s="23"/>
      <c r="AN60" s="11"/>
      <c r="AO60" s="9"/>
      <c r="AP60" s="11"/>
      <c r="AQ60" s="9"/>
      <c r="AR60" s="9"/>
      <c r="AS60" s="9"/>
      <c r="AT60" s="9"/>
      <c r="AU60" s="9"/>
      <c r="AV60" s="9"/>
    </row>
    <row r="61" spans="1:86" ht="21" customHeight="1" x14ac:dyDescent="0.3">
      <c r="A61" s="24">
        <v>57</v>
      </c>
      <c r="B61" s="10"/>
      <c r="C61" s="4"/>
      <c r="D61" s="5"/>
      <c r="E61" s="6"/>
      <c r="F61" s="15"/>
      <c r="G61" s="6"/>
      <c r="H61" s="5"/>
      <c r="I61" s="5"/>
      <c r="J61" s="16"/>
      <c r="K61" s="16"/>
      <c r="L61" s="16"/>
      <c r="M61" s="14"/>
      <c r="N61" s="18"/>
      <c r="O61" s="2"/>
      <c r="P61" s="13"/>
      <c r="Q61" s="14"/>
      <c r="R61" s="13"/>
      <c r="S61" s="14"/>
      <c r="T61" s="14"/>
      <c r="U61" s="2"/>
      <c r="V61" s="17"/>
      <c r="W61" s="14"/>
      <c r="X61" s="14"/>
      <c r="Y61" s="13"/>
      <c r="Z61" s="13"/>
      <c r="AA61" s="17"/>
      <c r="AB61" s="2"/>
      <c r="AC61" s="2"/>
      <c r="AD61" s="18"/>
      <c r="AE61" s="18"/>
      <c r="AF61" s="18"/>
      <c r="AG61" s="18"/>
      <c r="AH61" s="18"/>
      <c r="AI61" s="2"/>
      <c r="AJ61" s="19"/>
      <c r="AK61" s="9"/>
      <c r="AL61" s="11"/>
      <c r="AM61" s="23"/>
      <c r="AN61" s="11"/>
      <c r="AO61" s="9"/>
      <c r="AP61" s="11"/>
      <c r="AQ61" s="9"/>
      <c r="AR61" s="9"/>
      <c r="AS61" s="9"/>
      <c r="AT61" s="9"/>
      <c r="AU61" s="9"/>
      <c r="AV61" s="9"/>
    </row>
    <row r="62" spans="1:86" ht="21.75" customHeight="1" x14ac:dyDescent="0.3">
      <c r="A62" s="24">
        <v>58</v>
      </c>
      <c r="B62" s="10"/>
      <c r="C62" s="4"/>
      <c r="D62" s="5"/>
      <c r="E62" s="6"/>
      <c r="F62" s="15"/>
      <c r="G62" s="6"/>
      <c r="H62" s="5"/>
      <c r="I62" s="5"/>
      <c r="J62" s="16"/>
      <c r="K62" s="16"/>
      <c r="L62" s="16"/>
      <c r="M62" s="14"/>
      <c r="N62" s="18"/>
      <c r="O62" s="2"/>
      <c r="P62" s="13"/>
      <c r="Q62" s="14"/>
      <c r="R62" s="13"/>
      <c r="S62" s="14"/>
      <c r="T62" s="14"/>
      <c r="U62" s="2"/>
      <c r="V62" s="17"/>
      <c r="W62" s="14"/>
      <c r="X62" s="14"/>
      <c r="Y62" s="13"/>
      <c r="Z62" s="13"/>
      <c r="AA62" s="17"/>
      <c r="AB62" s="2"/>
      <c r="AC62" s="2"/>
      <c r="AD62" s="18"/>
      <c r="AE62" s="18"/>
      <c r="AF62" s="18"/>
      <c r="AG62" s="18"/>
      <c r="AH62" s="18"/>
      <c r="AI62" s="2"/>
      <c r="AJ62" s="19"/>
      <c r="AK62" s="9"/>
      <c r="AL62" s="9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</row>
    <row r="63" spans="1:86" ht="19.899999999999999" customHeight="1" x14ac:dyDescent="0.3">
      <c r="A63" s="24">
        <v>59</v>
      </c>
      <c r="B63" s="10"/>
      <c r="C63" s="4"/>
      <c r="D63" s="5"/>
      <c r="E63" s="6"/>
      <c r="F63" s="15"/>
      <c r="G63" s="6"/>
      <c r="H63" s="5"/>
      <c r="I63" s="5"/>
      <c r="J63" s="16"/>
      <c r="K63" s="16"/>
      <c r="L63" s="16"/>
      <c r="M63" s="14"/>
      <c r="N63" s="18"/>
      <c r="O63" s="2"/>
      <c r="P63" s="13"/>
      <c r="Q63" s="14"/>
      <c r="R63" s="13"/>
      <c r="S63" s="14"/>
      <c r="T63" s="14"/>
      <c r="U63" s="2"/>
      <c r="V63" s="17"/>
      <c r="W63" s="14"/>
      <c r="X63" s="14"/>
      <c r="Y63" s="13"/>
      <c r="Z63" s="13"/>
      <c r="AA63" s="17"/>
      <c r="AB63" s="2"/>
      <c r="AC63" s="2"/>
      <c r="AD63" s="18"/>
      <c r="AE63" s="18"/>
      <c r="AF63" s="18"/>
      <c r="AG63" s="18"/>
      <c r="AH63" s="18"/>
      <c r="AI63" s="2"/>
      <c r="AJ63" s="19"/>
      <c r="AK63" s="9"/>
      <c r="AL63" s="9"/>
      <c r="BU63" s="7"/>
      <c r="BV63" s="7"/>
      <c r="BW63" s="7"/>
      <c r="BX63" s="7"/>
      <c r="BY63" s="8"/>
      <c r="BZ63" s="7"/>
      <c r="CA63" s="8"/>
      <c r="CB63" s="7"/>
      <c r="CC63" s="7"/>
      <c r="CD63" s="8"/>
      <c r="CE63" s="8"/>
      <c r="CF63" s="7"/>
      <c r="CG63" s="7"/>
      <c r="CH63" s="7"/>
    </row>
    <row r="64" spans="1:86" ht="19.899999999999999" customHeight="1" x14ac:dyDescent="0.3">
      <c r="A64" s="24">
        <v>60</v>
      </c>
      <c r="B64" s="10"/>
      <c r="C64" s="4"/>
      <c r="D64" s="5"/>
      <c r="E64" s="6"/>
      <c r="F64" s="15"/>
      <c r="G64" s="6"/>
      <c r="H64" s="5"/>
      <c r="I64" s="5"/>
      <c r="J64" s="16"/>
      <c r="K64" s="16"/>
      <c r="L64" s="16"/>
      <c r="M64" s="14"/>
      <c r="N64" s="18"/>
      <c r="O64" s="2"/>
      <c r="P64" s="13"/>
      <c r="Q64" s="14"/>
      <c r="R64" s="13"/>
      <c r="S64" s="14"/>
      <c r="T64" s="14"/>
      <c r="U64" s="2"/>
      <c r="V64" s="17"/>
      <c r="W64" s="14"/>
      <c r="X64" s="14"/>
      <c r="Y64" s="13"/>
      <c r="Z64" s="13"/>
      <c r="AA64" s="17"/>
      <c r="AB64" s="2"/>
      <c r="AC64" s="2"/>
      <c r="AD64" s="18"/>
      <c r="AE64" s="18"/>
      <c r="AF64" s="18"/>
      <c r="AG64" s="18"/>
      <c r="AH64" s="18"/>
      <c r="AI64" s="2"/>
      <c r="AJ64" s="19"/>
      <c r="AK64" s="9"/>
      <c r="AL64" s="9"/>
      <c r="BU64" s="7"/>
      <c r="BV64" s="7"/>
      <c r="BW64" s="7"/>
      <c r="BX64" s="7"/>
      <c r="BY64" s="8"/>
      <c r="BZ64" s="7"/>
      <c r="CA64" s="8"/>
      <c r="CB64" s="7"/>
      <c r="CC64" s="7"/>
      <c r="CD64" s="8"/>
      <c r="CE64" s="8"/>
      <c r="CF64" s="7"/>
      <c r="CG64" s="7"/>
      <c r="CH64" s="7"/>
    </row>
    <row r="65" spans="1:86" ht="19.899999999999999" customHeight="1" x14ac:dyDescent="0.3">
      <c r="A65" s="24">
        <v>61</v>
      </c>
      <c r="B65" s="10"/>
      <c r="C65" s="4"/>
      <c r="D65" s="5"/>
      <c r="E65" s="6"/>
      <c r="F65" s="15"/>
      <c r="G65" s="6"/>
      <c r="H65" s="5"/>
      <c r="I65" s="5"/>
      <c r="J65" s="16"/>
      <c r="K65" s="16"/>
      <c r="L65" s="16"/>
      <c r="M65" s="14"/>
      <c r="N65" s="18"/>
      <c r="O65" s="2"/>
      <c r="P65" s="13"/>
      <c r="Q65" s="14"/>
      <c r="R65" s="13"/>
      <c r="S65" s="14"/>
      <c r="T65" s="14"/>
      <c r="U65" s="2"/>
      <c r="V65" s="17"/>
      <c r="W65" s="14"/>
      <c r="X65" s="14"/>
      <c r="Y65" s="13"/>
      <c r="Z65" s="13"/>
      <c r="AA65" s="17"/>
      <c r="AB65" s="2"/>
      <c r="AC65" s="2"/>
      <c r="AD65" s="18"/>
      <c r="AE65" s="18"/>
      <c r="AF65" s="18"/>
      <c r="AG65" s="18"/>
      <c r="AH65" s="18"/>
      <c r="AI65" s="2"/>
      <c r="AJ65" s="19"/>
      <c r="AK65" s="9"/>
      <c r="AL65" s="9"/>
      <c r="BU65" s="7"/>
      <c r="BV65" s="7"/>
      <c r="BW65" s="7"/>
      <c r="BX65" s="7"/>
      <c r="BY65" s="8"/>
      <c r="BZ65" s="7"/>
      <c r="CA65" s="8"/>
      <c r="CB65" s="7"/>
      <c r="CC65" s="7"/>
      <c r="CD65" s="8"/>
      <c r="CE65" s="8"/>
      <c r="CF65" s="7"/>
      <c r="CG65" s="7"/>
      <c r="CH65" s="7"/>
    </row>
    <row r="66" spans="1:86" ht="19.899999999999999" customHeight="1" x14ac:dyDescent="0.3">
      <c r="A66" s="24">
        <v>62</v>
      </c>
      <c r="B66" s="10"/>
      <c r="C66" s="4"/>
      <c r="D66" s="5"/>
      <c r="E66" s="6"/>
      <c r="F66" s="15"/>
      <c r="G66" s="6"/>
      <c r="H66" s="5"/>
      <c r="I66" s="5"/>
      <c r="J66" s="16"/>
      <c r="K66" s="16"/>
      <c r="L66" s="16"/>
      <c r="M66" s="14"/>
      <c r="N66" s="18"/>
      <c r="O66" s="2"/>
      <c r="P66" s="13"/>
      <c r="Q66" s="14"/>
      <c r="R66" s="13"/>
      <c r="S66" s="14"/>
      <c r="T66" s="14"/>
      <c r="U66" s="2"/>
      <c r="V66" s="17"/>
      <c r="W66" s="14"/>
      <c r="X66" s="14"/>
      <c r="Y66" s="13"/>
      <c r="Z66" s="13"/>
      <c r="AA66" s="17"/>
      <c r="AB66" s="2"/>
      <c r="AC66" s="2"/>
      <c r="AD66" s="18"/>
      <c r="AE66" s="18"/>
      <c r="AF66" s="18"/>
      <c r="AG66" s="18"/>
      <c r="AH66" s="18"/>
      <c r="AI66" s="2"/>
      <c r="AJ66" s="19"/>
      <c r="AK66" s="9"/>
      <c r="AL66" s="9"/>
      <c r="BU66" s="7"/>
      <c r="BV66" s="7"/>
      <c r="BW66" s="7"/>
      <c r="BX66" s="7"/>
      <c r="BY66" s="8"/>
      <c r="BZ66" s="7"/>
      <c r="CA66" s="8"/>
      <c r="CB66" s="7"/>
      <c r="CC66" s="7"/>
      <c r="CD66" s="8"/>
      <c r="CE66" s="8"/>
      <c r="CF66" s="7"/>
      <c r="CG66" s="7"/>
      <c r="CH66" s="7"/>
    </row>
    <row r="67" spans="1:86" ht="19.899999999999999" customHeight="1" x14ac:dyDescent="0.3">
      <c r="A67" s="24">
        <v>63</v>
      </c>
      <c r="B67" s="10"/>
      <c r="C67" s="4"/>
      <c r="D67" s="5"/>
      <c r="E67" s="6"/>
      <c r="F67" s="15"/>
      <c r="G67" s="6"/>
      <c r="H67" s="5"/>
      <c r="I67" s="5"/>
      <c r="J67" s="16"/>
      <c r="K67" s="16"/>
      <c r="L67" s="16"/>
      <c r="M67" s="14"/>
      <c r="N67" s="18"/>
      <c r="O67" s="2"/>
      <c r="P67" s="13"/>
      <c r="Q67" s="14"/>
      <c r="R67" s="13"/>
      <c r="S67" s="14"/>
      <c r="T67" s="14"/>
      <c r="U67" s="2"/>
      <c r="V67" s="17"/>
      <c r="W67" s="14"/>
      <c r="X67" s="14"/>
      <c r="Y67" s="13"/>
      <c r="Z67" s="13"/>
      <c r="AA67" s="17"/>
      <c r="AB67" s="2"/>
      <c r="AC67" s="2"/>
      <c r="AD67" s="18"/>
      <c r="AE67" s="18"/>
      <c r="AF67" s="18"/>
      <c r="AG67" s="18"/>
      <c r="AH67" s="18"/>
      <c r="AI67" s="2"/>
      <c r="AJ67" s="19"/>
      <c r="AK67" s="9"/>
      <c r="AL67" s="9"/>
      <c r="BU67" s="7"/>
      <c r="BV67" s="7"/>
      <c r="BW67" s="7"/>
      <c r="BX67" s="7"/>
      <c r="BY67" s="8"/>
      <c r="BZ67" s="7"/>
      <c r="CA67" s="8"/>
      <c r="CB67" s="7"/>
      <c r="CC67" s="7"/>
      <c r="CD67" s="8"/>
      <c r="CE67" s="8"/>
      <c r="CF67" s="7"/>
      <c r="CG67" s="7"/>
      <c r="CH67" s="7"/>
    </row>
    <row r="68" spans="1:86" ht="19.899999999999999" customHeight="1" x14ac:dyDescent="0.3">
      <c r="A68" s="24">
        <v>64</v>
      </c>
      <c r="B68" s="10"/>
      <c r="C68" s="4"/>
      <c r="D68" s="5"/>
      <c r="E68" s="6"/>
      <c r="F68" s="15"/>
      <c r="G68" s="6"/>
      <c r="H68" s="5"/>
      <c r="I68" s="5"/>
      <c r="J68" s="16"/>
      <c r="K68" s="16"/>
      <c r="L68" s="16"/>
      <c r="M68" s="14"/>
      <c r="N68" s="18"/>
      <c r="O68" s="2"/>
      <c r="P68" s="13"/>
      <c r="Q68" s="14"/>
      <c r="R68" s="13"/>
      <c r="S68" s="14"/>
      <c r="T68" s="14"/>
      <c r="U68" s="2"/>
      <c r="V68" s="17"/>
      <c r="W68" s="14"/>
      <c r="X68" s="14"/>
      <c r="Y68" s="13"/>
      <c r="Z68" s="13"/>
      <c r="AA68" s="17"/>
      <c r="AB68" s="2"/>
      <c r="AC68" s="2"/>
      <c r="AD68" s="18"/>
      <c r="AE68" s="18"/>
      <c r="AF68" s="18"/>
      <c r="AG68" s="18"/>
      <c r="AH68" s="18"/>
      <c r="AI68" s="2"/>
      <c r="AJ68" s="19"/>
      <c r="AK68" s="9"/>
      <c r="AL68" s="9"/>
      <c r="BU68" s="7"/>
      <c r="BV68" s="7"/>
      <c r="BW68" s="7"/>
      <c r="BX68" s="7"/>
      <c r="BY68" s="8"/>
      <c r="BZ68" s="7"/>
      <c r="CA68" s="8"/>
      <c r="CB68" s="7"/>
      <c r="CC68" s="7"/>
      <c r="CD68" s="8"/>
      <c r="CE68" s="8"/>
      <c r="CF68" s="7"/>
      <c r="CG68" s="7"/>
      <c r="CH68" s="7"/>
    </row>
    <row r="69" spans="1:86" ht="19.899999999999999" customHeight="1" x14ac:dyDescent="0.3">
      <c r="A69" s="24">
        <v>65</v>
      </c>
      <c r="B69" s="10"/>
      <c r="C69" s="4"/>
      <c r="D69" s="5"/>
      <c r="E69" s="6"/>
      <c r="F69" s="15"/>
      <c r="G69" s="6"/>
      <c r="H69" s="5"/>
      <c r="I69" s="5"/>
      <c r="J69" s="16"/>
      <c r="K69" s="16"/>
      <c r="L69" s="16"/>
      <c r="M69" s="14"/>
      <c r="N69" s="18"/>
      <c r="O69" s="2"/>
      <c r="P69" s="13"/>
      <c r="Q69" s="14"/>
      <c r="R69" s="13"/>
      <c r="S69" s="14"/>
      <c r="T69" s="14"/>
      <c r="U69" s="2"/>
      <c r="V69" s="17"/>
      <c r="W69" s="14"/>
      <c r="X69" s="14"/>
      <c r="Y69" s="13"/>
      <c r="Z69" s="13"/>
      <c r="AA69" s="17"/>
      <c r="AB69" s="2"/>
      <c r="AC69" s="2"/>
      <c r="AD69" s="18"/>
      <c r="AE69" s="18"/>
      <c r="AF69" s="18"/>
      <c r="AG69" s="18"/>
      <c r="AH69" s="18"/>
      <c r="AI69" s="2"/>
      <c r="AJ69" s="19"/>
      <c r="AK69" s="9"/>
      <c r="AL69" s="9"/>
      <c r="BU69" s="7"/>
      <c r="BV69" s="7"/>
      <c r="BW69" s="7"/>
      <c r="BX69" s="7"/>
      <c r="BY69" s="8"/>
      <c r="BZ69" s="7"/>
      <c r="CA69" s="8"/>
      <c r="CB69" s="7"/>
      <c r="CC69" s="7"/>
      <c r="CD69" s="8"/>
      <c r="CE69" s="8"/>
      <c r="CF69" s="7"/>
      <c r="CG69" s="7"/>
      <c r="CH69" s="7"/>
    </row>
    <row r="70" spans="1:86" ht="19.899999999999999" customHeight="1" x14ac:dyDescent="0.3">
      <c r="A70" s="24">
        <v>66</v>
      </c>
      <c r="B70" s="10"/>
      <c r="C70" s="4"/>
      <c r="D70" s="5"/>
      <c r="E70" s="6"/>
      <c r="F70" s="15"/>
      <c r="G70" s="6"/>
      <c r="H70" s="5"/>
      <c r="I70" s="5"/>
      <c r="J70" s="16"/>
      <c r="K70" s="16"/>
      <c r="L70" s="16"/>
      <c r="M70" s="14"/>
      <c r="N70" s="18"/>
      <c r="O70" s="2"/>
      <c r="P70" s="13"/>
      <c r="Q70" s="14"/>
      <c r="R70" s="13"/>
      <c r="S70" s="14"/>
      <c r="T70" s="14"/>
      <c r="U70" s="2"/>
      <c r="V70" s="17"/>
      <c r="W70" s="14"/>
      <c r="X70" s="14"/>
      <c r="Y70" s="13"/>
      <c r="Z70" s="13"/>
      <c r="AA70" s="17"/>
      <c r="AB70" s="2"/>
      <c r="AC70" s="2"/>
      <c r="AD70" s="18"/>
      <c r="AE70" s="18"/>
      <c r="AF70" s="18"/>
      <c r="AG70" s="18"/>
      <c r="AH70" s="18"/>
      <c r="AI70" s="2"/>
      <c r="AJ70" s="19"/>
      <c r="AK70" s="9"/>
      <c r="AL70" s="9"/>
      <c r="BU70" s="7"/>
      <c r="BV70" s="7"/>
      <c r="BW70" s="7"/>
      <c r="BX70" s="7"/>
      <c r="BY70" s="8"/>
      <c r="BZ70" s="7"/>
      <c r="CA70" s="8"/>
      <c r="CB70" s="7"/>
      <c r="CC70" s="7"/>
      <c r="CD70" s="8"/>
      <c r="CE70" s="8"/>
      <c r="CF70" s="7"/>
      <c r="CG70" s="7"/>
      <c r="CH70" s="7"/>
    </row>
    <row r="71" spans="1:86" ht="19.899999999999999" customHeight="1" x14ac:dyDescent="0.3">
      <c r="A71" s="24">
        <v>67</v>
      </c>
      <c r="B71" s="10"/>
      <c r="C71" s="4"/>
      <c r="D71" s="5"/>
      <c r="E71" s="6"/>
      <c r="F71" s="15"/>
      <c r="G71" s="6"/>
      <c r="H71" s="5"/>
      <c r="I71" s="5"/>
      <c r="J71" s="16"/>
      <c r="K71" s="16"/>
      <c r="L71" s="16"/>
      <c r="M71" s="14"/>
      <c r="N71" s="18"/>
      <c r="O71" s="2"/>
      <c r="P71" s="13"/>
      <c r="Q71" s="14"/>
      <c r="R71" s="13"/>
      <c r="S71" s="14"/>
      <c r="T71" s="14"/>
      <c r="U71" s="2"/>
      <c r="V71" s="17"/>
      <c r="W71" s="14"/>
      <c r="X71" s="14"/>
      <c r="Y71" s="13"/>
      <c r="Z71" s="13"/>
      <c r="AA71" s="17"/>
      <c r="AB71" s="2"/>
      <c r="AC71" s="2"/>
      <c r="AD71" s="18"/>
      <c r="AE71" s="18"/>
      <c r="AF71" s="18"/>
      <c r="AG71" s="18"/>
      <c r="AH71" s="18"/>
      <c r="AI71" s="2"/>
      <c r="AJ71" s="19"/>
      <c r="AK71" s="9"/>
      <c r="AL71" s="9"/>
      <c r="BU71" s="7"/>
      <c r="BV71" s="7"/>
      <c r="BW71" s="7"/>
      <c r="BX71" s="7"/>
      <c r="BY71" s="8"/>
      <c r="BZ71" s="7"/>
      <c r="CA71" s="8"/>
      <c r="CB71" s="7"/>
      <c r="CC71" s="7"/>
      <c r="CD71" s="8"/>
      <c r="CE71" s="8"/>
      <c r="CF71" s="7"/>
      <c r="CG71" s="7"/>
      <c r="CH71" s="7"/>
    </row>
    <row r="72" spans="1:86" ht="19.899999999999999" customHeight="1" x14ac:dyDescent="0.3">
      <c r="A72" s="24">
        <v>68</v>
      </c>
      <c r="B72" s="10"/>
      <c r="C72" s="4"/>
      <c r="D72" s="5"/>
      <c r="E72" s="6"/>
      <c r="F72" s="15"/>
      <c r="G72" s="6"/>
      <c r="H72" s="5"/>
      <c r="I72" s="5"/>
      <c r="J72" s="16"/>
      <c r="K72" s="16"/>
      <c r="L72" s="16"/>
      <c r="M72" s="14"/>
      <c r="N72" s="18"/>
      <c r="O72" s="2"/>
      <c r="P72" s="13"/>
      <c r="Q72" s="14"/>
      <c r="R72" s="13"/>
      <c r="S72" s="14"/>
      <c r="T72" s="14"/>
      <c r="U72" s="2"/>
      <c r="V72" s="17"/>
      <c r="W72" s="14"/>
      <c r="X72" s="14"/>
      <c r="Y72" s="13"/>
      <c r="Z72" s="13"/>
      <c r="AA72" s="17"/>
      <c r="AB72" s="2"/>
      <c r="AC72" s="2"/>
      <c r="AD72" s="18"/>
      <c r="AE72" s="18"/>
      <c r="AF72" s="18"/>
      <c r="AG72" s="18"/>
      <c r="AH72" s="18"/>
      <c r="AI72" s="2"/>
      <c r="AJ72" s="19"/>
      <c r="AK72" s="9"/>
      <c r="AL72" s="9"/>
      <c r="BU72" s="7"/>
      <c r="BV72" s="7"/>
      <c r="BW72" s="7"/>
      <c r="BX72" s="7"/>
      <c r="BY72" s="8"/>
      <c r="BZ72" s="7"/>
      <c r="CA72" s="8"/>
      <c r="CB72" s="7"/>
      <c r="CC72" s="7"/>
      <c r="CD72" s="8"/>
      <c r="CE72" s="8"/>
      <c r="CF72" s="7"/>
      <c r="CG72" s="7"/>
      <c r="CH72" s="7"/>
    </row>
    <row r="73" spans="1:86" ht="19.899999999999999" customHeight="1" x14ac:dyDescent="0.3">
      <c r="A73" s="24">
        <v>69</v>
      </c>
      <c r="B73" s="10"/>
      <c r="C73" s="4"/>
      <c r="D73" s="5"/>
      <c r="E73" s="6"/>
      <c r="F73" s="15"/>
      <c r="G73" s="6"/>
      <c r="H73" s="5"/>
      <c r="I73" s="5"/>
      <c r="J73" s="16"/>
      <c r="K73" s="16"/>
      <c r="L73" s="16"/>
      <c r="M73" s="14"/>
      <c r="N73" s="18"/>
      <c r="O73" s="2"/>
      <c r="P73" s="13"/>
      <c r="Q73" s="14"/>
      <c r="R73" s="13"/>
      <c r="S73" s="14"/>
      <c r="T73" s="14"/>
      <c r="U73" s="2"/>
      <c r="V73" s="17"/>
      <c r="W73" s="14"/>
      <c r="X73" s="14"/>
      <c r="Y73" s="13"/>
      <c r="Z73" s="13"/>
      <c r="AA73" s="17"/>
      <c r="AB73" s="2"/>
      <c r="AC73" s="2"/>
      <c r="AD73" s="18"/>
      <c r="AE73" s="18"/>
      <c r="AF73" s="18"/>
      <c r="AG73" s="18"/>
      <c r="AH73" s="18"/>
      <c r="AI73" s="2"/>
      <c r="AJ73" s="19"/>
      <c r="AK73" s="9"/>
      <c r="AL73" s="9"/>
      <c r="BU73" s="7"/>
      <c r="BV73" s="7"/>
      <c r="BW73" s="7"/>
      <c r="BX73" s="7"/>
      <c r="BY73" s="8"/>
      <c r="BZ73" s="7"/>
      <c r="CA73" s="8"/>
      <c r="CB73" s="7"/>
      <c r="CC73" s="7"/>
      <c r="CD73" s="8"/>
      <c r="CE73" s="8"/>
      <c r="CF73" s="7"/>
      <c r="CG73" s="7"/>
      <c r="CH73" s="7"/>
    </row>
    <row r="74" spans="1:86" ht="19.899999999999999" customHeight="1" x14ac:dyDescent="0.3">
      <c r="A74" s="24">
        <v>70</v>
      </c>
      <c r="B74" s="10"/>
      <c r="C74" s="4"/>
      <c r="D74" s="5"/>
      <c r="E74" s="6"/>
      <c r="F74" s="15"/>
      <c r="G74" s="6"/>
      <c r="H74" s="5"/>
      <c r="I74" s="5"/>
      <c r="J74" s="16"/>
      <c r="K74" s="16"/>
      <c r="L74" s="16"/>
      <c r="M74" s="14"/>
      <c r="N74" s="18"/>
      <c r="O74" s="2"/>
      <c r="P74" s="13"/>
      <c r="Q74" s="14"/>
      <c r="R74" s="13"/>
      <c r="S74" s="14"/>
      <c r="T74" s="14"/>
      <c r="U74" s="2"/>
      <c r="V74" s="17"/>
      <c r="W74" s="14"/>
      <c r="X74" s="14"/>
      <c r="Y74" s="13"/>
      <c r="Z74" s="13"/>
      <c r="AA74" s="17"/>
      <c r="AB74" s="2"/>
      <c r="AC74" s="2"/>
      <c r="AD74" s="18"/>
      <c r="AE74" s="18"/>
      <c r="AF74" s="18"/>
      <c r="AG74" s="18"/>
      <c r="AH74" s="18"/>
      <c r="AI74" s="2"/>
      <c r="AJ74" s="19"/>
      <c r="AK74" s="9"/>
      <c r="AL74" s="9"/>
      <c r="BU74" s="7"/>
      <c r="BV74" s="7"/>
      <c r="BW74" s="7"/>
      <c r="BX74" s="7"/>
      <c r="BY74" s="8"/>
      <c r="BZ74" s="7"/>
      <c r="CA74" s="8"/>
      <c r="CB74" s="7"/>
      <c r="CC74" s="7"/>
      <c r="CD74" s="8"/>
      <c r="CE74" s="8"/>
      <c r="CF74" s="7"/>
      <c r="CG74" s="7"/>
      <c r="CH74" s="7"/>
    </row>
    <row r="75" spans="1:86" ht="19.899999999999999" customHeight="1" x14ac:dyDescent="0.3">
      <c r="A75" s="24">
        <v>71</v>
      </c>
      <c r="B75" s="10"/>
      <c r="C75" s="4"/>
      <c r="D75" s="5"/>
      <c r="E75" s="6"/>
      <c r="F75" s="15"/>
      <c r="G75" s="6"/>
      <c r="H75" s="5"/>
      <c r="I75" s="5"/>
      <c r="J75" s="16"/>
      <c r="K75" s="16"/>
      <c r="L75" s="16"/>
      <c r="M75" s="14"/>
      <c r="N75" s="18"/>
      <c r="O75" s="2"/>
      <c r="P75" s="13"/>
      <c r="Q75" s="14"/>
      <c r="R75" s="13"/>
      <c r="S75" s="14"/>
      <c r="T75" s="14"/>
      <c r="U75" s="2"/>
      <c r="V75" s="17"/>
      <c r="W75" s="14"/>
      <c r="X75" s="14"/>
      <c r="Y75" s="13"/>
      <c r="Z75" s="13"/>
      <c r="AA75" s="17"/>
      <c r="AB75" s="2"/>
      <c r="AC75" s="2"/>
      <c r="AD75" s="18"/>
      <c r="AE75" s="18"/>
      <c r="AF75" s="18"/>
      <c r="AG75" s="18"/>
      <c r="AH75" s="18"/>
      <c r="AI75" s="2"/>
      <c r="AJ75" s="19"/>
      <c r="AK75" s="9"/>
      <c r="AL75" s="9"/>
      <c r="BU75" s="7"/>
      <c r="BV75" s="7"/>
      <c r="BW75" s="7"/>
      <c r="BX75" s="7"/>
      <c r="BY75" s="8"/>
      <c r="BZ75" s="7"/>
      <c r="CA75" s="8"/>
      <c r="CB75" s="7"/>
      <c r="CC75" s="7"/>
      <c r="CD75" s="8"/>
      <c r="CE75" s="8"/>
      <c r="CF75" s="7"/>
      <c r="CG75" s="7"/>
      <c r="CH75" s="7"/>
    </row>
    <row r="76" spans="1:86" ht="19.899999999999999" customHeight="1" x14ac:dyDescent="0.3">
      <c r="A76" s="24">
        <v>72</v>
      </c>
      <c r="B76" s="10"/>
      <c r="C76" s="4"/>
      <c r="D76" s="5"/>
      <c r="E76" s="6"/>
      <c r="F76" s="15"/>
      <c r="G76" s="6"/>
      <c r="H76" s="5"/>
      <c r="I76" s="5"/>
      <c r="J76" s="16"/>
      <c r="K76" s="16"/>
      <c r="L76" s="16"/>
      <c r="M76" s="14"/>
      <c r="N76" s="18"/>
      <c r="O76" s="2"/>
      <c r="P76" s="13"/>
      <c r="Q76" s="14"/>
      <c r="R76" s="13"/>
      <c r="S76" s="14"/>
      <c r="T76" s="14"/>
      <c r="U76" s="2"/>
      <c r="V76" s="17"/>
      <c r="W76" s="14"/>
      <c r="X76" s="14"/>
      <c r="Y76" s="13"/>
      <c r="Z76" s="13"/>
      <c r="AA76" s="17"/>
      <c r="AB76" s="2"/>
      <c r="AC76" s="2"/>
      <c r="AD76" s="18"/>
      <c r="AE76" s="18"/>
      <c r="AF76" s="18"/>
      <c r="AG76" s="18"/>
      <c r="AH76" s="18"/>
      <c r="AI76" s="2"/>
      <c r="AJ76" s="19"/>
      <c r="AK76" s="9"/>
      <c r="AL76" s="9"/>
      <c r="BU76" s="7"/>
      <c r="BV76" s="7"/>
      <c r="BW76" s="7"/>
      <c r="BX76" s="7"/>
      <c r="BY76" s="8"/>
      <c r="BZ76" s="7"/>
      <c r="CA76" s="8"/>
      <c r="CB76" s="7"/>
      <c r="CC76" s="7"/>
      <c r="CD76" s="8"/>
      <c r="CE76" s="8"/>
      <c r="CF76" s="7"/>
      <c r="CG76" s="7"/>
      <c r="CH76" s="7"/>
    </row>
    <row r="77" spans="1:86" ht="19.899999999999999" customHeight="1" x14ac:dyDescent="0.3">
      <c r="A77" s="24">
        <v>73</v>
      </c>
      <c r="B77" s="10"/>
      <c r="C77" s="4"/>
      <c r="D77" s="5"/>
      <c r="E77" s="6"/>
      <c r="F77" s="15"/>
      <c r="G77" s="6"/>
      <c r="H77" s="5"/>
      <c r="I77" s="5"/>
      <c r="J77" s="16"/>
      <c r="K77" s="16"/>
      <c r="L77" s="16"/>
      <c r="M77" s="14"/>
      <c r="N77" s="18"/>
      <c r="O77" s="2"/>
      <c r="P77" s="13"/>
      <c r="Q77" s="14"/>
      <c r="R77" s="13"/>
      <c r="S77" s="14"/>
      <c r="T77" s="14"/>
      <c r="U77" s="2"/>
      <c r="V77" s="17"/>
      <c r="W77" s="14"/>
      <c r="X77" s="14"/>
      <c r="Y77" s="13"/>
      <c r="Z77" s="13"/>
      <c r="AA77" s="17"/>
      <c r="AB77" s="2"/>
      <c r="AC77" s="2"/>
      <c r="AD77" s="18"/>
      <c r="AE77" s="18"/>
      <c r="AF77" s="18"/>
      <c r="AG77" s="18"/>
      <c r="AH77" s="18"/>
      <c r="AI77" s="2"/>
      <c r="AJ77" s="19"/>
      <c r="AK77" s="9"/>
      <c r="AL77" s="9"/>
      <c r="BU77" s="7"/>
      <c r="BV77" s="7"/>
      <c r="BW77" s="7"/>
      <c r="BX77" s="7"/>
      <c r="BY77" s="8"/>
      <c r="BZ77" s="7"/>
      <c r="CA77" s="8"/>
      <c r="CB77" s="7"/>
      <c r="CC77" s="7"/>
      <c r="CD77" s="8"/>
      <c r="CE77" s="8"/>
      <c r="CF77" s="7"/>
      <c r="CG77" s="7"/>
      <c r="CH77" s="7"/>
    </row>
    <row r="78" spans="1:86" ht="19.899999999999999" customHeight="1" x14ac:dyDescent="0.3">
      <c r="A78" s="24">
        <v>74</v>
      </c>
      <c r="B78" s="10"/>
      <c r="C78" s="4"/>
      <c r="D78" s="5"/>
      <c r="E78" s="6"/>
      <c r="F78" s="15"/>
      <c r="G78" s="6"/>
      <c r="H78" s="5"/>
      <c r="I78" s="5"/>
      <c r="J78" s="16"/>
      <c r="K78" s="16"/>
      <c r="L78" s="16"/>
      <c r="M78" s="14"/>
      <c r="N78" s="18"/>
      <c r="O78" s="2"/>
      <c r="P78" s="13"/>
      <c r="Q78" s="14"/>
      <c r="R78" s="13"/>
      <c r="S78" s="14"/>
      <c r="T78" s="14"/>
      <c r="U78" s="2"/>
      <c r="V78" s="17"/>
      <c r="W78" s="14"/>
      <c r="X78" s="14"/>
      <c r="Y78" s="13"/>
      <c r="Z78" s="13"/>
      <c r="AA78" s="17"/>
      <c r="AB78" s="2"/>
      <c r="AC78" s="2"/>
      <c r="AD78" s="18"/>
      <c r="AE78" s="18"/>
      <c r="AF78" s="18"/>
      <c r="AG78" s="18"/>
      <c r="AH78" s="18"/>
      <c r="AI78" s="2"/>
      <c r="AJ78" s="19"/>
      <c r="AK78" s="9"/>
      <c r="AL78" s="9"/>
      <c r="BU78" s="7"/>
      <c r="BV78" s="7"/>
      <c r="BW78" s="7"/>
      <c r="BX78" s="7"/>
      <c r="BY78" s="8"/>
      <c r="BZ78" s="7"/>
      <c r="CA78" s="8"/>
      <c r="CB78" s="7"/>
      <c r="CC78" s="7"/>
      <c r="CD78" s="8"/>
      <c r="CE78" s="8"/>
      <c r="CF78" s="7"/>
      <c r="CG78" s="7"/>
      <c r="CH78" s="7"/>
    </row>
    <row r="79" spans="1:86" ht="19.899999999999999" customHeight="1" x14ac:dyDescent="0.3">
      <c r="A79" s="24">
        <v>75</v>
      </c>
      <c r="B79" s="10"/>
      <c r="C79" s="4"/>
      <c r="D79" s="5"/>
      <c r="E79" s="6"/>
      <c r="F79" s="15"/>
      <c r="G79" s="6"/>
      <c r="H79" s="5"/>
      <c r="I79" s="5"/>
      <c r="J79" s="16"/>
      <c r="K79" s="16"/>
      <c r="L79" s="16"/>
      <c r="M79" s="14"/>
      <c r="N79" s="18"/>
      <c r="O79" s="2"/>
      <c r="P79" s="13"/>
      <c r="Q79" s="14"/>
      <c r="R79" s="13"/>
      <c r="S79" s="14"/>
      <c r="T79" s="14"/>
      <c r="U79" s="2"/>
      <c r="V79" s="17"/>
      <c r="W79" s="14"/>
      <c r="X79" s="14"/>
      <c r="Y79" s="13"/>
      <c r="Z79" s="13"/>
      <c r="AA79" s="17"/>
      <c r="AB79" s="2"/>
      <c r="AC79" s="2"/>
      <c r="AD79" s="18"/>
      <c r="AE79" s="18"/>
      <c r="AF79" s="18"/>
      <c r="AG79" s="18"/>
      <c r="AH79" s="18"/>
      <c r="AI79" s="2"/>
      <c r="AJ79" s="19"/>
      <c r="AK79" s="9"/>
      <c r="AL79" s="9"/>
      <c r="BU79" s="7"/>
      <c r="BV79" s="7"/>
      <c r="BW79" s="7"/>
      <c r="BX79" s="7"/>
      <c r="BY79" s="8"/>
      <c r="BZ79" s="7"/>
      <c r="CA79" s="8"/>
      <c r="CB79" s="7"/>
      <c r="CC79" s="7"/>
      <c r="CD79" s="8"/>
      <c r="CE79" s="8"/>
      <c r="CF79" s="7"/>
      <c r="CG79" s="7"/>
      <c r="CH79" s="7"/>
    </row>
    <row r="80" spans="1:86" ht="19.899999999999999" customHeight="1" x14ac:dyDescent="0.3">
      <c r="A80" s="24">
        <v>76</v>
      </c>
      <c r="B80" s="10"/>
      <c r="C80" s="4"/>
      <c r="D80" s="5"/>
      <c r="E80" s="6"/>
      <c r="F80" s="15"/>
      <c r="G80" s="6"/>
      <c r="H80" s="5"/>
      <c r="I80" s="5"/>
      <c r="J80" s="16"/>
      <c r="K80" s="16"/>
      <c r="L80" s="16"/>
      <c r="M80" s="14"/>
      <c r="N80" s="18"/>
      <c r="O80" s="2"/>
      <c r="P80" s="13"/>
      <c r="Q80" s="14"/>
      <c r="R80" s="13"/>
      <c r="S80" s="14"/>
      <c r="T80" s="14"/>
      <c r="U80" s="2"/>
      <c r="V80" s="17"/>
      <c r="W80" s="14"/>
      <c r="X80" s="14"/>
      <c r="Y80" s="13"/>
      <c r="Z80" s="13"/>
      <c r="AA80" s="17"/>
      <c r="AB80" s="2"/>
      <c r="AC80" s="2"/>
      <c r="AD80" s="18"/>
      <c r="AE80" s="18"/>
      <c r="AF80" s="18"/>
      <c r="AG80" s="18"/>
      <c r="AH80" s="18"/>
      <c r="AI80" s="2"/>
      <c r="AJ80" s="19"/>
      <c r="AK80" s="9"/>
      <c r="AL80" s="9"/>
      <c r="BU80" s="7"/>
      <c r="BV80" s="7"/>
      <c r="BW80" s="7"/>
      <c r="BX80" s="7"/>
      <c r="BY80" s="8"/>
      <c r="BZ80" s="7"/>
      <c r="CA80" s="8"/>
      <c r="CB80" s="7"/>
      <c r="CC80" s="7"/>
      <c r="CD80" s="8"/>
      <c r="CE80" s="8"/>
      <c r="CF80" s="7"/>
      <c r="CG80" s="7"/>
      <c r="CH80" s="7"/>
    </row>
    <row r="81" spans="1:86" ht="19.899999999999999" customHeight="1" x14ac:dyDescent="0.3">
      <c r="A81" s="24">
        <v>77</v>
      </c>
      <c r="B81" s="10"/>
      <c r="C81" s="4"/>
      <c r="D81" s="5"/>
      <c r="E81" s="6"/>
      <c r="F81" s="15"/>
      <c r="G81" s="6"/>
      <c r="H81" s="5"/>
      <c r="I81" s="5"/>
      <c r="J81" s="16"/>
      <c r="K81" s="16"/>
      <c r="L81" s="16"/>
      <c r="M81" s="14"/>
      <c r="N81" s="18"/>
      <c r="O81" s="2"/>
      <c r="P81" s="13"/>
      <c r="Q81" s="14"/>
      <c r="R81" s="13"/>
      <c r="S81" s="14"/>
      <c r="T81" s="14"/>
      <c r="U81" s="2"/>
      <c r="V81" s="17"/>
      <c r="W81" s="14"/>
      <c r="X81" s="14"/>
      <c r="Y81" s="13"/>
      <c r="Z81" s="13"/>
      <c r="AA81" s="17"/>
      <c r="AB81" s="2"/>
      <c r="AC81" s="2"/>
      <c r="AD81" s="18"/>
      <c r="AE81" s="18"/>
      <c r="AF81" s="18"/>
      <c r="AG81" s="18"/>
      <c r="AH81" s="18"/>
      <c r="AI81" s="2"/>
      <c r="AJ81" s="19"/>
      <c r="AK81" s="9"/>
      <c r="AL81" s="9"/>
      <c r="BU81" s="7"/>
      <c r="BV81" s="7"/>
      <c r="BW81" s="7"/>
      <c r="BX81" s="7"/>
      <c r="BY81" s="8"/>
      <c r="BZ81" s="7"/>
      <c r="CA81" s="8"/>
      <c r="CB81" s="7"/>
      <c r="CC81" s="7"/>
      <c r="CD81" s="8"/>
      <c r="CE81" s="8"/>
      <c r="CF81" s="7"/>
      <c r="CG81" s="7"/>
      <c r="CH81" s="7"/>
    </row>
    <row r="82" spans="1:86" ht="19.899999999999999" customHeight="1" x14ac:dyDescent="0.3">
      <c r="A82" s="24">
        <v>78</v>
      </c>
      <c r="B82" s="10"/>
      <c r="C82" s="4"/>
      <c r="D82" s="5"/>
      <c r="E82" s="6"/>
      <c r="F82" s="15"/>
      <c r="G82" s="6"/>
      <c r="H82" s="5"/>
      <c r="I82" s="5"/>
      <c r="J82" s="16"/>
      <c r="K82" s="16"/>
      <c r="L82" s="16"/>
      <c r="M82" s="14"/>
      <c r="N82" s="18"/>
      <c r="O82" s="2"/>
      <c r="P82" s="13"/>
      <c r="Q82" s="14"/>
      <c r="R82" s="13"/>
      <c r="S82" s="14"/>
      <c r="T82" s="14"/>
      <c r="U82" s="2"/>
      <c r="V82" s="17"/>
      <c r="W82" s="14"/>
      <c r="X82" s="14"/>
      <c r="Y82" s="13"/>
      <c r="Z82" s="13"/>
      <c r="AA82" s="17"/>
      <c r="AB82" s="2"/>
      <c r="AC82" s="2"/>
      <c r="AD82" s="18"/>
      <c r="AE82" s="18"/>
      <c r="AF82" s="18"/>
      <c r="AG82" s="18"/>
      <c r="AH82" s="18"/>
      <c r="AI82" s="2"/>
      <c r="AJ82" s="19"/>
      <c r="AK82" s="9"/>
      <c r="AL82" s="9"/>
      <c r="BU82" s="7"/>
      <c r="BV82" s="7"/>
      <c r="BW82" s="7"/>
      <c r="BX82" s="7"/>
      <c r="BY82" s="8"/>
      <c r="BZ82" s="7"/>
      <c r="CA82" s="8"/>
      <c r="CB82" s="7"/>
      <c r="CC82" s="7"/>
      <c r="CD82" s="8"/>
      <c r="CE82" s="8"/>
      <c r="CF82" s="7"/>
      <c r="CG82" s="7"/>
      <c r="CH82" s="7"/>
    </row>
    <row r="83" spans="1:86" ht="19.899999999999999" customHeight="1" x14ac:dyDescent="0.3">
      <c r="A83" s="24">
        <v>79</v>
      </c>
      <c r="B83" s="10"/>
      <c r="C83" s="4"/>
      <c r="D83" s="5"/>
      <c r="E83" s="6"/>
      <c r="F83" s="15"/>
      <c r="G83" s="6"/>
      <c r="H83" s="5"/>
      <c r="I83" s="5"/>
      <c r="J83" s="16"/>
      <c r="K83" s="16"/>
      <c r="L83" s="16"/>
      <c r="M83" s="14"/>
      <c r="N83" s="18"/>
      <c r="O83" s="2"/>
      <c r="P83" s="13"/>
      <c r="Q83" s="14"/>
      <c r="R83" s="13"/>
      <c r="S83" s="14"/>
      <c r="T83" s="14"/>
      <c r="U83" s="2"/>
      <c r="V83" s="17"/>
      <c r="W83" s="14"/>
      <c r="X83" s="14"/>
      <c r="Y83" s="13"/>
      <c r="Z83" s="13"/>
      <c r="AA83" s="17"/>
      <c r="AB83" s="2"/>
      <c r="AC83" s="2"/>
      <c r="AD83" s="18"/>
      <c r="AE83" s="18"/>
      <c r="AF83" s="18"/>
      <c r="AG83" s="18"/>
      <c r="AH83" s="18"/>
      <c r="AI83" s="2"/>
      <c r="AJ83" s="19"/>
      <c r="AK83" s="9"/>
      <c r="AL83" s="9"/>
      <c r="BU83" s="7"/>
      <c r="BV83" s="7"/>
      <c r="BW83" s="7"/>
      <c r="BX83" s="7"/>
      <c r="BY83" s="8"/>
      <c r="BZ83" s="7"/>
      <c r="CA83" s="8"/>
      <c r="CB83" s="7"/>
      <c r="CC83" s="7"/>
      <c r="CD83" s="8"/>
      <c r="CE83" s="8"/>
      <c r="CF83" s="7"/>
      <c r="CG83" s="7"/>
      <c r="CH83" s="7"/>
    </row>
    <row r="84" spans="1:86" ht="19.899999999999999" customHeight="1" x14ac:dyDescent="0.3">
      <c r="A84" s="24">
        <v>80</v>
      </c>
      <c r="B84" s="10"/>
      <c r="C84" s="4"/>
      <c r="D84" s="5"/>
      <c r="E84" s="6"/>
      <c r="F84" s="15"/>
      <c r="G84" s="6"/>
      <c r="H84" s="5"/>
      <c r="I84" s="5"/>
      <c r="J84" s="16"/>
      <c r="K84" s="16"/>
      <c r="L84" s="16"/>
      <c r="M84" s="14"/>
      <c r="N84" s="18"/>
      <c r="O84" s="2"/>
      <c r="P84" s="13"/>
      <c r="Q84" s="14"/>
      <c r="R84" s="13"/>
      <c r="S84" s="14"/>
      <c r="T84" s="14"/>
      <c r="U84" s="2"/>
      <c r="V84" s="17"/>
      <c r="W84" s="14"/>
      <c r="X84" s="14"/>
      <c r="Y84" s="13"/>
      <c r="Z84" s="13"/>
      <c r="AA84" s="17"/>
      <c r="AB84" s="2"/>
      <c r="AC84" s="2"/>
      <c r="AD84" s="18"/>
      <c r="AE84" s="18"/>
      <c r="AF84" s="18"/>
      <c r="AG84" s="18"/>
      <c r="AH84" s="18"/>
      <c r="AI84" s="2"/>
      <c r="AJ84" s="19"/>
      <c r="AK84" s="9"/>
      <c r="AL84" s="9"/>
      <c r="BU84" s="7"/>
      <c r="BV84" s="7"/>
      <c r="BW84" s="7"/>
      <c r="BX84" s="7"/>
      <c r="BY84" s="8"/>
      <c r="BZ84" s="7"/>
      <c r="CA84" s="8"/>
      <c r="CB84" s="7"/>
      <c r="CC84" s="7"/>
      <c r="CD84" s="8"/>
      <c r="CE84" s="8"/>
      <c r="CF84" s="7"/>
      <c r="CG84" s="7"/>
      <c r="CH84" s="7"/>
    </row>
    <row r="85" spans="1:86" ht="19.899999999999999" customHeight="1" x14ac:dyDescent="0.3">
      <c r="A85" s="24">
        <v>81</v>
      </c>
      <c r="B85" s="10"/>
      <c r="C85" s="4"/>
      <c r="D85" s="5"/>
      <c r="E85" s="6"/>
      <c r="F85" s="15"/>
      <c r="G85" s="6"/>
      <c r="H85" s="5"/>
      <c r="I85" s="5"/>
      <c r="J85" s="16"/>
      <c r="K85" s="16"/>
      <c r="L85" s="16"/>
      <c r="M85" s="14"/>
      <c r="N85" s="18"/>
      <c r="O85" s="2"/>
      <c r="P85" s="13"/>
      <c r="Q85" s="14"/>
      <c r="R85" s="13"/>
      <c r="S85" s="14"/>
      <c r="T85" s="14"/>
      <c r="U85" s="2"/>
      <c r="V85" s="17"/>
      <c r="W85" s="14"/>
      <c r="X85" s="14"/>
      <c r="Y85" s="13"/>
      <c r="Z85" s="13"/>
      <c r="AA85" s="17"/>
      <c r="AB85" s="2"/>
      <c r="AC85" s="2"/>
      <c r="AD85" s="18"/>
      <c r="AE85" s="18"/>
      <c r="AF85" s="18"/>
      <c r="AG85" s="18"/>
      <c r="AH85" s="18"/>
      <c r="BU85" s="7"/>
      <c r="BV85" s="7"/>
      <c r="BW85" s="7"/>
      <c r="BX85" s="7"/>
      <c r="BY85" s="8"/>
      <c r="BZ85" s="7"/>
      <c r="CA85" s="8"/>
      <c r="CB85" s="7"/>
      <c r="CC85" s="7"/>
      <c r="CD85" s="8"/>
      <c r="CE85" s="8"/>
      <c r="CF85" s="7"/>
      <c r="CG85" s="7"/>
      <c r="CH85" s="7"/>
    </row>
    <row r="86" spans="1:86" ht="19.899999999999999" customHeight="1" x14ac:dyDescent="0.3">
      <c r="BU86" s="7"/>
      <c r="BV86" s="7"/>
      <c r="BW86" s="7"/>
      <c r="BX86" s="7"/>
      <c r="BY86" s="8"/>
      <c r="BZ86" s="7"/>
      <c r="CA86" s="8"/>
      <c r="CB86" s="7"/>
      <c r="CC86" s="7"/>
      <c r="CD86" s="8"/>
      <c r="CE86" s="8"/>
      <c r="CF86" s="7"/>
      <c r="CG86" s="7"/>
      <c r="CH86" s="7"/>
    </row>
    <row r="87" spans="1:86" ht="19.899999999999999" customHeight="1" x14ac:dyDescent="0.3">
      <c r="BU87" s="7"/>
      <c r="BV87" s="7"/>
      <c r="BW87" s="7"/>
      <c r="BX87" s="7"/>
      <c r="BY87" s="8"/>
      <c r="BZ87" s="7"/>
      <c r="CA87" s="8"/>
      <c r="CB87" s="7"/>
      <c r="CC87" s="7"/>
      <c r="CD87" s="8"/>
      <c r="CE87" s="8"/>
      <c r="CF87" s="7"/>
      <c r="CG87" s="7"/>
      <c r="CH87" s="7"/>
    </row>
    <row r="88" spans="1:86" ht="19.899999999999999" customHeight="1" x14ac:dyDescent="0.3">
      <c r="BU88" s="7"/>
      <c r="BV88" s="7"/>
      <c r="BW88" s="7"/>
      <c r="BX88" s="7"/>
      <c r="BY88" s="8"/>
      <c r="BZ88" s="7"/>
      <c r="CA88" s="8"/>
      <c r="CB88" s="7"/>
      <c r="CC88" s="7"/>
      <c r="CD88" s="8"/>
      <c r="CE88" s="8"/>
      <c r="CF88" s="7"/>
      <c r="CG88" s="7"/>
      <c r="CH88" s="7"/>
    </row>
    <row r="89" spans="1:86" ht="19.899999999999999" customHeight="1" x14ac:dyDescent="0.3">
      <c r="BU89" s="7"/>
      <c r="BV89" s="7"/>
      <c r="BW89" s="7"/>
      <c r="BX89" s="7"/>
      <c r="BY89" s="8"/>
      <c r="BZ89" s="7"/>
      <c r="CA89" s="8"/>
      <c r="CB89" s="7"/>
      <c r="CC89" s="7"/>
      <c r="CD89" s="8"/>
      <c r="CE89" s="8"/>
      <c r="CF89" s="7"/>
      <c r="CG89" s="7"/>
      <c r="CH89" s="7"/>
    </row>
    <row r="90" spans="1:86" ht="19.899999999999999" customHeight="1" x14ac:dyDescent="0.3">
      <c r="BU90" s="7"/>
      <c r="BV90" s="7"/>
      <c r="BW90" s="7"/>
      <c r="BX90" s="7"/>
      <c r="BY90" s="8"/>
      <c r="BZ90" s="7"/>
      <c r="CA90" s="8"/>
      <c r="CB90" s="7"/>
      <c r="CC90" s="7"/>
      <c r="CD90" s="8"/>
      <c r="CE90" s="8"/>
      <c r="CF90" s="7"/>
      <c r="CG90" s="7"/>
      <c r="CH90" s="7"/>
    </row>
    <row r="91" spans="1:86" ht="19.899999999999999" customHeight="1" x14ac:dyDescent="0.3">
      <c r="BU91" s="7"/>
      <c r="BV91" s="7"/>
      <c r="BW91" s="7"/>
      <c r="BX91" s="7"/>
      <c r="BY91" s="8"/>
      <c r="BZ91" s="7"/>
      <c r="CA91" s="8"/>
      <c r="CB91" s="7"/>
      <c r="CC91" s="7"/>
      <c r="CD91" s="8"/>
      <c r="CE91" s="8"/>
      <c r="CF91" s="7"/>
      <c r="CG91" s="7"/>
      <c r="CH91" s="7"/>
    </row>
    <row r="92" spans="1:86" ht="19.899999999999999" customHeight="1" x14ac:dyDescent="0.3">
      <c r="BU92" s="7"/>
      <c r="BV92" s="7"/>
      <c r="BW92" s="7"/>
      <c r="BX92" s="7"/>
      <c r="BY92" s="8"/>
      <c r="BZ92" s="7"/>
      <c r="CA92" s="8"/>
      <c r="CB92" s="7"/>
      <c r="CC92" s="7"/>
      <c r="CD92" s="8"/>
      <c r="CE92" s="8"/>
      <c r="CF92" s="7"/>
      <c r="CG92" s="7"/>
      <c r="CH92" s="7"/>
    </row>
    <row r="93" spans="1:86" ht="19.899999999999999" customHeight="1" x14ac:dyDescent="0.3">
      <c r="BU93" s="7"/>
      <c r="BV93" s="7"/>
      <c r="BW93" s="7"/>
      <c r="BX93" s="7"/>
      <c r="BY93" s="8"/>
      <c r="BZ93" s="7"/>
      <c r="CA93" s="8"/>
      <c r="CB93" s="7"/>
      <c r="CC93" s="7"/>
      <c r="CD93" s="8"/>
      <c r="CE93" s="8"/>
      <c r="CF93" s="7"/>
      <c r="CG93" s="7"/>
      <c r="CH93" s="7"/>
    </row>
    <row r="94" spans="1:86" ht="19.899999999999999" customHeight="1" x14ac:dyDescent="0.3">
      <c r="BU94" s="7"/>
      <c r="BV94" s="7"/>
      <c r="BW94" s="7"/>
      <c r="BX94" s="7"/>
      <c r="BY94" s="8"/>
      <c r="BZ94" s="7"/>
      <c r="CA94" s="8"/>
      <c r="CB94" s="7"/>
      <c r="CC94" s="7"/>
      <c r="CD94" s="8"/>
      <c r="CE94" s="8"/>
      <c r="CF94" s="7"/>
      <c r="CG94" s="7"/>
      <c r="CH94" s="7"/>
    </row>
    <row r="95" spans="1:86" ht="19.899999999999999" customHeight="1" x14ac:dyDescent="0.3">
      <c r="BU95" s="7"/>
      <c r="BV95" s="7"/>
      <c r="BW95" s="7"/>
      <c r="BX95" s="7"/>
      <c r="BY95" s="8"/>
      <c r="BZ95" s="7"/>
      <c r="CA95" s="8"/>
      <c r="CB95" s="7"/>
      <c r="CC95" s="7"/>
      <c r="CD95" s="8"/>
      <c r="CE95" s="8"/>
      <c r="CF95" s="7"/>
      <c r="CG95" s="7"/>
      <c r="CH95" s="7"/>
    </row>
    <row r="96" spans="1:86" ht="19.899999999999999" customHeight="1" x14ac:dyDescent="0.3">
      <c r="BU96" s="7"/>
      <c r="BV96" s="7"/>
      <c r="BW96" s="7"/>
      <c r="BX96" s="7"/>
      <c r="BY96" s="8"/>
      <c r="BZ96" s="7"/>
      <c r="CA96" s="8"/>
      <c r="CB96" s="7"/>
      <c r="CC96" s="7"/>
      <c r="CD96" s="8"/>
      <c r="CE96" s="8"/>
      <c r="CF96" s="7"/>
      <c r="CG96" s="7"/>
      <c r="CH96" s="7"/>
    </row>
    <row r="97" spans="2:86" ht="19.899999999999999" customHeight="1" x14ac:dyDescent="0.3">
      <c r="BU97" s="7"/>
      <c r="BV97" s="7"/>
      <c r="BW97" s="7"/>
      <c r="BX97" s="7"/>
      <c r="BY97" s="8"/>
      <c r="BZ97" s="7"/>
      <c r="CA97" s="8"/>
      <c r="CB97" s="7"/>
      <c r="CC97" s="7"/>
      <c r="CD97" s="8"/>
      <c r="CE97" s="8"/>
      <c r="CF97" s="7"/>
      <c r="CG97" s="7"/>
      <c r="CH97" s="7"/>
    </row>
    <row r="98" spans="2:86" ht="19.899999999999999" customHeight="1" x14ac:dyDescent="0.3">
      <c r="BU98" s="7"/>
      <c r="BV98" s="7"/>
      <c r="BW98" s="7"/>
      <c r="BX98" s="7"/>
      <c r="BY98" s="8"/>
      <c r="BZ98" s="7"/>
      <c r="CA98" s="8"/>
      <c r="CB98" s="7"/>
      <c r="CC98" s="7"/>
      <c r="CD98" s="8"/>
      <c r="CE98" s="8"/>
      <c r="CF98" s="7"/>
      <c r="CG98" s="7"/>
      <c r="CH98" s="7"/>
    </row>
    <row r="99" spans="2:86" ht="19.899999999999999" customHeight="1" x14ac:dyDescent="0.3">
      <c r="BU99" s="7"/>
      <c r="BV99" s="7"/>
      <c r="BW99" s="7"/>
      <c r="BX99" s="7"/>
      <c r="BY99" s="8"/>
      <c r="BZ99" s="7"/>
      <c r="CA99" s="8"/>
      <c r="CB99" s="7"/>
      <c r="CC99" s="7"/>
      <c r="CD99" s="8"/>
      <c r="CE99" s="8"/>
      <c r="CF99" s="7"/>
      <c r="CG99" s="7"/>
      <c r="CH99" s="7"/>
    </row>
    <row r="100" spans="2:86" ht="19.899999999999999" customHeight="1" x14ac:dyDescent="0.3">
      <c r="BU100" s="7"/>
      <c r="BV100" s="7"/>
      <c r="BW100" s="7"/>
      <c r="BX100" s="7"/>
      <c r="BY100" s="8"/>
      <c r="BZ100" s="7"/>
      <c r="CA100" s="8"/>
      <c r="CB100" s="7"/>
      <c r="CC100" s="7"/>
      <c r="CD100" s="8"/>
      <c r="CE100" s="8"/>
      <c r="CF100" s="7"/>
      <c r="CG100" s="7"/>
      <c r="CH100" s="7"/>
    </row>
    <row r="101" spans="2:86" ht="19.899999999999999" customHeight="1" x14ac:dyDescent="0.3">
      <c r="B101" s="7"/>
      <c r="C101" s="7"/>
      <c r="D101" s="7"/>
      <c r="E101" s="7"/>
      <c r="F101" s="7"/>
      <c r="G101" s="7"/>
      <c r="H101" s="8"/>
      <c r="I101" s="8"/>
      <c r="J101" s="7"/>
      <c r="K101" s="7"/>
      <c r="L101" s="7"/>
      <c r="M101" s="7"/>
      <c r="N101" s="7"/>
      <c r="O101" s="8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8"/>
      <c r="BC101" s="8"/>
      <c r="BD101" s="8"/>
      <c r="BE101" s="7"/>
      <c r="BF101" s="8"/>
      <c r="BG101" s="7"/>
      <c r="BH101" s="7"/>
      <c r="BI101" s="7"/>
      <c r="BJ101" s="8"/>
      <c r="BK101" s="7"/>
      <c r="BL101" s="7"/>
      <c r="BM101" s="7"/>
      <c r="BN101" s="7"/>
      <c r="BO101" s="7"/>
      <c r="BP101" s="7"/>
      <c r="BQ101" s="7"/>
      <c r="BR101" s="7"/>
      <c r="BS101" s="7"/>
      <c r="BT101" s="8"/>
      <c r="BU101" s="7"/>
      <c r="BV101" s="7"/>
      <c r="BW101" s="7"/>
      <c r="BX101" s="7"/>
      <c r="BY101" s="8"/>
      <c r="BZ101" s="7"/>
      <c r="CA101" s="8"/>
      <c r="CB101" s="7"/>
      <c r="CC101" s="7"/>
      <c r="CD101" s="8"/>
      <c r="CE101" s="8"/>
      <c r="CF101" s="7"/>
      <c r="CG101" s="7"/>
      <c r="CH101" s="7"/>
    </row>
    <row r="102" spans="2:86" ht="19.899999999999999" customHeight="1" x14ac:dyDescent="0.3">
      <c r="B102" s="7" t="s">
        <v>3</v>
      </c>
      <c r="C102" s="7" t="s">
        <v>4</v>
      </c>
      <c r="D102" s="7" t="s">
        <v>5</v>
      </c>
      <c r="E102" s="7" t="s">
        <v>6</v>
      </c>
      <c r="F102" s="7" t="s">
        <v>7</v>
      </c>
      <c r="G102" s="7" t="s">
        <v>8</v>
      </c>
      <c r="H102" s="7" t="s">
        <v>9</v>
      </c>
      <c r="I102" s="7" t="s">
        <v>10</v>
      </c>
      <c r="J102" s="7" t="s">
        <v>11</v>
      </c>
      <c r="K102" s="7" t="s">
        <v>12</v>
      </c>
      <c r="L102" s="7" t="s">
        <v>13</v>
      </c>
      <c r="M102" s="7" t="s">
        <v>14</v>
      </c>
      <c r="N102" s="7" t="s">
        <v>111</v>
      </c>
      <c r="O102" s="7" t="s">
        <v>15</v>
      </c>
      <c r="P102" s="7" t="s">
        <v>16</v>
      </c>
      <c r="Q102" s="7" t="s">
        <v>112</v>
      </c>
      <c r="R102" s="7" t="s">
        <v>113</v>
      </c>
      <c r="S102" s="7" t="s">
        <v>114</v>
      </c>
      <c r="T102" s="7" t="s">
        <v>115</v>
      </c>
      <c r="U102" s="7" t="s">
        <v>116</v>
      </c>
      <c r="V102" s="7" t="s">
        <v>36</v>
      </c>
      <c r="W102" s="7" t="s">
        <v>17</v>
      </c>
      <c r="X102" s="7" t="s">
        <v>18</v>
      </c>
      <c r="Y102" s="7" t="s">
        <v>19</v>
      </c>
      <c r="Z102" s="7" t="s">
        <v>20</v>
      </c>
      <c r="AA102" s="7" t="s">
        <v>37</v>
      </c>
      <c r="AB102" s="7" t="s">
        <v>38</v>
      </c>
      <c r="AC102" s="7" t="s">
        <v>39</v>
      </c>
      <c r="AD102" s="7" t="s">
        <v>40</v>
      </c>
      <c r="AE102" s="7" t="s">
        <v>41</v>
      </c>
      <c r="AF102" s="7" t="s">
        <v>42</v>
      </c>
      <c r="AG102" s="7" t="s">
        <v>21</v>
      </c>
      <c r="AH102" s="7" t="s">
        <v>22</v>
      </c>
      <c r="AI102" s="7" t="s">
        <v>23</v>
      </c>
      <c r="AJ102" s="7" t="s">
        <v>24</v>
      </c>
      <c r="AK102" s="7" t="s">
        <v>43</v>
      </c>
      <c r="AL102" s="7" t="s">
        <v>44</v>
      </c>
      <c r="AM102" s="7" t="s">
        <v>26</v>
      </c>
      <c r="AN102" s="7" t="s">
        <v>67</v>
      </c>
      <c r="AO102" s="7" t="s">
        <v>27</v>
      </c>
      <c r="AP102" s="7" t="s">
        <v>28</v>
      </c>
      <c r="AQ102" s="7" t="s">
        <v>29</v>
      </c>
      <c r="AR102" s="7" t="s">
        <v>30</v>
      </c>
      <c r="AS102" s="7" t="s">
        <v>35</v>
      </c>
      <c r="AT102" s="7" t="s">
        <v>31</v>
      </c>
      <c r="AU102" s="7" t="s">
        <v>32</v>
      </c>
      <c r="AV102" s="7" t="s">
        <v>33</v>
      </c>
      <c r="AW102" s="7" t="s">
        <v>34</v>
      </c>
      <c r="AX102" s="7" t="s">
        <v>45</v>
      </c>
      <c r="AY102" s="7" t="s">
        <v>68</v>
      </c>
      <c r="AZ102" s="7" t="s">
        <v>47</v>
      </c>
      <c r="BA102" s="7" t="s">
        <v>48</v>
      </c>
      <c r="BB102" s="7" t="s">
        <v>49</v>
      </c>
      <c r="BC102" s="7" t="s">
        <v>50</v>
      </c>
      <c r="BD102" s="7" t="s">
        <v>51</v>
      </c>
      <c r="BE102" s="7" t="s">
        <v>52</v>
      </c>
      <c r="BF102" s="7" t="s">
        <v>53</v>
      </c>
      <c r="BG102" s="7" t="s">
        <v>54</v>
      </c>
      <c r="BH102" s="7" t="s">
        <v>55</v>
      </c>
      <c r="BI102" s="7" t="s">
        <v>69</v>
      </c>
      <c r="BJ102" s="7" t="s">
        <v>70</v>
      </c>
      <c r="BK102" s="7" t="s">
        <v>46</v>
      </c>
      <c r="BL102" s="7" t="s">
        <v>71</v>
      </c>
      <c r="BM102" s="7" t="s">
        <v>72</v>
      </c>
      <c r="BN102" s="7" t="s">
        <v>73</v>
      </c>
      <c r="BO102" s="7" t="s">
        <v>74</v>
      </c>
      <c r="BP102" s="7" t="s">
        <v>75</v>
      </c>
      <c r="BQ102" s="7" t="s">
        <v>76</v>
      </c>
      <c r="BR102" s="7" t="s">
        <v>77</v>
      </c>
      <c r="BS102" s="7" t="s">
        <v>78</v>
      </c>
      <c r="BT102" s="7" t="s">
        <v>79</v>
      </c>
      <c r="BU102" s="7" t="s">
        <v>80</v>
      </c>
      <c r="BV102" s="7" t="s">
        <v>81</v>
      </c>
      <c r="BW102" s="7" t="s">
        <v>82</v>
      </c>
      <c r="BX102" s="7" t="s">
        <v>86</v>
      </c>
    </row>
    <row r="103" spans="2:86" ht="19.899999999999999" customHeight="1" x14ac:dyDescent="0.3">
      <c r="B103" s="7" t="s">
        <v>152</v>
      </c>
      <c r="C103" s="7">
        <v>4</v>
      </c>
      <c r="D103" s="7">
        <v>1.41</v>
      </c>
      <c r="E103" s="7">
        <v>102</v>
      </c>
      <c r="F103" s="7">
        <v>1.42</v>
      </c>
      <c r="G103" s="7">
        <v>1.4</v>
      </c>
      <c r="H103" s="8">
        <v>0.29399999999999998</v>
      </c>
      <c r="I103" s="8">
        <v>0.5</v>
      </c>
      <c r="J103" s="7">
        <v>1.1599999999999999</v>
      </c>
      <c r="K103" s="7">
        <v>2.13</v>
      </c>
      <c r="L103" s="7">
        <v>0.61</v>
      </c>
      <c r="M103" s="7">
        <v>74.5</v>
      </c>
      <c r="N103" s="7">
        <v>2.94</v>
      </c>
      <c r="O103" s="7">
        <v>93.1</v>
      </c>
      <c r="P103" s="7">
        <v>0.91</v>
      </c>
      <c r="Q103" s="7">
        <v>0.64</v>
      </c>
      <c r="R103" s="7">
        <v>72.7</v>
      </c>
      <c r="S103" s="7">
        <v>1.45</v>
      </c>
      <c r="T103" s="7">
        <v>92.3</v>
      </c>
      <c r="U103" s="7">
        <v>0.93</v>
      </c>
      <c r="V103" s="7">
        <v>31</v>
      </c>
      <c r="W103" s="7">
        <v>4</v>
      </c>
      <c r="X103" s="7">
        <v>1.41</v>
      </c>
      <c r="Y103" s="7">
        <v>4</v>
      </c>
      <c r="Z103" s="7">
        <v>1.41</v>
      </c>
      <c r="AA103" s="7">
        <v>4</v>
      </c>
      <c r="AB103" s="7">
        <v>1.41</v>
      </c>
      <c r="AC103" s="7">
        <v>0.1470588235294118</v>
      </c>
      <c r="AD103" s="7">
        <v>0.55882352941176472</v>
      </c>
      <c r="AE103" s="7">
        <v>0.23529411764705879</v>
      </c>
      <c r="AF103" s="7">
        <v>8.8235294117647065E-2</v>
      </c>
      <c r="AG103" s="7">
        <v>4</v>
      </c>
      <c r="AH103" s="7">
        <v>4</v>
      </c>
      <c r="AI103" s="7">
        <v>3</v>
      </c>
      <c r="AJ103" s="7">
        <v>3</v>
      </c>
      <c r="AK103" s="7">
        <v>0</v>
      </c>
      <c r="AL103" s="7">
        <v>0</v>
      </c>
      <c r="AM103" s="7">
        <v>1.2</v>
      </c>
      <c r="AN103" s="7">
        <v>0</v>
      </c>
      <c r="AO103" s="7" t="s">
        <v>85</v>
      </c>
      <c r="AP103" s="7">
        <v>122.7</v>
      </c>
      <c r="AQ103" s="8">
        <v>0.73299999999999998</v>
      </c>
      <c r="AR103" s="8">
        <v>6.2E-2</v>
      </c>
      <c r="AS103" s="8">
        <v>0.20399999999999999</v>
      </c>
      <c r="AT103" s="7">
        <v>102</v>
      </c>
      <c r="AU103" s="8">
        <v>0.108</v>
      </c>
      <c r="AV103" s="7">
        <v>0.58750000000000002</v>
      </c>
      <c r="AW103" s="7">
        <v>59.799999999999983</v>
      </c>
      <c r="AX103" s="7">
        <v>0.25</v>
      </c>
      <c r="AY103" s="8">
        <v>0.21</v>
      </c>
      <c r="AZ103" s="7">
        <v>0.01</v>
      </c>
      <c r="BA103" s="7">
        <v>2.66</v>
      </c>
      <c r="BB103" s="7">
        <v>100</v>
      </c>
      <c r="BC103" s="7">
        <v>40</v>
      </c>
      <c r="BD103" s="7">
        <v>86</v>
      </c>
      <c r="BE103" s="7">
        <v>86</v>
      </c>
      <c r="BF103" s="7">
        <v>17</v>
      </c>
      <c r="BG103" s="7">
        <v>13</v>
      </c>
      <c r="BH103" s="7">
        <v>35</v>
      </c>
      <c r="BI103" s="8">
        <v>0.54800000000000004</v>
      </c>
      <c r="BJ103" s="7">
        <v>1.536888888888889</v>
      </c>
      <c r="BK103" s="7">
        <v>0.13</v>
      </c>
      <c r="BL103" s="7">
        <v>0.14000000000000001</v>
      </c>
      <c r="BM103" s="7">
        <v>0.08</v>
      </c>
      <c r="BN103" s="8">
        <v>0.13700000000000001</v>
      </c>
      <c r="BO103" s="7">
        <v>2.96</v>
      </c>
      <c r="BP103" s="7" t="s">
        <v>85</v>
      </c>
      <c r="BQ103" s="7">
        <v>76</v>
      </c>
      <c r="BR103" s="7">
        <v>0.05</v>
      </c>
      <c r="BS103" s="8">
        <v>5.3999999999999999E-2</v>
      </c>
      <c r="BT103" s="8">
        <v>2.9000000000000001E-2</v>
      </c>
      <c r="BU103" s="7">
        <v>0</v>
      </c>
      <c r="BV103" s="7">
        <v>0.56000000000000005</v>
      </c>
      <c r="BW103" s="7">
        <v>2.44</v>
      </c>
      <c r="BX103" s="8">
        <v>0.26900000000000002</v>
      </c>
    </row>
    <row r="104" spans="2:86" ht="19.899999999999999" customHeight="1" x14ac:dyDescent="0.3">
      <c r="B104" s="7" t="s">
        <v>156</v>
      </c>
      <c r="C104" s="7">
        <v>8</v>
      </c>
      <c r="D104" s="7">
        <v>1.4</v>
      </c>
      <c r="E104" s="7">
        <v>164</v>
      </c>
      <c r="F104" s="7">
        <v>1.2</v>
      </c>
      <c r="G104" s="7">
        <v>1.58</v>
      </c>
      <c r="H104" s="8">
        <v>0.189</v>
      </c>
      <c r="I104" s="8">
        <v>0.74199999999999999</v>
      </c>
      <c r="J104" s="7">
        <v>1.29</v>
      </c>
      <c r="K104" s="7">
        <v>1.44</v>
      </c>
      <c r="L104" s="7">
        <v>0.56999999999999995</v>
      </c>
      <c r="M104" s="7">
        <v>80.5</v>
      </c>
      <c r="N104" s="7">
        <v>3.9</v>
      </c>
      <c r="O104" s="7">
        <v>88.2</v>
      </c>
      <c r="P104" s="7">
        <v>0.82</v>
      </c>
      <c r="Q104" s="7">
        <v>0.63</v>
      </c>
      <c r="R104" s="7">
        <v>78.5</v>
      </c>
      <c r="S104" s="7">
        <v>1.29</v>
      </c>
      <c r="T104" s="7">
        <v>86.5</v>
      </c>
      <c r="U104" s="7">
        <v>0.83</v>
      </c>
      <c r="V104" s="7">
        <v>41</v>
      </c>
      <c r="W104" s="7">
        <v>2</v>
      </c>
      <c r="X104" s="7">
        <v>1.53</v>
      </c>
      <c r="Y104" s="7">
        <v>4</v>
      </c>
      <c r="Z104" s="7">
        <v>1.41</v>
      </c>
      <c r="AA104" s="7">
        <v>8</v>
      </c>
      <c r="AB104" s="7">
        <v>1.4</v>
      </c>
      <c r="AC104" s="7">
        <v>0.1402439024390244</v>
      </c>
      <c r="AD104" s="7">
        <v>0.54268292682926833</v>
      </c>
      <c r="AE104" s="7">
        <v>0.2073170731707317</v>
      </c>
      <c r="AF104" s="7">
        <v>5.4878048780487812E-2</v>
      </c>
      <c r="AG104" s="7">
        <v>8</v>
      </c>
      <c r="AH104" s="7">
        <v>6</v>
      </c>
      <c r="AI104" s="7">
        <v>6</v>
      </c>
      <c r="AJ104" s="7">
        <v>4</v>
      </c>
      <c r="AK104" s="7">
        <v>4</v>
      </c>
      <c r="AL104" s="7">
        <v>4.2682926829268303E-2</v>
      </c>
      <c r="AM104" s="7">
        <v>0.96</v>
      </c>
      <c r="AN104" s="7">
        <v>0</v>
      </c>
      <c r="AO104" s="7" t="s">
        <v>85</v>
      </c>
      <c r="AP104" s="7">
        <v>97.9</v>
      </c>
      <c r="AQ104" s="8">
        <v>0.65200000000000002</v>
      </c>
      <c r="AR104" s="8">
        <v>0.13100000000000001</v>
      </c>
      <c r="AS104" s="8">
        <v>0.17</v>
      </c>
      <c r="AT104" s="7">
        <v>107</v>
      </c>
      <c r="AU104" s="8">
        <v>0.104</v>
      </c>
      <c r="AV104" s="7">
        <v>0.59213114754098373</v>
      </c>
      <c r="AW104" s="7">
        <v>71.821311475409843</v>
      </c>
      <c r="AX104" s="7">
        <v>0.15</v>
      </c>
      <c r="AY104" s="8">
        <v>0.18099999999999999</v>
      </c>
      <c r="AZ104" s="7">
        <v>0.02</v>
      </c>
      <c r="BA104" s="7">
        <v>3.6</v>
      </c>
      <c r="BB104" s="7">
        <v>97</v>
      </c>
      <c r="BC104" s="7">
        <v>13</v>
      </c>
      <c r="BD104" s="7">
        <v>55</v>
      </c>
      <c r="BE104" s="7">
        <v>72</v>
      </c>
      <c r="BF104" s="7">
        <v>85</v>
      </c>
      <c r="BG104" s="7">
        <v>7</v>
      </c>
      <c r="BH104" s="7">
        <v>23</v>
      </c>
      <c r="BI104" s="8">
        <v>0.47399999999999998</v>
      </c>
      <c r="BJ104" s="7">
        <v>1.5004827586206899</v>
      </c>
      <c r="BK104" s="7">
        <v>0.1</v>
      </c>
      <c r="BL104" s="7">
        <v>0.13</v>
      </c>
      <c r="BM104" s="7">
        <v>7.0000000000000007E-2</v>
      </c>
      <c r="BN104" s="8">
        <v>0.23799999999999999</v>
      </c>
      <c r="BO104" s="7">
        <v>2.99</v>
      </c>
      <c r="BP104" s="8">
        <v>1</v>
      </c>
      <c r="BQ104" s="7">
        <v>78</v>
      </c>
      <c r="BR104" s="7">
        <v>0.05</v>
      </c>
      <c r="BS104" s="8">
        <v>5.8999999999999997E-2</v>
      </c>
      <c r="BT104" s="8">
        <v>4.9000000000000002E-2</v>
      </c>
      <c r="BU104" s="7">
        <v>0.61</v>
      </c>
      <c r="BV104" s="7">
        <v>0.33</v>
      </c>
      <c r="BW104" s="7">
        <v>1.35</v>
      </c>
      <c r="BX104" s="8">
        <v>0.185</v>
      </c>
    </row>
    <row r="105" spans="2:86" ht="19.899999999999999" customHeight="1" x14ac:dyDescent="0.3">
      <c r="B105" s="7" t="s">
        <v>155</v>
      </c>
      <c r="C105" s="7">
        <v>8</v>
      </c>
      <c r="D105" s="7">
        <v>1.4</v>
      </c>
      <c r="E105" s="7">
        <v>164</v>
      </c>
      <c r="F105" s="7">
        <v>1.28</v>
      </c>
      <c r="G105" s="7">
        <v>1.5</v>
      </c>
      <c r="H105" s="8">
        <v>0.20100000000000001</v>
      </c>
      <c r="I105" s="8">
        <v>0.69699999999999995</v>
      </c>
      <c r="J105" s="7">
        <v>1.27</v>
      </c>
      <c r="K105" s="7">
        <v>1.59</v>
      </c>
      <c r="L105" s="7">
        <v>0.54</v>
      </c>
      <c r="M105" s="7">
        <v>76.8</v>
      </c>
      <c r="N105" s="7">
        <v>4.1500000000000004</v>
      </c>
      <c r="O105" s="7">
        <v>88.3</v>
      </c>
      <c r="P105" s="7">
        <v>0.9</v>
      </c>
      <c r="Q105" s="7">
        <v>0.6</v>
      </c>
      <c r="R105" s="7">
        <v>74</v>
      </c>
      <c r="S105" s="7">
        <v>1.37</v>
      </c>
      <c r="T105" s="7">
        <v>82.7</v>
      </c>
      <c r="U105" s="7">
        <v>0.83</v>
      </c>
      <c r="V105" s="7">
        <v>58</v>
      </c>
      <c r="W105" s="7">
        <v>2</v>
      </c>
      <c r="X105" s="7">
        <v>2.1800000000000002</v>
      </c>
      <c r="Y105" s="7">
        <v>4</v>
      </c>
      <c r="Z105" s="7">
        <v>1.55</v>
      </c>
      <c r="AA105" s="7">
        <v>8</v>
      </c>
      <c r="AB105" s="7">
        <v>1.4</v>
      </c>
      <c r="AC105" s="7">
        <v>0.1402439024390244</v>
      </c>
      <c r="AD105" s="7">
        <v>0.57926829268292679</v>
      </c>
      <c r="AE105" s="7">
        <v>0.22560975609756101</v>
      </c>
      <c r="AF105" s="7">
        <v>7.3170731707317069E-2</v>
      </c>
      <c r="AG105" s="7">
        <v>7</v>
      </c>
      <c r="AH105" s="7">
        <v>7</v>
      </c>
      <c r="AI105" s="7">
        <v>5</v>
      </c>
      <c r="AJ105" s="7">
        <v>5</v>
      </c>
      <c r="AK105" s="7">
        <v>3</v>
      </c>
      <c r="AL105" s="7">
        <v>2.4390243902439029E-2</v>
      </c>
      <c r="AM105" s="7">
        <v>1.19</v>
      </c>
      <c r="AN105" s="7">
        <v>0</v>
      </c>
      <c r="AO105" s="7" t="s">
        <v>85</v>
      </c>
      <c r="AP105" s="7">
        <v>116.2</v>
      </c>
      <c r="AQ105" s="8">
        <v>0.82599999999999996</v>
      </c>
      <c r="AR105" s="8">
        <v>0.115</v>
      </c>
      <c r="AS105" s="8">
        <v>0.245</v>
      </c>
      <c r="AT105" s="7">
        <v>98</v>
      </c>
      <c r="AU105" s="8">
        <v>9.8000000000000004E-2</v>
      </c>
      <c r="AV105" s="7">
        <v>0.40049180327868872</v>
      </c>
      <c r="AW105" s="7">
        <v>41.190163934426202</v>
      </c>
      <c r="AX105" s="7">
        <v>0.13</v>
      </c>
      <c r="AY105" s="8">
        <v>0.157</v>
      </c>
      <c r="AZ105" s="7">
        <v>0.1</v>
      </c>
      <c r="BA105" s="7">
        <v>3.6</v>
      </c>
      <c r="BB105" s="7">
        <v>99</v>
      </c>
      <c r="BC105" s="7">
        <v>17</v>
      </c>
      <c r="BD105" s="7">
        <v>40</v>
      </c>
      <c r="BE105" s="7">
        <v>82</v>
      </c>
      <c r="BF105" s="7">
        <v>60</v>
      </c>
      <c r="BG105" s="7">
        <v>96</v>
      </c>
      <c r="BH105" s="7">
        <v>59</v>
      </c>
      <c r="BI105" s="8">
        <v>0.27200000000000002</v>
      </c>
      <c r="BJ105" s="7">
        <v>1.497655172413793</v>
      </c>
      <c r="BK105" s="7">
        <v>0.09</v>
      </c>
      <c r="BL105" s="7">
        <v>0.13</v>
      </c>
      <c r="BM105" s="7">
        <v>0.1</v>
      </c>
      <c r="BN105" s="8">
        <v>0.16500000000000001</v>
      </c>
      <c r="BO105" s="7">
        <v>2.14</v>
      </c>
      <c r="BP105" s="8">
        <v>1</v>
      </c>
      <c r="BQ105" s="7">
        <v>80</v>
      </c>
      <c r="BR105" s="7">
        <v>0.51</v>
      </c>
      <c r="BS105" s="8">
        <v>0.56499999999999995</v>
      </c>
      <c r="BT105" s="8">
        <v>0.40200000000000002</v>
      </c>
      <c r="BU105" s="7">
        <v>0.61</v>
      </c>
      <c r="BV105" s="7">
        <v>0.69</v>
      </c>
      <c r="BW105" s="7">
        <v>1.96</v>
      </c>
      <c r="BX105" s="8">
        <v>0.14299999999999999</v>
      </c>
    </row>
    <row r="106" spans="2:86" ht="19.899999999999999" customHeight="1" x14ac:dyDescent="0.3">
      <c r="B106" s="7" t="s">
        <v>143</v>
      </c>
      <c r="C106" s="7">
        <v>6</v>
      </c>
      <c r="D106" s="7">
        <v>1.32</v>
      </c>
      <c r="E106" s="7">
        <v>126</v>
      </c>
      <c r="F106" s="7">
        <v>1.34</v>
      </c>
      <c r="G106" s="7">
        <v>1.32</v>
      </c>
      <c r="H106" s="8">
        <v>0.38100000000000001</v>
      </c>
      <c r="I106" s="8">
        <v>0.47899999999999998</v>
      </c>
      <c r="J106" s="7">
        <v>1.25</v>
      </c>
      <c r="K106" s="7">
        <v>1.79</v>
      </c>
      <c r="L106" s="7">
        <v>0.67</v>
      </c>
      <c r="M106" s="7">
        <v>78.599999999999994</v>
      </c>
      <c r="N106" s="7">
        <v>3.31</v>
      </c>
      <c r="O106" s="7">
        <v>87.8</v>
      </c>
      <c r="P106" s="7">
        <v>0.75</v>
      </c>
      <c r="Q106" s="7">
        <v>0.69</v>
      </c>
      <c r="R106" s="7">
        <v>78.599999999999994</v>
      </c>
      <c r="S106" s="7">
        <v>1.2</v>
      </c>
      <c r="T106" s="7">
        <v>86.4</v>
      </c>
      <c r="U106" s="7">
        <v>0.76</v>
      </c>
      <c r="V106" s="7">
        <v>11</v>
      </c>
      <c r="W106" s="7">
        <v>3</v>
      </c>
      <c r="X106" s="7">
        <v>1.4</v>
      </c>
      <c r="Y106" s="7">
        <v>3</v>
      </c>
      <c r="Z106" s="7">
        <v>1.4</v>
      </c>
      <c r="AA106" s="7">
        <v>6</v>
      </c>
      <c r="AB106" s="7">
        <v>1.32</v>
      </c>
      <c r="AC106" s="7">
        <v>0.1825396825396825</v>
      </c>
      <c r="AD106" s="7">
        <v>0.49206349206349198</v>
      </c>
      <c r="AE106" s="7">
        <v>0.19047619047619049</v>
      </c>
      <c r="AF106" s="7">
        <v>5.5555555555555552E-2</v>
      </c>
      <c r="AG106" s="7">
        <v>5</v>
      </c>
      <c r="AH106" s="7">
        <v>5</v>
      </c>
      <c r="AI106" s="7">
        <v>3</v>
      </c>
      <c r="AJ106" s="7">
        <v>3</v>
      </c>
      <c r="AK106" s="7">
        <v>1</v>
      </c>
      <c r="AL106" s="7">
        <v>7.9365079365079361E-3</v>
      </c>
      <c r="AM106" s="7">
        <v>1.01</v>
      </c>
      <c r="AN106" s="7">
        <v>0</v>
      </c>
      <c r="AO106" s="7" t="s">
        <v>85</v>
      </c>
      <c r="AP106" s="7">
        <v>109.7</v>
      </c>
      <c r="AQ106" s="8">
        <v>0.87</v>
      </c>
      <c r="AR106" s="8">
        <v>0</v>
      </c>
      <c r="AS106" s="8">
        <v>0.21099999999999999</v>
      </c>
      <c r="AT106" s="7">
        <v>117</v>
      </c>
      <c r="AU106" s="8">
        <v>6.3E-2</v>
      </c>
      <c r="AV106" s="7">
        <v>0.42345454545454558</v>
      </c>
      <c r="AW106" s="7">
        <v>59.529090909090897</v>
      </c>
      <c r="AX106" s="7">
        <v>0.11</v>
      </c>
      <c r="AY106" s="8">
        <v>0.28599999999999998</v>
      </c>
      <c r="AZ106" s="7">
        <v>0.02</v>
      </c>
      <c r="BA106" s="7">
        <v>7.2</v>
      </c>
      <c r="BB106" s="7">
        <v>91</v>
      </c>
      <c r="BC106" s="7">
        <v>86</v>
      </c>
      <c r="BD106" s="7">
        <v>11</v>
      </c>
      <c r="BE106" s="7">
        <v>90</v>
      </c>
      <c r="BF106" s="7">
        <v>24</v>
      </c>
      <c r="BG106" s="7">
        <v>0</v>
      </c>
      <c r="BH106" s="7">
        <v>68</v>
      </c>
      <c r="BI106" s="8">
        <v>0.6</v>
      </c>
      <c r="BJ106" s="7">
        <v>2.0223076923076921</v>
      </c>
      <c r="BK106" s="7">
        <v>0.19</v>
      </c>
      <c r="BL106" s="7">
        <v>7.0000000000000007E-2</v>
      </c>
      <c r="BM106" s="7">
        <v>0.11</v>
      </c>
      <c r="BN106" s="8">
        <v>0.17499999999999999</v>
      </c>
      <c r="BO106" s="7">
        <v>3.17</v>
      </c>
      <c r="BP106" s="8">
        <v>0.5</v>
      </c>
      <c r="BQ106" s="7">
        <v>67</v>
      </c>
      <c r="BR106" s="7">
        <v>0</v>
      </c>
      <c r="BS106" s="8">
        <v>0</v>
      </c>
      <c r="BT106" s="7" t="s">
        <v>85</v>
      </c>
      <c r="BU106" s="7">
        <v>0</v>
      </c>
      <c r="BV106" s="7">
        <v>0.61</v>
      </c>
      <c r="BW106" s="7">
        <v>2.19</v>
      </c>
      <c r="BX106" s="8">
        <v>0.14699999999999999</v>
      </c>
    </row>
    <row r="107" spans="2:86" ht="19.899999999999999" customHeight="1" x14ac:dyDescent="0.3">
      <c r="B107" s="7" t="s">
        <v>167</v>
      </c>
      <c r="C107" s="7">
        <v>8</v>
      </c>
      <c r="D107" s="7">
        <v>1.3</v>
      </c>
      <c r="E107" s="7">
        <v>164</v>
      </c>
      <c r="F107" s="7">
        <v>1.28</v>
      </c>
      <c r="G107" s="7">
        <v>1.32</v>
      </c>
      <c r="H107" s="8">
        <v>0.13400000000000001</v>
      </c>
      <c r="I107" s="8">
        <v>0.5</v>
      </c>
      <c r="J107" s="7">
        <v>0.89</v>
      </c>
      <c r="K107" s="7">
        <v>1.19</v>
      </c>
      <c r="L107" s="7">
        <v>0.55000000000000004</v>
      </c>
      <c r="M107" s="7">
        <v>79.900000000000006</v>
      </c>
      <c r="N107" s="7">
        <v>3.43</v>
      </c>
      <c r="O107" s="7">
        <v>78.2</v>
      </c>
      <c r="P107" s="7">
        <v>0.77</v>
      </c>
      <c r="Q107" s="7">
        <v>0.56000000000000005</v>
      </c>
      <c r="R107" s="7">
        <v>78.8</v>
      </c>
      <c r="S107" s="7">
        <v>1.21</v>
      </c>
      <c r="T107" s="7">
        <v>74.7</v>
      </c>
      <c r="U107" s="7">
        <v>0.73</v>
      </c>
      <c r="V107" s="7">
        <v>36</v>
      </c>
      <c r="W107" s="7">
        <v>2</v>
      </c>
      <c r="X107" s="7">
        <v>1.3</v>
      </c>
      <c r="Y107" s="7">
        <v>4</v>
      </c>
      <c r="Z107" s="7">
        <v>1.22</v>
      </c>
      <c r="AA107" s="7">
        <v>8</v>
      </c>
      <c r="AB107" s="7">
        <v>1.3</v>
      </c>
      <c r="AC107" s="7">
        <v>6.7073170731707321E-2</v>
      </c>
      <c r="AD107" s="7">
        <v>0.48170731707317072</v>
      </c>
      <c r="AE107" s="7">
        <v>0.21951219512195119</v>
      </c>
      <c r="AF107" s="7">
        <v>6.097560975609756E-2</v>
      </c>
      <c r="AG107" s="7">
        <v>8</v>
      </c>
      <c r="AH107" s="7">
        <v>6</v>
      </c>
      <c r="AI107" s="7">
        <v>4</v>
      </c>
      <c r="AJ107" s="7">
        <v>4</v>
      </c>
      <c r="AK107" s="7">
        <v>8</v>
      </c>
      <c r="AL107" s="7">
        <v>7.926829268292683E-2</v>
      </c>
      <c r="AM107" s="7">
        <v>1</v>
      </c>
      <c r="AN107" s="7">
        <v>0</v>
      </c>
      <c r="AO107" s="7" t="s">
        <v>85</v>
      </c>
      <c r="AP107" s="7">
        <v>97.9</v>
      </c>
      <c r="AQ107" s="8">
        <v>0.81799999999999995</v>
      </c>
      <c r="AR107" s="8">
        <v>6.6000000000000003E-2</v>
      </c>
      <c r="AS107" s="8">
        <v>0.27800000000000002</v>
      </c>
      <c r="AT107" s="7">
        <v>102</v>
      </c>
      <c r="AU107" s="8">
        <v>0.159</v>
      </c>
      <c r="AV107" s="7">
        <v>0.37704918032786883</v>
      </c>
      <c r="AW107" s="7">
        <v>44.936065573770499</v>
      </c>
      <c r="AX107" s="7">
        <v>0.16</v>
      </c>
      <c r="AY107" s="8">
        <v>0.25600000000000001</v>
      </c>
      <c r="AZ107" s="7">
        <v>0.03</v>
      </c>
      <c r="BA107" s="7">
        <v>4.7</v>
      </c>
      <c r="BB107" s="7">
        <v>87</v>
      </c>
      <c r="BC107" s="7">
        <v>81</v>
      </c>
      <c r="BD107" s="7">
        <v>74</v>
      </c>
      <c r="BE107" s="7">
        <v>23</v>
      </c>
      <c r="BF107" s="7">
        <v>99</v>
      </c>
      <c r="BG107" s="7">
        <v>0</v>
      </c>
      <c r="BH107" s="7">
        <v>57</v>
      </c>
      <c r="BI107" s="8">
        <v>0.61899999999999999</v>
      </c>
      <c r="BJ107" s="7">
        <v>1.3763448275862069</v>
      </c>
      <c r="BK107" s="7">
        <v>0.14000000000000001</v>
      </c>
      <c r="BL107" s="7">
        <v>0.13</v>
      </c>
      <c r="BM107" s="7">
        <v>0.13</v>
      </c>
      <c r="BN107" s="8">
        <v>0.25600000000000001</v>
      </c>
      <c r="BO107" s="7">
        <v>2.73</v>
      </c>
      <c r="BP107" s="8">
        <v>0.71399999999999997</v>
      </c>
      <c r="BQ107" s="7">
        <v>82</v>
      </c>
      <c r="BR107" s="7">
        <v>0</v>
      </c>
      <c r="BS107" s="8">
        <v>0</v>
      </c>
      <c r="BT107" s="7" t="s">
        <v>85</v>
      </c>
      <c r="BU107" s="7">
        <v>0.61</v>
      </c>
      <c r="BV107" s="7">
        <v>0.6</v>
      </c>
      <c r="BW107" s="7">
        <v>1.79</v>
      </c>
      <c r="BX107" s="8">
        <v>0.214</v>
      </c>
    </row>
    <row r="108" spans="2:86" ht="19.899999999999999" customHeight="1" x14ac:dyDescent="0.3">
      <c r="B108" s="7" t="s">
        <v>160</v>
      </c>
      <c r="C108" s="7">
        <v>2</v>
      </c>
      <c r="D108" s="7">
        <v>1.23</v>
      </c>
      <c r="E108" s="7">
        <v>35</v>
      </c>
      <c r="F108" s="7">
        <v>1.35</v>
      </c>
      <c r="G108" s="7">
        <v>1.1100000000000001</v>
      </c>
      <c r="H108" s="8">
        <v>0.371</v>
      </c>
      <c r="I108" s="8">
        <v>0.53800000000000003</v>
      </c>
      <c r="J108" s="7">
        <v>1.38</v>
      </c>
      <c r="K108" s="7">
        <v>1.77</v>
      </c>
      <c r="L108" s="7">
        <v>0.8</v>
      </c>
      <c r="M108" s="7">
        <v>62.9</v>
      </c>
      <c r="N108" s="7">
        <v>1.38</v>
      </c>
      <c r="O108" s="7">
        <v>86.8</v>
      </c>
      <c r="P108" s="7">
        <v>0.83</v>
      </c>
      <c r="Q108" s="7">
        <v>0.77</v>
      </c>
      <c r="R108" s="7">
        <v>63.5</v>
      </c>
      <c r="S108" s="7">
        <v>1.95</v>
      </c>
      <c r="T108" s="7">
        <v>86.6</v>
      </c>
      <c r="U108" s="7">
        <v>0.86</v>
      </c>
      <c r="V108" s="7">
        <v>1</v>
      </c>
      <c r="W108" s="7">
        <v>2</v>
      </c>
      <c r="X108" s="7">
        <v>1.23</v>
      </c>
      <c r="Y108" s="7">
        <v>2</v>
      </c>
      <c r="Z108" s="7">
        <v>1.23</v>
      </c>
      <c r="AA108" s="7">
        <v>2</v>
      </c>
      <c r="AB108" s="7">
        <v>1.23</v>
      </c>
      <c r="AC108" s="7">
        <v>0.2</v>
      </c>
      <c r="AD108" s="7">
        <v>0.45714285714285707</v>
      </c>
      <c r="AE108" s="7">
        <v>0.1714285714285714</v>
      </c>
      <c r="AF108" s="7">
        <v>0.1142857142857143</v>
      </c>
      <c r="AG108" s="7">
        <v>2</v>
      </c>
      <c r="AH108" s="7">
        <v>2</v>
      </c>
      <c r="AI108" s="7">
        <v>2</v>
      </c>
      <c r="AJ108" s="7">
        <v>0</v>
      </c>
      <c r="AK108" s="7">
        <v>1</v>
      </c>
      <c r="AL108" s="7">
        <v>2.8571428571428571E-2</v>
      </c>
      <c r="AM108" s="7">
        <v>1.89</v>
      </c>
      <c r="AN108" s="7">
        <v>0</v>
      </c>
      <c r="AO108" s="7" t="s">
        <v>85</v>
      </c>
      <c r="AP108" s="7">
        <v>167.3</v>
      </c>
      <c r="AQ108" s="8">
        <v>0.28599999999999998</v>
      </c>
      <c r="AR108" s="8">
        <v>0</v>
      </c>
      <c r="AS108" s="8">
        <v>0.13800000000000001</v>
      </c>
      <c r="AT108" s="7">
        <v>105</v>
      </c>
      <c r="AU108" s="8">
        <v>0.114</v>
      </c>
      <c r="AV108" s="7">
        <v>0.46115384615384619</v>
      </c>
      <c r="AW108" s="7">
        <v>58.934615384615377</v>
      </c>
      <c r="AX108" s="7">
        <v>0.09</v>
      </c>
      <c r="AY108" s="8">
        <v>0.107</v>
      </c>
      <c r="AZ108" s="7">
        <v>0</v>
      </c>
      <c r="BA108" s="7">
        <v>0.97</v>
      </c>
      <c r="BB108" s="7">
        <v>89</v>
      </c>
      <c r="BC108" s="7">
        <v>2</v>
      </c>
      <c r="BD108" s="7">
        <v>1</v>
      </c>
      <c r="BE108" s="7">
        <v>85</v>
      </c>
      <c r="BF108" s="7">
        <v>66</v>
      </c>
      <c r="BG108" s="7">
        <v>0</v>
      </c>
      <c r="BH108" s="7">
        <v>13</v>
      </c>
      <c r="BI108" s="8">
        <v>0.621</v>
      </c>
      <c r="BJ108" s="7" t="s">
        <v>85</v>
      </c>
      <c r="BK108" s="7">
        <v>0.09</v>
      </c>
      <c r="BL108" s="7">
        <v>0.03</v>
      </c>
      <c r="BM108" s="7">
        <v>0.03</v>
      </c>
      <c r="BN108" s="8">
        <v>0.17100000000000001</v>
      </c>
      <c r="BO108" s="7">
        <v>2.6</v>
      </c>
      <c r="BP108" s="8">
        <v>1</v>
      </c>
      <c r="BQ108" s="7">
        <v>64</v>
      </c>
      <c r="BR108" s="7">
        <v>0</v>
      </c>
      <c r="BS108" s="8">
        <v>0</v>
      </c>
      <c r="BT108" s="7" t="s">
        <v>85</v>
      </c>
      <c r="BU108" s="7">
        <v>2.86</v>
      </c>
      <c r="BV108" s="7">
        <v>0.34</v>
      </c>
      <c r="BW108" s="7">
        <v>1.86</v>
      </c>
      <c r="BX108" s="8">
        <v>0.10299999999999999</v>
      </c>
    </row>
    <row r="109" spans="2:86" ht="19.899999999999999" customHeight="1" x14ac:dyDescent="0.3">
      <c r="B109" s="7" t="s">
        <v>136</v>
      </c>
      <c r="C109" s="7">
        <v>6</v>
      </c>
      <c r="D109" s="7">
        <v>1.1499999999999999</v>
      </c>
      <c r="E109" s="7">
        <v>126</v>
      </c>
      <c r="F109" s="7">
        <v>0.96</v>
      </c>
      <c r="G109" s="7">
        <v>1.29</v>
      </c>
      <c r="H109" s="8">
        <v>0.151</v>
      </c>
      <c r="I109" s="8">
        <v>0.47399999999999998</v>
      </c>
      <c r="J109" s="7">
        <v>0.89</v>
      </c>
      <c r="K109" s="7">
        <v>1.2</v>
      </c>
      <c r="L109" s="7">
        <v>0.56999999999999995</v>
      </c>
      <c r="M109" s="7">
        <v>73.8</v>
      </c>
      <c r="N109" s="7">
        <v>2.39</v>
      </c>
      <c r="O109" s="7">
        <v>67</v>
      </c>
      <c r="P109" s="7">
        <v>0.73</v>
      </c>
      <c r="Q109" s="7">
        <v>0.63</v>
      </c>
      <c r="R109" s="7">
        <v>71.400000000000006</v>
      </c>
      <c r="S109" s="7">
        <v>1.29</v>
      </c>
      <c r="T109" s="7">
        <v>64.5</v>
      </c>
      <c r="U109" s="7">
        <v>0.7</v>
      </c>
      <c r="V109" s="7">
        <v>20</v>
      </c>
      <c r="W109" s="7">
        <v>3</v>
      </c>
      <c r="X109" s="7">
        <v>1.18</v>
      </c>
      <c r="Y109" s="7">
        <v>3</v>
      </c>
      <c r="Z109" s="7">
        <v>1.18</v>
      </c>
      <c r="AA109" s="7">
        <v>6</v>
      </c>
      <c r="AB109" s="7">
        <v>1.1499999999999999</v>
      </c>
      <c r="AC109" s="7">
        <v>7.1428571428571425E-2</v>
      </c>
      <c r="AD109" s="7">
        <v>0.46825396825396831</v>
      </c>
      <c r="AE109" s="7">
        <v>0.1825396825396825</v>
      </c>
      <c r="AF109" s="7">
        <v>6.3492063492063489E-2</v>
      </c>
      <c r="AG109" s="7">
        <v>4</v>
      </c>
      <c r="AH109" s="7">
        <v>4</v>
      </c>
      <c r="AI109" s="7">
        <v>4</v>
      </c>
      <c r="AJ109" s="7">
        <v>4</v>
      </c>
      <c r="AK109" s="7">
        <v>1</v>
      </c>
      <c r="AL109" s="7">
        <v>1.5873015873015869E-2</v>
      </c>
      <c r="AM109" s="7">
        <v>0.92</v>
      </c>
      <c r="AN109" s="7">
        <v>0</v>
      </c>
      <c r="AO109" s="7" t="s">
        <v>85</v>
      </c>
      <c r="AP109" s="7">
        <v>88.8</v>
      </c>
      <c r="AQ109" s="8">
        <v>0.55600000000000005</v>
      </c>
      <c r="AR109" s="8">
        <v>0.127</v>
      </c>
      <c r="AS109" s="8">
        <v>0.37</v>
      </c>
      <c r="AT109" s="7">
        <v>92</v>
      </c>
      <c r="AU109" s="8">
        <v>0.127</v>
      </c>
      <c r="AV109" s="7">
        <v>0.48509090909090902</v>
      </c>
      <c r="AW109" s="7">
        <v>38.858181818181812</v>
      </c>
      <c r="AX109" s="7">
        <v>0.14000000000000001</v>
      </c>
      <c r="AY109" s="8">
        <v>0.20799999999999999</v>
      </c>
      <c r="AZ109" s="7">
        <v>0.17</v>
      </c>
      <c r="BA109" s="7">
        <v>2.6</v>
      </c>
      <c r="BB109" s="7">
        <v>61</v>
      </c>
      <c r="BC109" s="7">
        <v>28</v>
      </c>
      <c r="BD109" s="7">
        <v>68</v>
      </c>
      <c r="BE109" s="7">
        <v>16</v>
      </c>
      <c r="BF109" s="7">
        <v>49</v>
      </c>
      <c r="BG109" s="7">
        <v>74</v>
      </c>
      <c r="BH109" s="7">
        <v>58</v>
      </c>
      <c r="BI109" s="8">
        <v>0.44600000000000001</v>
      </c>
      <c r="BJ109" s="7">
        <v>1.4976923076923081</v>
      </c>
      <c r="BK109" s="7">
        <v>0.12</v>
      </c>
      <c r="BL109" s="7">
        <v>0.18</v>
      </c>
      <c r="BM109" s="7">
        <v>0.08</v>
      </c>
      <c r="BN109" s="8">
        <v>0.246</v>
      </c>
      <c r="BO109" s="7">
        <v>2.08</v>
      </c>
      <c r="BP109" s="8">
        <v>0</v>
      </c>
      <c r="BQ109" s="7">
        <v>77</v>
      </c>
      <c r="BR109" s="7">
        <v>0.26</v>
      </c>
      <c r="BS109" s="8">
        <v>0.35899999999999999</v>
      </c>
      <c r="BT109" s="8">
        <v>0.222</v>
      </c>
      <c r="BU109" s="7">
        <v>0</v>
      </c>
      <c r="BV109" s="7">
        <v>0.9</v>
      </c>
      <c r="BW109" s="7">
        <v>2.52</v>
      </c>
      <c r="BX109" s="8">
        <v>0.19600000000000001</v>
      </c>
    </row>
    <row r="110" spans="2:86" ht="19.899999999999999" customHeight="1" x14ac:dyDescent="0.3">
      <c r="B110" s="7" t="s">
        <v>118</v>
      </c>
      <c r="C110" s="7">
        <v>9</v>
      </c>
      <c r="D110" s="7">
        <v>1.1499999999999999</v>
      </c>
      <c r="E110" s="7">
        <v>174</v>
      </c>
      <c r="F110" s="7">
        <v>1.18</v>
      </c>
      <c r="G110" s="7">
        <v>1.1100000000000001</v>
      </c>
      <c r="H110" s="8">
        <v>0.27</v>
      </c>
      <c r="I110" s="8">
        <v>0.59599999999999997</v>
      </c>
      <c r="J110" s="7">
        <v>1.29</v>
      </c>
      <c r="K110" s="7">
        <v>1.98</v>
      </c>
      <c r="L110" s="7">
        <v>0.64</v>
      </c>
      <c r="M110" s="7">
        <v>73.599999999999994</v>
      </c>
      <c r="N110" s="7">
        <v>0.84</v>
      </c>
      <c r="O110" s="7">
        <v>82.3</v>
      </c>
      <c r="P110" s="7">
        <v>0.72</v>
      </c>
      <c r="Q110" s="7">
        <v>0.65</v>
      </c>
      <c r="R110" s="7">
        <v>71.5</v>
      </c>
      <c r="S110" s="7">
        <v>1.21</v>
      </c>
      <c r="T110" s="7">
        <v>83</v>
      </c>
      <c r="U110" s="7">
        <v>0.75</v>
      </c>
      <c r="V110" s="7">
        <v>14</v>
      </c>
      <c r="W110" s="7">
        <v>6</v>
      </c>
      <c r="X110" s="7">
        <v>1.27</v>
      </c>
      <c r="Y110" s="7">
        <v>9</v>
      </c>
      <c r="Z110" s="7">
        <v>1.1499999999999999</v>
      </c>
      <c r="AA110" s="7">
        <v>9</v>
      </c>
      <c r="AB110" s="7">
        <v>1.1499999999999999</v>
      </c>
      <c r="AC110" s="7">
        <v>0.16091954022988511</v>
      </c>
      <c r="AD110" s="7">
        <v>0.46551724137931028</v>
      </c>
      <c r="AE110" s="7">
        <v>0.18390804597701149</v>
      </c>
      <c r="AF110" s="7">
        <v>6.8965517241379309E-2</v>
      </c>
      <c r="AG110" s="7">
        <v>8</v>
      </c>
      <c r="AH110" s="7">
        <v>6</v>
      </c>
      <c r="AI110" s="7">
        <v>5</v>
      </c>
      <c r="AJ110" s="7">
        <v>3</v>
      </c>
      <c r="AK110" s="7">
        <v>3</v>
      </c>
      <c r="AL110" s="7">
        <v>3.4482758620689648E-2</v>
      </c>
      <c r="AM110" s="7">
        <v>1.07</v>
      </c>
      <c r="AN110" s="7">
        <v>0</v>
      </c>
      <c r="AO110" s="7" t="s">
        <v>85</v>
      </c>
      <c r="AP110" s="7">
        <v>109.6</v>
      </c>
      <c r="AQ110" s="8">
        <v>0.82099999999999995</v>
      </c>
      <c r="AR110" s="8">
        <v>0.111</v>
      </c>
      <c r="AS110" s="8">
        <v>0.28000000000000003</v>
      </c>
      <c r="AT110" s="7">
        <v>115</v>
      </c>
      <c r="AU110" s="8">
        <v>0.13200000000000001</v>
      </c>
      <c r="AV110" s="7">
        <v>0.39022222222222208</v>
      </c>
      <c r="AW110" s="7">
        <v>56.819999999999993</v>
      </c>
      <c r="AX110" s="7">
        <v>0.14000000000000001</v>
      </c>
      <c r="AY110" s="8">
        <v>0.19800000000000001</v>
      </c>
      <c r="AZ110" s="7">
        <v>0.01</v>
      </c>
      <c r="BA110" s="7">
        <v>8.7200000000000006</v>
      </c>
      <c r="BB110" s="7">
        <v>82</v>
      </c>
      <c r="BC110" s="7">
        <v>39</v>
      </c>
      <c r="BD110" s="7">
        <v>60</v>
      </c>
      <c r="BE110" s="7">
        <v>95</v>
      </c>
      <c r="BF110" s="7">
        <v>82</v>
      </c>
      <c r="BG110" s="7">
        <v>0</v>
      </c>
      <c r="BH110" s="7">
        <v>47</v>
      </c>
      <c r="BI110" s="8">
        <v>0.58399999999999996</v>
      </c>
      <c r="BJ110" s="7">
        <v>1.3776699029126209</v>
      </c>
      <c r="BK110" s="7">
        <v>0.13</v>
      </c>
      <c r="BL110" s="7">
        <v>0.13</v>
      </c>
      <c r="BM110" s="7">
        <v>0.09</v>
      </c>
      <c r="BN110" s="8">
        <v>0.21299999999999999</v>
      </c>
      <c r="BO110" s="7">
        <v>3</v>
      </c>
      <c r="BP110" s="8">
        <v>0.5</v>
      </c>
      <c r="BQ110" s="7">
        <v>76</v>
      </c>
      <c r="BR110" s="7">
        <v>0.01</v>
      </c>
      <c r="BS110" s="8">
        <v>8.0000000000000002E-3</v>
      </c>
      <c r="BT110" s="8">
        <v>6.0000000000000001E-3</v>
      </c>
      <c r="BU110" s="7">
        <v>0</v>
      </c>
      <c r="BV110" s="7">
        <v>0.35</v>
      </c>
      <c r="BW110" s="7">
        <v>2.2200000000000002</v>
      </c>
      <c r="BX110" s="8">
        <v>0.2</v>
      </c>
    </row>
    <row r="111" spans="2:86" ht="19.899999999999999" customHeight="1" x14ac:dyDescent="0.3">
      <c r="B111" s="7" t="s">
        <v>124</v>
      </c>
      <c r="C111" s="7">
        <v>9</v>
      </c>
      <c r="D111" s="7">
        <v>1.1299999999999999</v>
      </c>
      <c r="E111" s="7">
        <v>174</v>
      </c>
      <c r="F111" s="7">
        <v>0.91</v>
      </c>
      <c r="G111" s="7">
        <v>1.45</v>
      </c>
      <c r="H111" s="8">
        <v>0.20699999999999999</v>
      </c>
      <c r="I111" s="8">
        <v>0.58299999999999996</v>
      </c>
      <c r="J111" s="7">
        <v>1.1299999999999999</v>
      </c>
      <c r="K111" s="7">
        <v>1.5</v>
      </c>
      <c r="L111" s="7">
        <v>0.64</v>
      </c>
      <c r="M111" s="7">
        <v>73</v>
      </c>
      <c r="N111" s="7">
        <v>0.95</v>
      </c>
      <c r="O111" s="7">
        <v>71.5</v>
      </c>
      <c r="P111" s="7">
        <v>0.7</v>
      </c>
      <c r="Q111" s="7">
        <v>0.67</v>
      </c>
      <c r="R111" s="7">
        <v>69.3</v>
      </c>
      <c r="S111" s="7">
        <v>1.1299999999999999</v>
      </c>
      <c r="T111" s="7">
        <v>73.7</v>
      </c>
      <c r="U111" s="7">
        <v>0.74</v>
      </c>
      <c r="V111" s="7">
        <v>10</v>
      </c>
      <c r="W111" s="7">
        <v>6</v>
      </c>
      <c r="X111" s="7">
        <v>1.06</v>
      </c>
      <c r="Y111" s="7">
        <v>9</v>
      </c>
      <c r="Z111" s="7">
        <v>1.1299999999999999</v>
      </c>
      <c r="AA111" s="7">
        <v>9</v>
      </c>
      <c r="AB111" s="7">
        <v>1.1299999999999999</v>
      </c>
      <c r="AC111" s="7">
        <v>0.1206896551724138</v>
      </c>
      <c r="AD111" s="7">
        <v>0.50574712643678166</v>
      </c>
      <c r="AE111" s="7">
        <v>0.13793103448275859</v>
      </c>
      <c r="AF111" s="7">
        <v>4.0229885057471257E-2</v>
      </c>
      <c r="AG111" s="7">
        <v>5</v>
      </c>
      <c r="AH111" s="7">
        <v>5</v>
      </c>
      <c r="AI111" s="7">
        <v>4</v>
      </c>
      <c r="AJ111" s="7">
        <v>4</v>
      </c>
      <c r="AK111" s="7">
        <v>4</v>
      </c>
      <c r="AL111" s="7">
        <v>4.5977011494252873E-2</v>
      </c>
      <c r="AM111" s="7">
        <v>1.05</v>
      </c>
      <c r="AN111" s="7">
        <v>0</v>
      </c>
      <c r="AO111" s="7" t="s">
        <v>85</v>
      </c>
      <c r="AP111" s="7">
        <v>99.5</v>
      </c>
      <c r="AQ111" s="8">
        <v>0.61899999999999999</v>
      </c>
      <c r="AR111" s="8">
        <v>0.111</v>
      </c>
      <c r="AS111" s="8">
        <v>0.26200000000000001</v>
      </c>
      <c r="AT111" s="7">
        <v>102</v>
      </c>
      <c r="AU111" s="8">
        <v>0.10299999999999999</v>
      </c>
      <c r="AV111" s="7">
        <v>0.37555555555555548</v>
      </c>
      <c r="AW111" s="7">
        <v>45.366666666666667</v>
      </c>
      <c r="AX111" s="7">
        <v>0.17</v>
      </c>
      <c r="AY111" s="8">
        <v>0.24099999999999999</v>
      </c>
      <c r="AZ111" s="7">
        <v>0.03</v>
      </c>
      <c r="BA111" s="7">
        <v>3.5</v>
      </c>
      <c r="BB111" s="7">
        <v>46</v>
      </c>
      <c r="BC111" s="7">
        <v>86</v>
      </c>
      <c r="BD111" s="7">
        <v>84</v>
      </c>
      <c r="BE111" s="7">
        <v>67</v>
      </c>
      <c r="BF111" s="7">
        <v>87</v>
      </c>
      <c r="BG111" s="7">
        <v>0</v>
      </c>
      <c r="BH111" s="7">
        <v>56</v>
      </c>
      <c r="BI111" s="8">
        <v>0.58199999999999996</v>
      </c>
      <c r="BJ111" s="7">
        <v>1.505242718446602</v>
      </c>
      <c r="BK111" s="7">
        <v>0.16</v>
      </c>
      <c r="BL111" s="7">
        <v>0.14000000000000001</v>
      </c>
      <c r="BM111" s="7">
        <v>0.14000000000000001</v>
      </c>
      <c r="BN111" s="8">
        <v>0.161</v>
      </c>
      <c r="BO111" s="7">
        <v>2.36</v>
      </c>
      <c r="BP111" s="8">
        <v>0.5</v>
      </c>
      <c r="BQ111" s="7">
        <v>74</v>
      </c>
      <c r="BR111" s="7">
        <v>0</v>
      </c>
      <c r="BS111" s="8">
        <v>0</v>
      </c>
      <c r="BT111" s="7" t="s">
        <v>85</v>
      </c>
      <c r="BU111" s="7">
        <v>1.1499999999999999</v>
      </c>
      <c r="BV111" s="7">
        <v>0.76</v>
      </c>
      <c r="BW111" s="7">
        <v>1.81</v>
      </c>
      <c r="BX111" s="8">
        <v>0.246</v>
      </c>
    </row>
    <row r="112" spans="2:86" ht="19.899999999999999" customHeight="1" x14ac:dyDescent="0.3">
      <c r="B112" s="7" t="s">
        <v>177</v>
      </c>
      <c r="C112" s="7">
        <v>4</v>
      </c>
      <c r="D112" s="7">
        <v>1.1299999999999999</v>
      </c>
      <c r="E112" s="7">
        <v>102</v>
      </c>
      <c r="F112" s="7">
        <v>0.89</v>
      </c>
      <c r="G112" s="7">
        <v>1.4</v>
      </c>
      <c r="H112" s="8">
        <v>0.127</v>
      </c>
      <c r="I112" s="8">
        <v>0.69199999999999995</v>
      </c>
      <c r="J112" s="7">
        <v>1.04</v>
      </c>
      <c r="K112" s="7">
        <v>0.95</v>
      </c>
      <c r="L112" s="7">
        <v>0.63</v>
      </c>
      <c r="M112" s="7">
        <v>76.5</v>
      </c>
      <c r="N112" s="7">
        <v>-7.0000000000000007E-2</v>
      </c>
      <c r="O112" s="7">
        <v>85.8</v>
      </c>
      <c r="P112" s="7">
        <v>0.71</v>
      </c>
      <c r="Q112" s="7">
        <v>0.65</v>
      </c>
      <c r="R112" s="7">
        <v>74.5</v>
      </c>
      <c r="S112" s="7">
        <v>0.92</v>
      </c>
      <c r="T112" s="7">
        <v>82.4</v>
      </c>
      <c r="U112" s="7">
        <v>0.68</v>
      </c>
      <c r="V112" s="7">
        <v>8</v>
      </c>
      <c r="W112" s="7">
        <v>4</v>
      </c>
      <c r="X112" s="7">
        <v>1.1299999999999999</v>
      </c>
      <c r="Y112" s="7">
        <v>4</v>
      </c>
      <c r="Z112" s="7">
        <v>1.1299999999999999</v>
      </c>
      <c r="AA112" s="7">
        <v>4</v>
      </c>
      <c r="AB112" s="7">
        <v>1.1299999999999999</v>
      </c>
      <c r="AC112" s="7">
        <v>8.8235294117647065E-2</v>
      </c>
      <c r="AD112" s="7">
        <v>0.47058823529411759</v>
      </c>
      <c r="AE112" s="7">
        <v>0.1764705882352941</v>
      </c>
      <c r="AF112" s="7">
        <v>5.8823529411764712E-2</v>
      </c>
      <c r="AG112" s="7">
        <v>3</v>
      </c>
      <c r="AH112" s="7">
        <v>3</v>
      </c>
      <c r="AI112" s="7">
        <v>2</v>
      </c>
      <c r="AJ112" s="7">
        <v>1</v>
      </c>
      <c r="AK112" s="7">
        <v>2</v>
      </c>
      <c r="AL112" s="7">
        <v>3.9215686274509803E-2</v>
      </c>
      <c r="AM112" s="7">
        <v>0.94</v>
      </c>
      <c r="AN112" s="7">
        <v>0</v>
      </c>
      <c r="AO112" s="7" t="s">
        <v>85</v>
      </c>
      <c r="AP112" s="7">
        <v>122.4</v>
      </c>
      <c r="AQ112" s="8">
        <v>0.77800000000000002</v>
      </c>
      <c r="AR112" s="8">
        <v>0.125</v>
      </c>
      <c r="AS112" s="8">
        <v>0.16700000000000001</v>
      </c>
      <c r="AT112" s="7">
        <v>122</v>
      </c>
      <c r="AU112" s="8">
        <v>3.9E-2</v>
      </c>
      <c r="AV112" s="7">
        <v>0.44250000000000012</v>
      </c>
      <c r="AW112" s="7">
        <v>44.625</v>
      </c>
      <c r="AX112" s="7">
        <v>0.11</v>
      </c>
      <c r="AY112" s="8">
        <v>0.29699999999999999</v>
      </c>
      <c r="AZ112" s="7">
        <v>0.04</v>
      </c>
      <c r="BA112" s="7">
        <v>5.22</v>
      </c>
      <c r="BB112" s="7">
        <v>80</v>
      </c>
      <c r="BC112" s="7">
        <v>94</v>
      </c>
      <c r="BD112" s="7">
        <v>8</v>
      </c>
      <c r="BE112" s="7">
        <v>38</v>
      </c>
      <c r="BF112" s="7">
        <v>76</v>
      </c>
      <c r="BG112" s="7">
        <v>0</v>
      </c>
      <c r="BH112" s="7">
        <v>72</v>
      </c>
      <c r="BI112" s="8">
        <v>0.58299999999999996</v>
      </c>
      <c r="BJ112" s="7">
        <v>1.260666666666667</v>
      </c>
      <c r="BK112" s="7">
        <v>0.19</v>
      </c>
      <c r="BL112" s="7">
        <v>0.06</v>
      </c>
      <c r="BM112" s="7">
        <v>0.13</v>
      </c>
      <c r="BN112" s="8">
        <v>0.255</v>
      </c>
      <c r="BO112" s="7">
        <v>3.29</v>
      </c>
      <c r="BP112" s="7" t="s">
        <v>85</v>
      </c>
      <c r="BQ112" s="7">
        <v>79</v>
      </c>
      <c r="BR112" s="7">
        <v>0.01</v>
      </c>
      <c r="BS112" s="8">
        <v>1.4E-2</v>
      </c>
      <c r="BT112" s="7" t="s">
        <v>85</v>
      </c>
      <c r="BU112" s="7">
        <v>0.98</v>
      </c>
      <c r="BV112" s="7">
        <v>0.72</v>
      </c>
      <c r="BW112" s="7">
        <v>2.02</v>
      </c>
      <c r="BX112" s="8">
        <v>0.153</v>
      </c>
    </row>
    <row r="113" spans="2:76" ht="19.899999999999999" customHeight="1" x14ac:dyDescent="0.3">
      <c r="B113" s="7" t="s">
        <v>147</v>
      </c>
      <c r="C113" s="7">
        <v>6</v>
      </c>
      <c r="D113" s="7">
        <v>1.1200000000000001</v>
      </c>
      <c r="E113" s="7">
        <v>126</v>
      </c>
      <c r="F113" s="7">
        <v>1.2</v>
      </c>
      <c r="G113" s="7">
        <v>1.07</v>
      </c>
      <c r="H113" s="8">
        <v>0.214</v>
      </c>
      <c r="I113" s="8">
        <v>0.55600000000000005</v>
      </c>
      <c r="J113" s="7">
        <v>1.1000000000000001</v>
      </c>
      <c r="K113" s="7">
        <v>1.52</v>
      </c>
      <c r="L113" s="7">
        <v>0.67</v>
      </c>
      <c r="M113" s="7">
        <v>78.599999999999994</v>
      </c>
      <c r="N113" s="7">
        <v>0.15</v>
      </c>
      <c r="O113" s="7">
        <v>79.7</v>
      </c>
      <c r="P113" s="7">
        <v>0.76</v>
      </c>
      <c r="Q113" s="7">
        <v>0.71</v>
      </c>
      <c r="R113" s="7">
        <v>75.2</v>
      </c>
      <c r="S113" s="7">
        <v>1.31</v>
      </c>
      <c r="T113" s="7">
        <v>76.599999999999994</v>
      </c>
      <c r="U113" s="7">
        <v>0.73</v>
      </c>
      <c r="V113" s="7">
        <v>12</v>
      </c>
      <c r="W113" s="7">
        <v>3</v>
      </c>
      <c r="X113" s="7">
        <v>1.22</v>
      </c>
      <c r="Y113" s="7">
        <v>3</v>
      </c>
      <c r="Z113" s="7">
        <v>1.22</v>
      </c>
      <c r="AA113" s="7">
        <v>6</v>
      </c>
      <c r="AB113" s="7">
        <v>1.1200000000000001</v>
      </c>
      <c r="AC113" s="7">
        <v>0.119047619047619</v>
      </c>
      <c r="AD113" s="7">
        <v>0.5</v>
      </c>
      <c r="AE113" s="7">
        <v>0.16666666666666671</v>
      </c>
      <c r="AF113" s="7">
        <v>6.3492063492063489E-2</v>
      </c>
      <c r="AG113" s="7">
        <v>5</v>
      </c>
      <c r="AH113" s="7">
        <v>5</v>
      </c>
      <c r="AI113" s="7">
        <v>3</v>
      </c>
      <c r="AJ113" s="7">
        <v>2</v>
      </c>
      <c r="AK113" s="7">
        <v>0</v>
      </c>
      <c r="AL113" s="7">
        <v>0</v>
      </c>
      <c r="AM113" s="7">
        <v>0.94</v>
      </c>
      <c r="AN113" s="7">
        <v>0</v>
      </c>
      <c r="AO113" s="7" t="s">
        <v>85</v>
      </c>
      <c r="AP113" s="7">
        <v>96.4</v>
      </c>
      <c r="AQ113" s="8">
        <v>0.86699999999999999</v>
      </c>
      <c r="AR113" s="8">
        <v>5.5E-2</v>
      </c>
      <c r="AS113" s="8">
        <v>0.26</v>
      </c>
      <c r="AT113" s="7">
        <v>105</v>
      </c>
      <c r="AU113" s="8">
        <v>7.0999999999999994E-2</v>
      </c>
      <c r="AV113" s="7">
        <v>0.53200000000000014</v>
      </c>
      <c r="AW113" s="7">
        <v>58.141818181818188</v>
      </c>
      <c r="AX113" s="7">
        <v>0.17</v>
      </c>
      <c r="AY113" s="8">
        <v>0.23799999999999999</v>
      </c>
      <c r="AZ113" s="7">
        <v>0.03</v>
      </c>
      <c r="BA113" s="7">
        <v>3.52</v>
      </c>
      <c r="BB113" s="7">
        <v>78</v>
      </c>
      <c r="BC113" s="7">
        <v>90</v>
      </c>
      <c r="BD113" s="7">
        <v>70</v>
      </c>
      <c r="BE113" s="7">
        <v>75</v>
      </c>
      <c r="BF113" s="7">
        <v>11</v>
      </c>
      <c r="BG113" s="7">
        <v>0</v>
      </c>
      <c r="BH113" s="7">
        <v>38</v>
      </c>
      <c r="BI113" s="8">
        <v>0.44800000000000001</v>
      </c>
      <c r="BJ113" s="7">
        <v>1.3738461538461539</v>
      </c>
      <c r="BK113" s="7">
        <v>0.16</v>
      </c>
      <c r="BL113" s="7">
        <v>0.12</v>
      </c>
      <c r="BM113" s="7">
        <v>0.15</v>
      </c>
      <c r="BN113" s="8">
        <v>0.23799999999999999</v>
      </c>
      <c r="BO113" s="7">
        <v>2.98</v>
      </c>
      <c r="BP113" s="8">
        <v>0</v>
      </c>
      <c r="BQ113" s="7">
        <v>70</v>
      </c>
      <c r="BR113" s="7">
        <v>0</v>
      </c>
      <c r="BS113" s="8">
        <v>0</v>
      </c>
      <c r="BT113" s="7" t="s">
        <v>85</v>
      </c>
      <c r="BU113" s="7">
        <v>0</v>
      </c>
      <c r="BV113" s="7">
        <v>0.53</v>
      </c>
      <c r="BW113" s="7">
        <v>1.8</v>
      </c>
      <c r="BX113" s="8">
        <v>0.219</v>
      </c>
    </row>
    <row r="114" spans="2:76" ht="19.899999999999999" customHeight="1" x14ac:dyDescent="0.3">
      <c r="B114" s="7" t="s">
        <v>121</v>
      </c>
      <c r="C114" s="7">
        <v>9</v>
      </c>
      <c r="D114" s="7">
        <v>1.0900000000000001</v>
      </c>
      <c r="E114" s="7">
        <v>174</v>
      </c>
      <c r="F114" s="7">
        <v>1.08</v>
      </c>
      <c r="G114" s="7">
        <v>1.1000000000000001</v>
      </c>
      <c r="H114" s="8">
        <v>0.14899999999999999</v>
      </c>
      <c r="I114" s="8">
        <v>0.73099999999999998</v>
      </c>
      <c r="J114" s="7">
        <v>1.1499999999999999</v>
      </c>
      <c r="K114" s="7">
        <v>1.1599999999999999</v>
      </c>
      <c r="L114" s="7">
        <v>0.63</v>
      </c>
      <c r="M114" s="7">
        <v>77.599999999999994</v>
      </c>
      <c r="N114" s="7">
        <v>-0.3</v>
      </c>
      <c r="O114" s="7">
        <v>77.5</v>
      </c>
      <c r="P114" s="7">
        <v>0.75</v>
      </c>
      <c r="Q114" s="7">
        <v>0.67</v>
      </c>
      <c r="R114" s="7">
        <v>77.400000000000006</v>
      </c>
      <c r="S114" s="7">
        <v>1.0900000000000001</v>
      </c>
      <c r="T114" s="7">
        <v>77.5</v>
      </c>
      <c r="U114" s="7">
        <v>0.73</v>
      </c>
      <c r="V114" s="7">
        <v>21</v>
      </c>
      <c r="W114" s="7">
        <v>6</v>
      </c>
      <c r="X114" s="7">
        <v>1.17</v>
      </c>
      <c r="Y114" s="7">
        <v>9</v>
      </c>
      <c r="Z114" s="7">
        <v>1.0900000000000001</v>
      </c>
      <c r="AA114" s="7">
        <v>9</v>
      </c>
      <c r="AB114" s="7">
        <v>1.0900000000000001</v>
      </c>
      <c r="AC114" s="7">
        <v>0.10919540229885059</v>
      </c>
      <c r="AD114" s="7">
        <v>0.5</v>
      </c>
      <c r="AE114" s="7">
        <v>0.1954022988505747</v>
      </c>
      <c r="AF114" s="7">
        <v>5.1724137931034482E-2</v>
      </c>
      <c r="AG114" s="7">
        <v>6</v>
      </c>
      <c r="AH114" s="7">
        <v>5</v>
      </c>
      <c r="AI114" s="7">
        <v>4</v>
      </c>
      <c r="AJ114" s="7">
        <v>3</v>
      </c>
      <c r="AK114" s="7">
        <v>1</v>
      </c>
      <c r="AL114" s="7">
        <v>1.149425287356322E-2</v>
      </c>
      <c r="AM114" s="7">
        <v>0.93</v>
      </c>
      <c r="AN114" s="7">
        <v>0</v>
      </c>
      <c r="AO114" s="7" t="s">
        <v>85</v>
      </c>
      <c r="AP114" s="7">
        <v>85</v>
      </c>
      <c r="AQ114" s="8">
        <v>0.52600000000000002</v>
      </c>
      <c r="AR114" s="8">
        <v>0.14399999999999999</v>
      </c>
      <c r="AS114" s="8">
        <v>0.33600000000000002</v>
      </c>
      <c r="AT114" s="7">
        <v>103</v>
      </c>
      <c r="AU114" s="8">
        <v>0.14399999999999999</v>
      </c>
      <c r="AV114" s="7">
        <v>0.5875555555555555</v>
      </c>
      <c r="AW114" s="7">
        <v>70.5</v>
      </c>
      <c r="AX114" s="7">
        <v>0.17</v>
      </c>
      <c r="AY114" s="8">
        <v>0.191</v>
      </c>
      <c r="AZ114" s="7">
        <v>0.09</v>
      </c>
      <c r="BA114" s="7">
        <v>3.93</v>
      </c>
      <c r="BB114" s="7">
        <v>83</v>
      </c>
      <c r="BC114" s="7">
        <v>48</v>
      </c>
      <c r="BD114" s="7">
        <v>82</v>
      </c>
      <c r="BE114" s="7">
        <v>48</v>
      </c>
      <c r="BF114" s="7">
        <v>44</v>
      </c>
      <c r="BG114" s="7">
        <v>92</v>
      </c>
      <c r="BH114" s="7">
        <v>71</v>
      </c>
      <c r="BI114" s="8">
        <v>0.32100000000000001</v>
      </c>
      <c r="BJ114" s="7">
        <v>1.2616504854368931</v>
      </c>
      <c r="BK114" s="7">
        <v>0.12</v>
      </c>
      <c r="BL114" s="7">
        <v>0.13</v>
      </c>
      <c r="BM114" s="7">
        <v>0.11</v>
      </c>
      <c r="BN114" s="8">
        <v>0.20699999999999999</v>
      </c>
      <c r="BO114" s="7">
        <v>2.38</v>
      </c>
      <c r="BP114" s="8">
        <v>0</v>
      </c>
      <c r="BQ114" s="7">
        <v>81</v>
      </c>
      <c r="BR114" s="7">
        <v>0.33</v>
      </c>
      <c r="BS114" s="8">
        <v>0.443</v>
      </c>
      <c r="BT114" s="8">
        <v>0.20699999999999999</v>
      </c>
      <c r="BU114" s="7">
        <v>1.1499999999999999</v>
      </c>
      <c r="BV114" s="7">
        <v>0.97</v>
      </c>
      <c r="BW114" s="7">
        <v>2.38</v>
      </c>
      <c r="BX114" s="8">
        <v>0.22900000000000001</v>
      </c>
    </row>
    <row r="115" spans="2:76" ht="19.899999999999999" customHeight="1" x14ac:dyDescent="0.3">
      <c r="B115" s="7" t="s">
        <v>175</v>
      </c>
      <c r="C115" s="7">
        <v>8</v>
      </c>
      <c r="D115" s="7">
        <v>1.08</v>
      </c>
      <c r="E115" s="7">
        <v>164</v>
      </c>
      <c r="F115" s="7">
        <v>1.18</v>
      </c>
      <c r="G115" s="7">
        <v>0.98</v>
      </c>
      <c r="H115" s="8">
        <v>0.27400000000000002</v>
      </c>
      <c r="I115" s="8">
        <v>0.42199999999999999</v>
      </c>
      <c r="J115" s="7">
        <v>0.98</v>
      </c>
      <c r="K115" s="7">
        <v>0.6</v>
      </c>
      <c r="L115" s="7">
        <v>0.69</v>
      </c>
      <c r="M115" s="7">
        <v>70.099999999999994</v>
      </c>
      <c r="N115" s="7">
        <v>1.43</v>
      </c>
      <c r="O115" s="7">
        <v>70.8</v>
      </c>
      <c r="P115" s="7">
        <v>0.66</v>
      </c>
      <c r="Q115" s="7">
        <v>0.71</v>
      </c>
      <c r="R115" s="7">
        <v>67.3</v>
      </c>
      <c r="S115" s="7">
        <v>1.06</v>
      </c>
      <c r="T115" s="7">
        <v>72.5</v>
      </c>
      <c r="U115" s="7">
        <v>0.69</v>
      </c>
      <c r="V115" s="7">
        <v>-5</v>
      </c>
      <c r="W115" s="7">
        <v>2</v>
      </c>
      <c r="X115" s="7">
        <v>1.27</v>
      </c>
      <c r="Y115" s="7">
        <v>4</v>
      </c>
      <c r="Z115" s="7">
        <v>1.1200000000000001</v>
      </c>
      <c r="AA115" s="7">
        <v>8</v>
      </c>
      <c r="AB115" s="7">
        <v>1.08</v>
      </c>
      <c r="AC115" s="7">
        <v>0.1158536585365854</v>
      </c>
      <c r="AD115" s="7">
        <v>0.46341463414634149</v>
      </c>
      <c r="AE115" s="7">
        <v>0.15853658536585369</v>
      </c>
      <c r="AF115" s="7">
        <v>3.048780487804878E-2</v>
      </c>
      <c r="AG115" s="7">
        <v>7</v>
      </c>
      <c r="AH115" s="7">
        <v>5</v>
      </c>
      <c r="AI115" s="7">
        <v>5</v>
      </c>
      <c r="AJ115" s="7">
        <v>3</v>
      </c>
      <c r="AK115" s="7">
        <v>1</v>
      </c>
      <c r="AL115" s="7">
        <v>1.2195121951219509E-2</v>
      </c>
      <c r="AM115" s="7">
        <v>0.83</v>
      </c>
      <c r="AN115" s="7">
        <v>0</v>
      </c>
      <c r="AO115" s="7" t="s">
        <v>85</v>
      </c>
      <c r="AP115" s="7">
        <v>90</v>
      </c>
      <c r="AQ115" s="8">
        <v>0.84199999999999997</v>
      </c>
      <c r="AR115" s="8">
        <v>6.6000000000000003E-2</v>
      </c>
      <c r="AS115" s="8">
        <v>0.27800000000000002</v>
      </c>
      <c r="AT115" s="7">
        <v>108</v>
      </c>
      <c r="AU115" s="8">
        <v>3.6999999999999998E-2</v>
      </c>
      <c r="AV115" s="7">
        <v>0.36901639344262299</v>
      </c>
      <c r="AW115" s="7">
        <v>38.38032786885244</v>
      </c>
      <c r="AX115" s="7">
        <v>0.08</v>
      </c>
      <c r="AY115" s="8">
        <v>0.20399999999999999</v>
      </c>
      <c r="AZ115" s="7">
        <v>7.0000000000000007E-2</v>
      </c>
      <c r="BA115" s="7">
        <v>4.46</v>
      </c>
      <c r="BB115" s="7">
        <v>47</v>
      </c>
      <c r="BC115" s="7">
        <v>55</v>
      </c>
      <c r="BD115" s="7">
        <v>9</v>
      </c>
      <c r="BE115" s="7">
        <v>74</v>
      </c>
      <c r="BF115" s="7">
        <v>32</v>
      </c>
      <c r="BG115" s="7">
        <v>0</v>
      </c>
      <c r="BH115" s="7">
        <v>73</v>
      </c>
      <c r="BI115" s="8">
        <v>0.57399999999999995</v>
      </c>
      <c r="BJ115" s="7">
        <v>1.1288965517241381</v>
      </c>
      <c r="BK115" s="7">
        <v>0.14000000000000001</v>
      </c>
      <c r="BL115" s="7">
        <v>7.0000000000000007E-2</v>
      </c>
      <c r="BM115" s="7">
        <v>0.12</v>
      </c>
      <c r="BN115" s="8">
        <v>0.20699999999999999</v>
      </c>
      <c r="BO115" s="7">
        <v>2.8</v>
      </c>
      <c r="BP115" s="7" t="s">
        <v>85</v>
      </c>
      <c r="BQ115" s="7">
        <v>72</v>
      </c>
      <c r="BR115" s="7">
        <v>0.01</v>
      </c>
      <c r="BS115" s="8">
        <v>8.9999999999999993E-3</v>
      </c>
      <c r="BT115" s="8">
        <v>6.0000000000000001E-3</v>
      </c>
      <c r="BU115" s="7">
        <v>1.22</v>
      </c>
      <c r="BV115" s="7">
        <v>0.93</v>
      </c>
      <c r="BW115" s="7">
        <v>1.84</v>
      </c>
      <c r="BX115" s="8">
        <v>0.12</v>
      </c>
    </row>
    <row r="116" spans="2:76" ht="19.899999999999999" customHeight="1" x14ac:dyDescent="0.3">
      <c r="B116" s="7" t="s">
        <v>137</v>
      </c>
      <c r="C116" s="7">
        <v>6</v>
      </c>
      <c r="D116" s="7">
        <v>1.05</v>
      </c>
      <c r="E116" s="7">
        <v>126</v>
      </c>
      <c r="F116" s="7">
        <v>1.03</v>
      </c>
      <c r="G116" s="7">
        <v>1.06</v>
      </c>
      <c r="H116" s="8">
        <v>0.151</v>
      </c>
      <c r="I116" s="8">
        <v>0.73699999999999999</v>
      </c>
      <c r="J116" s="7">
        <v>1.1599999999999999</v>
      </c>
      <c r="K116" s="7">
        <v>0.62</v>
      </c>
      <c r="L116" s="7">
        <v>0.55000000000000004</v>
      </c>
      <c r="M116" s="7">
        <v>73</v>
      </c>
      <c r="N116" s="7">
        <v>-0.32</v>
      </c>
      <c r="O116" s="7">
        <v>69.400000000000006</v>
      </c>
      <c r="P116" s="7">
        <v>0.69</v>
      </c>
      <c r="Q116" s="7">
        <v>0.57999999999999996</v>
      </c>
      <c r="R116" s="7">
        <v>66.3</v>
      </c>
      <c r="S116" s="7">
        <v>1.1000000000000001</v>
      </c>
      <c r="T116" s="7">
        <v>67.400000000000006</v>
      </c>
      <c r="U116" s="7">
        <v>0.67</v>
      </c>
      <c r="V116" s="7">
        <v>18</v>
      </c>
      <c r="W116" s="7">
        <v>3</v>
      </c>
      <c r="X116" s="7">
        <v>1.21</v>
      </c>
      <c r="Y116" s="7">
        <v>3</v>
      </c>
      <c r="Z116" s="7">
        <v>1.21</v>
      </c>
      <c r="AA116" s="7">
        <v>6</v>
      </c>
      <c r="AB116" s="7">
        <v>1.05</v>
      </c>
      <c r="AC116" s="7">
        <v>0.1111111111111111</v>
      </c>
      <c r="AD116" s="7">
        <v>0.46031746031746029</v>
      </c>
      <c r="AE116" s="7">
        <v>0.15873015873015869</v>
      </c>
      <c r="AF116" s="7">
        <v>5.5555555555555552E-2</v>
      </c>
      <c r="AG116" s="7">
        <v>5</v>
      </c>
      <c r="AH116" s="7">
        <v>2</v>
      </c>
      <c r="AI116" s="7">
        <v>2</v>
      </c>
      <c r="AJ116" s="7">
        <v>2</v>
      </c>
      <c r="AK116" s="7">
        <v>0</v>
      </c>
      <c r="AL116" s="7">
        <v>0</v>
      </c>
      <c r="AM116" s="7">
        <v>0.99</v>
      </c>
      <c r="AN116" s="7">
        <v>0</v>
      </c>
      <c r="AO116" s="7" t="s">
        <v>85</v>
      </c>
      <c r="AP116" s="7">
        <v>91.2</v>
      </c>
      <c r="AQ116" s="8">
        <v>0.78600000000000003</v>
      </c>
      <c r="AR116" s="8">
        <v>0.109</v>
      </c>
      <c r="AS116" s="8">
        <v>0.35599999999999998</v>
      </c>
      <c r="AT116" s="7">
        <v>101</v>
      </c>
      <c r="AU116" s="8">
        <v>6.3E-2</v>
      </c>
      <c r="AV116" s="7">
        <v>0.30381818181818171</v>
      </c>
      <c r="AW116" s="7">
        <v>41.258181818181853</v>
      </c>
      <c r="AX116" s="7">
        <v>0.16</v>
      </c>
      <c r="AY116" s="8">
        <v>0.14499999999999999</v>
      </c>
      <c r="AZ116" s="7">
        <v>0.02</v>
      </c>
      <c r="BA116" s="7">
        <v>1.61</v>
      </c>
      <c r="BB116" s="7">
        <v>50</v>
      </c>
      <c r="BC116" s="7">
        <v>22</v>
      </c>
      <c r="BD116" s="7">
        <v>79</v>
      </c>
      <c r="BE116" s="7">
        <v>57</v>
      </c>
      <c r="BF116" s="7">
        <v>11</v>
      </c>
      <c r="BG116" s="7">
        <v>0</v>
      </c>
      <c r="BH116" s="7">
        <v>25</v>
      </c>
      <c r="BI116" s="8">
        <v>0.60899999999999999</v>
      </c>
      <c r="BJ116" s="7">
        <v>1.2615384615384611</v>
      </c>
      <c r="BK116" s="7">
        <v>0.08</v>
      </c>
      <c r="BL116" s="7">
        <v>0.13</v>
      </c>
      <c r="BM116" s="7">
        <v>0.11</v>
      </c>
      <c r="BN116" s="8">
        <v>0.254</v>
      </c>
      <c r="BO116" s="7">
        <v>2.29</v>
      </c>
      <c r="BP116" s="8">
        <v>0</v>
      </c>
      <c r="BQ116" s="7">
        <v>77</v>
      </c>
      <c r="BR116" s="7">
        <v>0.01</v>
      </c>
      <c r="BS116" s="8">
        <v>1.0999999999999999E-2</v>
      </c>
      <c r="BT116" s="7" t="s">
        <v>85</v>
      </c>
      <c r="BU116" s="7">
        <v>0</v>
      </c>
      <c r="BV116" s="7">
        <v>0.5</v>
      </c>
      <c r="BW116" s="7">
        <v>2.06</v>
      </c>
      <c r="BX116" s="8">
        <v>0.23</v>
      </c>
    </row>
    <row r="117" spans="2:76" ht="19.899999999999999" customHeight="1" x14ac:dyDescent="0.3">
      <c r="B117" s="7" t="s">
        <v>181</v>
      </c>
      <c r="C117" s="7">
        <v>4</v>
      </c>
      <c r="D117" s="7">
        <v>1.04</v>
      </c>
      <c r="E117" s="7">
        <v>102</v>
      </c>
      <c r="F117" s="7">
        <v>1.3</v>
      </c>
      <c r="G117" s="7">
        <v>0.76</v>
      </c>
      <c r="H117" s="8">
        <v>0.26500000000000001</v>
      </c>
      <c r="I117" s="8">
        <v>0.44400000000000001</v>
      </c>
      <c r="J117" s="7">
        <v>1.01</v>
      </c>
      <c r="K117" s="7">
        <v>1.32</v>
      </c>
      <c r="L117" s="7">
        <v>0.72</v>
      </c>
      <c r="M117" s="7">
        <v>58.8</v>
      </c>
      <c r="N117" s="7">
        <v>0.28999999999999998</v>
      </c>
      <c r="O117" s="7">
        <v>72.3</v>
      </c>
      <c r="P117" s="7">
        <v>0.69</v>
      </c>
      <c r="Q117" s="7">
        <v>0.74</v>
      </c>
      <c r="R117" s="7">
        <v>58</v>
      </c>
      <c r="S117" s="7">
        <v>1.48</v>
      </c>
      <c r="T117" s="7">
        <v>70.400000000000006</v>
      </c>
      <c r="U117" s="7">
        <v>0.67</v>
      </c>
      <c r="V117" s="7">
        <v>-3</v>
      </c>
      <c r="W117" s="7">
        <v>4</v>
      </c>
      <c r="X117" s="7">
        <v>1.04</v>
      </c>
      <c r="Y117" s="7">
        <v>4</v>
      </c>
      <c r="Z117" s="7">
        <v>1.04</v>
      </c>
      <c r="AA117" s="7">
        <v>4</v>
      </c>
      <c r="AB117" s="7">
        <v>1.04</v>
      </c>
      <c r="AC117" s="7">
        <v>0.1176470588235294</v>
      </c>
      <c r="AD117" s="7">
        <v>0.40196078431372551</v>
      </c>
      <c r="AE117" s="7">
        <v>0.1470588235294118</v>
      </c>
      <c r="AF117" s="7">
        <v>8.8235294117647065E-2</v>
      </c>
      <c r="AG117" s="7">
        <v>3</v>
      </c>
      <c r="AH117" s="7">
        <v>3</v>
      </c>
      <c r="AI117" s="7">
        <v>2</v>
      </c>
      <c r="AJ117" s="7">
        <v>1</v>
      </c>
      <c r="AK117" s="7">
        <v>1</v>
      </c>
      <c r="AL117" s="7">
        <v>9.8039215686274508E-3</v>
      </c>
      <c r="AM117" s="7">
        <v>1.04</v>
      </c>
      <c r="AN117" s="7">
        <v>0</v>
      </c>
      <c r="AO117" s="7" t="s">
        <v>85</v>
      </c>
      <c r="AP117" s="7">
        <v>108</v>
      </c>
      <c r="AQ117" s="8">
        <v>0.83299999999999996</v>
      </c>
      <c r="AR117" s="8">
        <v>2.1000000000000001E-2</v>
      </c>
      <c r="AS117" s="8">
        <v>0.157</v>
      </c>
      <c r="AT117" s="7">
        <v>105</v>
      </c>
      <c r="AU117" s="8">
        <v>5.8999999999999997E-2</v>
      </c>
      <c r="AV117" s="7">
        <v>0.28833333333333327</v>
      </c>
      <c r="AW117" s="7">
        <v>32.137499999999989</v>
      </c>
      <c r="AX117" s="7">
        <v>0.13</v>
      </c>
      <c r="AY117" s="8">
        <v>0.17799999999999999</v>
      </c>
      <c r="AZ117" s="7">
        <v>0.02</v>
      </c>
      <c r="BA117" s="7">
        <v>3.59</v>
      </c>
      <c r="BB117" s="7">
        <v>48</v>
      </c>
      <c r="BC117" s="7">
        <v>19</v>
      </c>
      <c r="BD117" s="7">
        <v>36</v>
      </c>
      <c r="BE117" s="7">
        <v>75</v>
      </c>
      <c r="BF117" s="7">
        <v>29</v>
      </c>
      <c r="BG117" s="7">
        <v>4</v>
      </c>
      <c r="BH117" s="7">
        <v>36</v>
      </c>
      <c r="BI117" s="8">
        <v>0.6</v>
      </c>
      <c r="BJ117" s="7">
        <v>1.61</v>
      </c>
      <c r="BK117" s="7">
        <v>0.13</v>
      </c>
      <c r="BL117" s="7">
        <v>0.11</v>
      </c>
      <c r="BM117" s="7">
        <v>0.06</v>
      </c>
      <c r="BN117" s="8">
        <v>0.16700000000000001</v>
      </c>
      <c r="BO117" s="7">
        <v>2.4700000000000002</v>
      </c>
      <c r="BP117" s="8">
        <v>1</v>
      </c>
      <c r="BQ117" s="7">
        <v>73</v>
      </c>
      <c r="BR117" s="7">
        <v>0.02</v>
      </c>
      <c r="BS117" s="8">
        <v>2.9000000000000001E-2</v>
      </c>
      <c r="BT117" s="8">
        <v>0.01</v>
      </c>
      <c r="BU117" s="7">
        <v>0.98</v>
      </c>
      <c r="BV117" s="7">
        <v>0.42</v>
      </c>
      <c r="BW117" s="7">
        <v>2.76</v>
      </c>
      <c r="BX117" s="8">
        <v>0.186</v>
      </c>
    </row>
    <row r="118" spans="2:76" ht="19.899999999999999" customHeight="1" x14ac:dyDescent="0.3">
      <c r="B118" s="7" t="s">
        <v>158</v>
      </c>
      <c r="C118" s="7">
        <v>2</v>
      </c>
      <c r="D118" s="7">
        <v>1.04</v>
      </c>
      <c r="E118" s="7">
        <v>45</v>
      </c>
      <c r="F118" s="7">
        <v>0.95</v>
      </c>
      <c r="G118" s="7">
        <v>1.1100000000000001</v>
      </c>
      <c r="H118" s="8">
        <v>0.156</v>
      </c>
      <c r="I118" s="8">
        <v>0.42899999999999999</v>
      </c>
      <c r="J118" s="7">
        <v>0.85</v>
      </c>
      <c r="K118" s="7">
        <v>1.51</v>
      </c>
      <c r="L118" s="7">
        <v>0.8</v>
      </c>
      <c r="M118" s="7">
        <v>66.7</v>
      </c>
      <c r="N118" s="7">
        <v>0.28000000000000003</v>
      </c>
      <c r="O118" s="7">
        <v>80.5</v>
      </c>
      <c r="P118" s="7">
        <v>0.73</v>
      </c>
      <c r="Q118" s="7">
        <v>0.81</v>
      </c>
      <c r="R118" s="7">
        <v>69.3</v>
      </c>
      <c r="S118" s="7">
        <v>0.87</v>
      </c>
      <c r="T118" s="7">
        <v>81</v>
      </c>
      <c r="U118" s="7">
        <v>0.75</v>
      </c>
      <c r="V118" s="7">
        <v>-3</v>
      </c>
      <c r="W118" s="7">
        <v>0</v>
      </c>
      <c r="X118" s="7" t="s">
        <v>85</v>
      </c>
      <c r="Y118" s="7">
        <v>2</v>
      </c>
      <c r="Z118" s="7">
        <v>1.04</v>
      </c>
      <c r="AA118" s="7">
        <v>2</v>
      </c>
      <c r="AB118" s="7">
        <v>1.04</v>
      </c>
      <c r="AC118" s="7">
        <v>6.6666666666666666E-2</v>
      </c>
      <c r="AD118" s="7">
        <v>0.51111111111111107</v>
      </c>
      <c r="AE118" s="7">
        <v>0.17777777777777781</v>
      </c>
      <c r="AF118" s="7">
        <v>4.4444444444444453E-2</v>
      </c>
      <c r="AG118" s="7">
        <v>2</v>
      </c>
      <c r="AH118" s="7">
        <v>1</v>
      </c>
      <c r="AI118" s="7">
        <v>1</v>
      </c>
      <c r="AJ118" s="7">
        <v>0</v>
      </c>
      <c r="AK118" s="7">
        <v>0</v>
      </c>
      <c r="AL118" s="7">
        <v>0</v>
      </c>
      <c r="AM118" s="7">
        <v>1.1200000000000001</v>
      </c>
      <c r="AN118" s="7">
        <v>0</v>
      </c>
      <c r="AO118" s="7" t="s">
        <v>85</v>
      </c>
      <c r="AP118" s="7">
        <v>133.1</v>
      </c>
      <c r="AQ118" s="8">
        <v>0.66700000000000004</v>
      </c>
      <c r="AR118" s="8">
        <v>3.4000000000000002E-2</v>
      </c>
      <c r="AS118" s="8">
        <v>0.152</v>
      </c>
      <c r="AT118" s="7">
        <v>110</v>
      </c>
      <c r="AU118" s="8">
        <v>0.13300000000000001</v>
      </c>
      <c r="AV118" s="7">
        <v>0.51999999999999991</v>
      </c>
      <c r="AW118" s="7">
        <v>51.479310344827589</v>
      </c>
      <c r="AX118" s="7">
        <v>0.18</v>
      </c>
      <c r="AY118" s="8">
        <v>0.13900000000000001</v>
      </c>
      <c r="AZ118" s="7">
        <v>0.02</v>
      </c>
      <c r="BA118" s="7">
        <v>3.36</v>
      </c>
      <c r="BB118" s="7">
        <v>80</v>
      </c>
      <c r="BC118" s="7">
        <v>40</v>
      </c>
      <c r="BD118" s="7">
        <v>82</v>
      </c>
      <c r="BE118" s="7">
        <v>14</v>
      </c>
      <c r="BF118" s="7">
        <v>21</v>
      </c>
      <c r="BG118" s="7">
        <v>3</v>
      </c>
      <c r="BH118" s="7">
        <v>25</v>
      </c>
      <c r="BI118" s="8">
        <v>0.66700000000000004</v>
      </c>
      <c r="BJ118" s="7" t="s">
        <v>85</v>
      </c>
      <c r="BK118" s="7">
        <v>0.11</v>
      </c>
      <c r="BL118" s="7">
        <v>0.16</v>
      </c>
      <c r="BM118" s="7">
        <v>0.16</v>
      </c>
      <c r="BN118" s="8">
        <v>0.156</v>
      </c>
      <c r="BO118" s="7">
        <v>2.76</v>
      </c>
      <c r="BP118" s="7" t="s">
        <v>85</v>
      </c>
      <c r="BQ118" s="7">
        <v>72</v>
      </c>
      <c r="BR118" s="7">
        <v>0.02</v>
      </c>
      <c r="BS118" s="8">
        <v>0.03</v>
      </c>
      <c r="BT118" s="8">
        <v>4.3999999999999997E-2</v>
      </c>
      <c r="BU118" s="7">
        <v>0</v>
      </c>
      <c r="BV118" s="7">
        <v>0.42</v>
      </c>
      <c r="BW118" s="7">
        <v>1.83</v>
      </c>
      <c r="BX118" s="8">
        <v>0.24199999999999999</v>
      </c>
    </row>
    <row r="119" spans="2:76" ht="19.899999999999999" customHeight="1" x14ac:dyDescent="0.3">
      <c r="B119" s="7" t="s">
        <v>157</v>
      </c>
      <c r="C119" s="7">
        <v>4</v>
      </c>
      <c r="D119" s="7">
        <v>1.04</v>
      </c>
      <c r="E119" s="7">
        <v>102</v>
      </c>
      <c r="F119" s="7">
        <v>0.97</v>
      </c>
      <c r="G119" s="7">
        <v>1.1100000000000001</v>
      </c>
      <c r="H119" s="8">
        <v>9.8000000000000004E-2</v>
      </c>
      <c r="I119" s="8">
        <v>0.4</v>
      </c>
      <c r="J119" s="7">
        <v>0.76</v>
      </c>
      <c r="K119" s="7">
        <v>1.1299999999999999</v>
      </c>
      <c r="L119" s="7">
        <v>0.55000000000000004</v>
      </c>
      <c r="M119" s="7">
        <v>71.599999999999994</v>
      </c>
      <c r="N119" s="7">
        <v>0.82</v>
      </c>
      <c r="O119" s="7">
        <v>67.3</v>
      </c>
      <c r="P119" s="7">
        <v>0.66</v>
      </c>
      <c r="Q119" s="7">
        <v>0.6</v>
      </c>
      <c r="R119" s="7">
        <v>66.900000000000006</v>
      </c>
      <c r="S119" s="7">
        <v>0.94</v>
      </c>
      <c r="T119" s="7">
        <v>65.8</v>
      </c>
      <c r="U119" s="7">
        <v>0.62</v>
      </c>
      <c r="V119" s="7">
        <v>11</v>
      </c>
      <c r="W119" s="7">
        <v>4</v>
      </c>
      <c r="X119" s="7">
        <v>1.04</v>
      </c>
      <c r="Y119" s="7">
        <v>4</v>
      </c>
      <c r="Z119" s="7">
        <v>1.04</v>
      </c>
      <c r="AA119" s="7">
        <v>4</v>
      </c>
      <c r="AB119" s="7">
        <v>1.04</v>
      </c>
      <c r="AC119" s="7">
        <v>3.9215686274509803E-2</v>
      </c>
      <c r="AD119" s="7">
        <v>0.43137254901960792</v>
      </c>
      <c r="AE119" s="7">
        <v>0.16666666666666671</v>
      </c>
      <c r="AF119" s="7">
        <v>4.9019607843137247E-2</v>
      </c>
      <c r="AG119" s="7">
        <v>3</v>
      </c>
      <c r="AH119" s="7">
        <v>2</v>
      </c>
      <c r="AI119" s="7">
        <v>2</v>
      </c>
      <c r="AJ119" s="7">
        <v>0</v>
      </c>
      <c r="AK119" s="7">
        <v>0</v>
      </c>
      <c r="AL119" s="7">
        <v>0</v>
      </c>
      <c r="AM119" s="7">
        <v>0.96</v>
      </c>
      <c r="AN119" s="7">
        <v>0</v>
      </c>
      <c r="AO119" s="7" t="s">
        <v>85</v>
      </c>
      <c r="AP119" s="7">
        <v>90.6</v>
      </c>
      <c r="AQ119" s="8">
        <v>0.75</v>
      </c>
      <c r="AR119" s="8">
        <v>8.3000000000000004E-2</v>
      </c>
      <c r="AS119" s="8">
        <v>0.313</v>
      </c>
      <c r="AT119" s="7">
        <v>102</v>
      </c>
      <c r="AU119" s="8">
        <v>0.13700000000000001</v>
      </c>
      <c r="AV119" s="7">
        <v>0.31583333333333341</v>
      </c>
      <c r="AW119" s="7">
        <v>41.087499999999999</v>
      </c>
      <c r="AX119" s="7">
        <v>0.13</v>
      </c>
      <c r="AY119" s="8">
        <v>0.161</v>
      </c>
      <c r="AZ119" s="7">
        <v>0.05</v>
      </c>
      <c r="BA119" s="7">
        <v>5.19</v>
      </c>
      <c r="BB119" s="7">
        <v>45</v>
      </c>
      <c r="BC119" s="7">
        <v>4</v>
      </c>
      <c r="BD119" s="7">
        <v>37</v>
      </c>
      <c r="BE119" s="7">
        <v>8</v>
      </c>
      <c r="BF119" s="7">
        <v>22</v>
      </c>
      <c r="BG119" s="7">
        <v>94</v>
      </c>
      <c r="BH119" s="7">
        <v>80</v>
      </c>
      <c r="BI119" s="8">
        <v>0.254</v>
      </c>
      <c r="BJ119" s="7">
        <v>1.2277777777777781</v>
      </c>
      <c r="BK119" s="7">
        <v>0.09</v>
      </c>
      <c r="BL119" s="7">
        <v>0.09</v>
      </c>
      <c r="BM119" s="7">
        <v>0.03</v>
      </c>
      <c r="BN119" s="8">
        <v>0.26500000000000001</v>
      </c>
      <c r="BO119" s="7">
        <v>2.0299999999999998</v>
      </c>
      <c r="BP119" s="7" t="s">
        <v>85</v>
      </c>
      <c r="BQ119" s="7">
        <v>82</v>
      </c>
      <c r="BR119" s="7">
        <v>0.32</v>
      </c>
      <c r="BS119" s="8">
        <v>0.49299999999999999</v>
      </c>
      <c r="BT119" s="8">
        <v>0.32400000000000001</v>
      </c>
      <c r="BU119" s="7">
        <v>2.94</v>
      </c>
      <c r="BV119" s="7">
        <v>0.89</v>
      </c>
      <c r="BW119" s="7">
        <v>2.25</v>
      </c>
      <c r="BX119" s="8">
        <v>0.19400000000000001</v>
      </c>
    </row>
    <row r="120" spans="2:76" ht="19.899999999999999" customHeight="1" x14ac:dyDescent="0.3">
      <c r="B120" s="7" t="s">
        <v>153</v>
      </c>
      <c r="C120" s="7">
        <v>3</v>
      </c>
      <c r="D120" s="7">
        <v>1.03</v>
      </c>
      <c r="E120" s="7">
        <v>63</v>
      </c>
      <c r="F120" s="7">
        <v>1.1599999999999999</v>
      </c>
      <c r="G120" s="7">
        <v>0.83</v>
      </c>
      <c r="H120" s="8">
        <v>0.17499999999999999</v>
      </c>
      <c r="I120" s="8">
        <v>0.54500000000000004</v>
      </c>
      <c r="J120" s="7">
        <v>1.01</v>
      </c>
      <c r="K120" s="7">
        <v>0.95</v>
      </c>
      <c r="L120" s="7">
        <v>0.79</v>
      </c>
      <c r="M120" s="7">
        <v>77.8</v>
      </c>
      <c r="N120" s="7">
        <v>-2.3199999999999998</v>
      </c>
      <c r="O120" s="7">
        <v>77.7</v>
      </c>
      <c r="P120" s="7">
        <v>0.75</v>
      </c>
      <c r="Q120" s="7">
        <v>0.79</v>
      </c>
      <c r="R120" s="7">
        <v>79.400000000000006</v>
      </c>
      <c r="S120" s="7">
        <v>1.1399999999999999</v>
      </c>
      <c r="T120" s="7">
        <v>79.099999999999994</v>
      </c>
      <c r="U120" s="7">
        <v>0.78</v>
      </c>
      <c r="V120" s="7">
        <v>-3</v>
      </c>
      <c r="W120" s="7">
        <v>0</v>
      </c>
      <c r="X120" s="7" t="s">
        <v>85</v>
      </c>
      <c r="Y120" s="7">
        <v>3</v>
      </c>
      <c r="Z120" s="7">
        <v>1.03</v>
      </c>
      <c r="AA120" s="7">
        <v>3</v>
      </c>
      <c r="AB120" s="7">
        <v>1.03</v>
      </c>
      <c r="AC120" s="7">
        <v>9.5238095238095233E-2</v>
      </c>
      <c r="AD120" s="7">
        <v>0.49206349206349198</v>
      </c>
      <c r="AE120" s="7">
        <v>0.22222222222222221</v>
      </c>
      <c r="AF120" s="7">
        <v>3.1746031746031737E-2</v>
      </c>
      <c r="AG120" s="7">
        <v>3</v>
      </c>
      <c r="AH120" s="7">
        <v>2</v>
      </c>
      <c r="AI120" s="7">
        <v>0</v>
      </c>
      <c r="AJ120" s="7">
        <v>0</v>
      </c>
      <c r="AK120" s="7">
        <v>0</v>
      </c>
      <c r="AL120" s="7">
        <v>0</v>
      </c>
      <c r="AM120" s="7">
        <v>1.08</v>
      </c>
      <c r="AN120" s="7">
        <v>0</v>
      </c>
      <c r="AO120" s="7" t="s">
        <v>85</v>
      </c>
      <c r="AP120" s="7">
        <v>106.7</v>
      </c>
      <c r="AQ120" s="8">
        <v>0.5</v>
      </c>
      <c r="AR120" s="8">
        <v>7.6999999999999999E-2</v>
      </c>
      <c r="AS120" s="8">
        <v>0.29799999999999999</v>
      </c>
      <c r="AT120" s="7">
        <v>104</v>
      </c>
      <c r="AU120" s="8">
        <v>7.9000000000000001E-2</v>
      </c>
      <c r="AV120" s="7">
        <v>0.54051282051282046</v>
      </c>
      <c r="AW120" s="7">
        <v>59.853846153846163</v>
      </c>
      <c r="AX120" s="7">
        <v>0.16</v>
      </c>
      <c r="AY120" s="8">
        <v>0.2</v>
      </c>
      <c r="AZ120" s="7">
        <v>0.06</v>
      </c>
      <c r="BA120" s="7">
        <v>11.24</v>
      </c>
      <c r="BB120" s="7">
        <v>85</v>
      </c>
      <c r="BC120" s="7">
        <v>67</v>
      </c>
      <c r="BD120" s="7">
        <v>77</v>
      </c>
      <c r="BE120" s="7">
        <v>39</v>
      </c>
      <c r="BF120" s="7">
        <v>11</v>
      </c>
      <c r="BG120" s="7">
        <v>0</v>
      </c>
      <c r="BH120" s="7">
        <v>68</v>
      </c>
      <c r="BI120" s="8">
        <v>0.36199999999999999</v>
      </c>
      <c r="BJ120" s="7">
        <v>1.1299999999999999</v>
      </c>
      <c r="BK120" s="7">
        <v>0.16</v>
      </c>
      <c r="BL120" s="7">
        <v>0.19</v>
      </c>
      <c r="BM120" s="7">
        <v>0.11</v>
      </c>
      <c r="BN120" s="8">
        <v>0.17499999999999999</v>
      </c>
      <c r="BO120" s="7">
        <v>3.35</v>
      </c>
      <c r="BP120" s="7" t="s">
        <v>85</v>
      </c>
      <c r="BQ120" s="7">
        <v>69</v>
      </c>
      <c r="BR120" s="7">
        <v>0</v>
      </c>
      <c r="BS120" s="8">
        <v>0</v>
      </c>
      <c r="BT120" s="7" t="s">
        <v>85</v>
      </c>
      <c r="BU120" s="7">
        <v>1.59</v>
      </c>
      <c r="BV120" s="7">
        <v>0.48</v>
      </c>
      <c r="BW120" s="7">
        <v>2.1800000000000002</v>
      </c>
      <c r="BX120" s="8">
        <v>0.21299999999999999</v>
      </c>
    </row>
    <row r="121" spans="2:76" ht="19.899999999999999" customHeight="1" x14ac:dyDescent="0.3">
      <c r="B121" s="7" t="s">
        <v>172</v>
      </c>
      <c r="C121" s="7">
        <v>2</v>
      </c>
      <c r="D121" s="7">
        <v>1</v>
      </c>
      <c r="E121" s="7">
        <v>39</v>
      </c>
      <c r="F121" s="7">
        <v>0.71</v>
      </c>
      <c r="G121" s="7">
        <v>1.18</v>
      </c>
      <c r="H121" s="8">
        <v>7.6999999999999999E-2</v>
      </c>
      <c r="I121" s="8">
        <v>1</v>
      </c>
      <c r="J121" s="7">
        <v>1.05</v>
      </c>
      <c r="K121" s="7">
        <v>0.25</v>
      </c>
      <c r="L121" s="7">
        <v>0.72</v>
      </c>
      <c r="M121" s="7">
        <v>69.2</v>
      </c>
      <c r="N121" s="7">
        <v>-0.3</v>
      </c>
      <c r="O121" s="7">
        <v>76.8</v>
      </c>
      <c r="P121" s="7">
        <v>0.74</v>
      </c>
      <c r="Q121" s="7">
        <v>0.79</v>
      </c>
      <c r="R121" s="7">
        <v>63.1</v>
      </c>
      <c r="S121" s="7">
        <v>1.23</v>
      </c>
      <c r="T121" s="7">
        <v>76.8</v>
      </c>
      <c r="U121" s="7">
        <v>0.73</v>
      </c>
      <c r="V121" s="7">
        <v>1</v>
      </c>
      <c r="W121" s="7">
        <v>0</v>
      </c>
      <c r="X121" s="7" t="s">
        <v>85</v>
      </c>
      <c r="Y121" s="7">
        <v>0</v>
      </c>
      <c r="Z121" s="7" t="s">
        <v>85</v>
      </c>
      <c r="AA121" s="7">
        <v>2</v>
      </c>
      <c r="AB121" s="7">
        <v>1</v>
      </c>
      <c r="AC121" s="7">
        <v>7.6923076923076927E-2</v>
      </c>
      <c r="AD121" s="7">
        <v>0.46153846153846162</v>
      </c>
      <c r="AE121" s="7">
        <v>0.23076923076923081</v>
      </c>
      <c r="AF121" s="7">
        <v>5.128205128205128E-2</v>
      </c>
      <c r="AG121" s="7">
        <v>1</v>
      </c>
      <c r="AH121" s="7">
        <v>1</v>
      </c>
      <c r="AI121" s="7">
        <v>1</v>
      </c>
      <c r="AJ121" s="7">
        <v>1</v>
      </c>
      <c r="AK121" s="7">
        <v>1</v>
      </c>
      <c r="AL121" s="7">
        <v>2.564102564102564E-2</v>
      </c>
      <c r="AM121" s="7">
        <v>0.77</v>
      </c>
      <c r="AN121" s="7">
        <v>0</v>
      </c>
      <c r="AO121" s="7" t="s">
        <v>85</v>
      </c>
      <c r="AP121" s="7">
        <v>82.8</v>
      </c>
      <c r="AQ121" s="8">
        <v>0.66700000000000004</v>
      </c>
      <c r="AR121" s="8">
        <v>0.192</v>
      </c>
      <c r="AS121" s="8">
        <v>0.27600000000000002</v>
      </c>
      <c r="AT121" s="7">
        <v>103</v>
      </c>
      <c r="AU121" s="8">
        <v>0.154</v>
      </c>
      <c r="AV121" s="7">
        <v>0.73038461538461541</v>
      </c>
      <c r="AW121" s="7">
        <v>73.8</v>
      </c>
      <c r="AX121" s="7">
        <v>0.28000000000000003</v>
      </c>
      <c r="AY121" s="8">
        <v>0.17899999999999999</v>
      </c>
      <c r="AZ121" s="7">
        <v>0</v>
      </c>
      <c r="BA121" s="7">
        <v>1.28</v>
      </c>
      <c r="BB121" s="7">
        <v>84</v>
      </c>
      <c r="BC121" s="7">
        <v>21</v>
      </c>
      <c r="BD121" s="7">
        <v>95</v>
      </c>
      <c r="BE121" s="7">
        <v>26</v>
      </c>
      <c r="BF121" s="7">
        <v>71</v>
      </c>
      <c r="BG121" s="7">
        <v>95</v>
      </c>
      <c r="BH121" s="7">
        <v>42</v>
      </c>
      <c r="BI121" s="8">
        <v>0.379</v>
      </c>
      <c r="BJ121" s="7" t="s">
        <v>85</v>
      </c>
      <c r="BK121" s="7">
        <v>0.13</v>
      </c>
      <c r="BL121" s="7">
        <v>0.21</v>
      </c>
      <c r="BM121" s="7">
        <v>0.08</v>
      </c>
      <c r="BN121" s="8">
        <v>0.17899999999999999</v>
      </c>
      <c r="BO121" s="7">
        <v>1.85</v>
      </c>
      <c r="BP121" s="8">
        <v>1</v>
      </c>
      <c r="BQ121" s="7">
        <v>84</v>
      </c>
      <c r="BR121" s="7">
        <v>0.46</v>
      </c>
      <c r="BS121" s="8">
        <v>0.621</v>
      </c>
      <c r="BT121" s="8">
        <v>0.308</v>
      </c>
      <c r="BU121" s="7">
        <v>0</v>
      </c>
      <c r="BV121" s="7">
        <v>0.9</v>
      </c>
      <c r="BW121" s="7">
        <v>2.15</v>
      </c>
      <c r="BX121" s="8">
        <v>0.379</v>
      </c>
    </row>
    <row r="122" spans="2:76" ht="19.899999999999999" customHeight="1" x14ac:dyDescent="0.3">
      <c r="B122" s="7" t="s">
        <v>164</v>
      </c>
      <c r="C122" s="7">
        <v>2</v>
      </c>
      <c r="D122" s="7">
        <v>0.97</v>
      </c>
      <c r="E122" s="7">
        <v>45</v>
      </c>
      <c r="F122" s="7">
        <v>1.04</v>
      </c>
      <c r="G122" s="7">
        <v>0.93</v>
      </c>
      <c r="H122" s="8">
        <v>0.13300000000000001</v>
      </c>
      <c r="I122" s="8">
        <v>0.66700000000000004</v>
      </c>
      <c r="J122" s="7">
        <v>1.04</v>
      </c>
      <c r="K122" s="7">
        <v>1.95</v>
      </c>
      <c r="L122" s="7">
        <v>0.62</v>
      </c>
      <c r="M122" s="7">
        <v>55.6</v>
      </c>
      <c r="N122" s="7">
        <v>-0.57999999999999996</v>
      </c>
      <c r="O122" s="7">
        <v>61.6</v>
      </c>
      <c r="P122" s="7">
        <v>0.64</v>
      </c>
      <c r="Q122" s="7">
        <v>0.62</v>
      </c>
      <c r="R122" s="7">
        <v>60.2</v>
      </c>
      <c r="S122" s="7">
        <v>1.03</v>
      </c>
      <c r="T122" s="7">
        <v>63.1</v>
      </c>
      <c r="U122" s="7">
        <v>0.67</v>
      </c>
      <c r="V122" s="7">
        <v>1</v>
      </c>
      <c r="W122" s="7">
        <v>0</v>
      </c>
      <c r="X122" s="7" t="s">
        <v>85</v>
      </c>
      <c r="Y122" s="7">
        <v>2</v>
      </c>
      <c r="Z122" s="7">
        <v>0.97</v>
      </c>
      <c r="AA122" s="7">
        <v>2</v>
      </c>
      <c r="AB122" s="7">
        <v>0.97</v>
      </c>
      <c r="AC122" s="7">
        <v>8.8888888888888892E-2</v>
      </c>
      <c r="AD122" s="7">
        <v>0.4</v>
      </c>
      <c r="AE122" s="7">
        <v>0.2</v>
      </c>
      <c r="AF122" s="7">
        <v>4.4444444444444453E-2</v>
      </c>
      <c r="AG122" s="7">
        <v>2</v>
      </c>
      <c r="AH122" s="7">
        <v>2</v>
      </c>
      <c r="AI122" s="7">
        <v>0</v>
      </c>
      <c r="AJ122" s="7">
        <v>0</v>
      </c>
      <c r="AK122" s="7">
        <v>1</v>
      </c>
      <c r="AL122" s="7">
        <v>2.222222222222222E-2</v>
      </c>
      <c r="AM122" s="7">
        <v>1.31</v>
      </c>
      <c r="AN122" s="7">
        <v>0</v>
      </c>
      <c r="AO122" s="7" t="s">
        <v>85</v>
      </c>
      <c r="AP122" s="7">
        <v>124.8</v>
      </c>
      <c r="AQ122" s="8">
        <v>0.5</v>
      </c>
      <c r="AR122" s="8">
        <v>3.4000000000000002E-2</v>
      </c>
      <c r="AS122" s="8">
        <v>0.20699999999999999</v>
      </c>
      <c r="AT122" s="7">
        <v>96</v>
      </c>
      <c r="AU122" s="8">
        <v>0.222</v>
      </c>
      <c r="AV122" s="7">
        <v>0.27724137931034482</v>
      </c>
      <c r="AW122" s="7">
        <v>26.73103448275862</v>
      </c>
      <c r="AX122" s="7">
        <v>0.13</v>
      </c>
      <c r="AY122" s="8">
        <v>7.0999999999999994E-2</v>
      </c>
      <c r="AZ122" s="7">
        <v>0.16</v>
      </c>
      <c r="BA122" s="7">
        <v>1.84</v>
      </c>
      <c r="BB122" s="7">
        <v>47</v>
      </c>
      <c r="BC122" s="7">
        <v>1</v>
      </c>
      <c r="BD122" s="7">
        <v>59</v>
      </c>
      <c r="BE122" s="7">
        <v>32</v>
      </c>
      <c r="BF122" s="7">
        <v>65</v>
      </c>
      <c r="BG122" s="7">
        <v>73</v>
      </c>
      <c r="BH122" s="7">
        <v>58</v>
      </c>
      <c r="BI122" s="8">
        <v>0.621</v>
      </c>
      <c r="BJ122" s="7" t="s">
        <v>85</v>
      </c>
      <c r="BK122" s="7">
        <v>0.04</v>
      </c>
      <c r="BL122" s="7">
        <v>0.18</v>
      </c>
      <c r="BM122" s="7">
        <v>7.0000000000000007E-2</v>
      </c>
      <c r="BN122" s="8">
        <v>0.111</v>
      </c>
      <c r="BO122" s="7">
        <v>1.6</v>
      </c>
      <c r="BP122" s="8">
        <v>1</v>
      </c>
      <c r="BQ122" s="7">
        <v>76</v>
      </c>
      <c r="BR122" s="7">
        <v>0.2</v>
      </c>
      <c r="BS122" s="8">
        <v>0.31</v>
      </c>
      <c r="BT122" s="8">
        <v>0.2</v>
      </c>
      <c r="BU122" s="7">
        <v>0</v>
      </c>
      <c r="BV122" s="7">
        <v>0.73</v>
      </c>
      <c r="BW122" s="7">
        <v>3.71</v>
      </c>
      <c r="BX122" s="8">
        <v>0.20699999999999999</v>
      </c>
    </row>
    <row r="123" spans="2:76" ht="19.899999999999999" customHeight="1" x14ac:dyDescent="0.3">
      <c r="B123" s="7" t="s">
        <v>163</v>
      </c>
      <c r="C123" s="7">
        <v>2</v>
      </c>
      <c r="D123" s="7">
        <v>0.96</v>
      </c>
      <c r="E123" s="7">
        <v>45</v>
      </c>
      <c r="F123" s="7">
        <v>1.06</v>
      </c>
      <c r="G123" s="7">
        <v>0.89</v>
      </c>
      <c r="H123" s="8">
        <v>0.28899999999999998</v>
      </c>
      <c r="I123" s="8">
        <v>0.46200000000000002</v>
      </c>
      <c r="J123" s="7">
        <v>1.07</v>
      </c>
      <c r="K123" s="7">
        <v>0.99</v>
      </c>
      <c r="L123" s="7">
        <v>0.8</v>
      </c>
      <c r="M123" s="7">
        <v>62.2</v>
      </c>
      <c r="N123" s="7">
        <v>-1.08</v>
      </c>
      <c r="O123" s="7">
        <v>70.2</v>
      </c>
      <c r="P123" s="7">
        <v>0.64</v>
      </c>
      <c r="Q123" s="7">
        <v>0.77</v>
      </c>
      <c r="R123" s="7">
        <v>66.2</v>
      </c>
      <c r="S123" s="7">
        <v>0.73</v>
      </c>
      <c r="T123" s="7">
        <v>72.099999999999994</v>
      </c>
      <c r="U123" s="7">
        <v>0.7</v>
      </c>
      <c r="V123" s="7">
        <v>-7</v>
      </c>
      <c r="W123" s="7">
        <v>0</v>
      </c>
      <c r="X123" s="7" t="s">
        <v>85</v>
      </c>
      <c r="Y123" s="7">
        <v>2</v>
      </c>
      <c r="Z123" s="7">
        <v>0.96</v>
      </c>
      <c r="AA123" s="7">
        <v>2</v>
      </c>
      <c r="AB123" s="7">
        <v>0.96</v>
      </c>
      <c r="AC123" s="7">
        <v>0.1333333333333333</v>
      </c>
      <c r="AD123" s="7">
        <v>0.51111111111111107</v>
      </c>
      <c r="AE123" s="7">
        <v>0.1333333333333333</v>
      </c>
      <c r="AF123" s="7">
        <v>0</v>
      </c>
      <c r="AG123" s="7">
        <v>1</v>
      </c>
      <c r="AH123" s="7">
        <v>1</v>
      </c>
      <c r="AI123" s="7">
        <v>1</v>
      </c>
      <c r="AJ123" s="7">
        <v>0</v>
      </c>
      <c r="AK123" s="7">
        <v>0</v>
      </c>
      <c r="AL123" s="7">
        <v>0</v>
      </c>
      <c r="AM123" s="7">
        <v>1</v>
      </c>
      <c r="AN123" s="7">
        <v>0</v>
      </c>
      <c r="AO123" s="7" t="s">
        <v>85</v>
      </c>
      <c r="AP123" s="7">
        <v>101.1</v>
      </c>
      <c r="AQ123" s="8">
        <v>0.66700000000000004</v>
      </c>
      <c r="AR123" s="8">
        <v>0</v>
      </c>
      <c r="AS123" s="8">
        <v>0.20699999999999999</v>
      </c>
      <c r="AT123" s="7">
        <v>109</v>
      </c>
      <c r="AU123" s="8">
        <v>0.111</v>
      </c>
      <c r="AV123" s="7">
        <v>0.44827586206896552</v>
      </c>
      <c r="AW123" s="7">
        <v>53.151724137931041</v>
      </c>
      <c r="AX123" s="7">
        <v>0.13</v>
      </c>
      <c r="AY123" s="8">
        <v>0.16700000000000001</v>
      </c>
      <c r="AZ123" s="7">
        <v>0.04</v>
      </c>
      <c r="BA123" s="7">
        <v>6.89</v>
      </c>
      <c r="BB123" s="7">
        <v>33</v>
      </c>
      <c r="BC123" s="7">
        <v>26</v>
      </c>
      <c r="BD123" s="7">
        <v>55</v>
      </c>
      <c r="BE123" s="7">
        <v>78</v>
      </c>
      <c r="BF123" s="7">
        <v>16</v>
      </c>
      <c r="BG123" s="7">
        <v>0</v>
      </c>
      <c r="BH123" s="7">
        <v>72</v>
      </c>
      <c r="BI123" s="8">
        <v>0.51700000000000002</v>
      </c>
      <c r="BJ123" s="7" t="s">
        <v>85</v>
      </c>
      <c r="BK123" s="7">
        <v>0.13</v>
      </c>
      <c r="BL123" s="7">
        <v>0.13</v>
      </c>
      <c r="BM123" s="7">
        <v>0.09</v>
      </c>
      <c r="BN123" s="8">
        <v>6.7000000000000004E-2</v>
      </c>
      <c r="BO123" s="7">
        <v>2.71</v>
      </c>
      <c r="BP123" s="7" t="s">
        <v>85</v>
      </c>
      <c r="BQ123" s="7">
        <v>70</v>
      </c>
      <c r="BR123" s="7">
        <v>0</v>
      </c>
      <c r="BS123" s="8">
        <v>0</v>
      </c>
      <c r="BT123" s="7" t="s">
        <v>85</v>
      </c>
      <c r="BU123" s="7">
        <v>0</v>
      </c>
      <c r="BV123" s="7">
        <v>0.56000000000000005</v>
      </c>
      <c r="BW123" s="7">
        <v>2.78</v>
      </c>
      <c r="BX123" s="8">
        <v>0.20699999999999999</v>
      </c>
    </row>
    <row r="124" spans="2:76" ht="19.899999999999999" customHeight="1" x14ac:dyDescent="0.3">
      <c r="B124" s="7" t="s">
        <v>150</v>
      </c>
      <c r="C124" s="7">
        <v>6</v>
      </c>
      <c r="D124" s="7">
        <v>0.96</v>
      </c>
      <c r="E124" s="7">
        <v>126</v>
      </c>
      <c r="F124" s="7">
        <v>1.24</v>
      </c>
      <c r="G124" s="7">
        <v>0.76</v>
      </c>
      <c r="H124" s="8">
        <v>0.10299999999999999</v>
      </c>
      <c r="I124" s="8">
        <v>0.154</v>
      </c>
      <c r="J124" s="7">
        <v>0.6</v>
      </c>
      <c r="K124" s="7">
        <v>1.3</v>
      </c>
      <c r="L124" s="7">
        <v>0.6</v>
      </c>
      <c r="M124" s="7">
        <v>78.599999999999994</v>
      </c>
      <c r="N124" s="7">
        <v>-1.46</v>
      </c>
      <c r="O124" s="7">
        <v>65.2</v>
      </c>
      <c r="P124" s="7">
        <v>0.54</v>
      </c>
      <c r="Q124" s="7">
        <v>0.62</v>
      </c>
      <c r="R124" s="7">
        <v>78.3</v>
      </c>
      <c r="S124" s="7">
        <v>0.71</v>
      </c>
      <c r="T124" s="7">
        <v>63.5</v>
      </c>
      <c r="U124" s="7">
        <v>0.54</v>
      </c>
      <c r="V124" s="7">
        <v>-8</v>
      </c>
      <c r="W124" s="7">
        <v>3</v>
      </c>
      <c r="X124" s="7">
        <v>0.95</v>
      </c>
      <c r="Y124" s="7">
        <v>3</v>
      </c>
      <c r="Z124" s="7">
        <v>0.95</v>
      </c>
      <c r="AA124" s="7">
        <v>6</v>
      </c>
      <c r="AB124" s="7">
        <v>0.96</v>
      </c>
      <c r="AC124" s="7">
        <v>1.5873015873015869E-2</v>
      </c>
      <c r="AD124" s="7">
        <v>0.40476190476190482</v>
      </c>
      <c r="AE124" s="7">
        <v>0.119047619047619</v>
      </c>
      <c r="AF124" s="7">
        <v>1.5873015873015869E-2</v>
      </c>
      <c r="AG124" s="7">
        <v>4</v>
      </c>
      <c r="AH124" s="7">
        <v>4</v>
      </c>
      <c r="AI124" s="7">
        <v>1</v>
      </c>
      <c r="AJ124" s="7">
        <v>1</v>
      </c>
      <c r="AK124" s="7">
        <v>3</v>
      </c>
      <c r="AL124" s="7">
        <v>2.3809523809523812E-2</v>
      </c>
      <c r="AM124" s="7">
        <v>0.63</v>
      </c>
      <c r="AN124" s="7">
        <v>0</v>
      </c>
      <c r="AO124" s="7" t="s">
        <v>85</v>
      </c>
      <c r="AP124" s="7">
        <v>78.3</v>
      </c>
      <c r="AQ124" s="8">
        <v>1</v>
      </c>
      <c r="AR124" s="8">
        <v>9.0999999999999998E-2</v>
      </c>
      <c r="AS124" s="8">
        <v>0.25</v>
      </c>
      <c r="AT124" s="7">
        <v>121</v>
      </c>
      <c r="AU124" s="8">
        <v>9.5000000000000001E-2</v>
      </c>
      <c r="AV124" s="7">
        <v>0.42309090909090907</v>
      </c>
      <c r="AW124" s="7">
        <v>48.289090909090923</v>
      </c>
      <c r="AX124" s="7">
        <v>0.13</v>
      </c>
      <c r="AY124" s="8">
        <v>0.26300000000000001</v>
      </c>
      <c r="AZ124" s="7">
        <v>0.11</v>
      </c>
      <c r="BA124" s="7">
        <v>8.32</v>
      </c>
      <c r="BB124" s="7">
        <v>11</v>
      </c>
      <c r="BC124" s="7">
        <v>92</v>
      </c>
      <c r="BD124" s="7">
        <v>48</v>
      </c>
      <c r="BE124" s="7">
        <v>10</v>
      </c>
      <c r="BF124" s="7">
        <v>58</v>
      </c>
      <c r="BG124" s="7">
        <v>0</v>
      </c>
      <c r="BH124" s="7">
        <v>93</v>
      </c>
      <c r="BI124" s="8">
        <v>0.5</v>
      </c>
      <c r="BJ124" s="7">
        <v>1.1330769230769231</v>
      </c>
      <c r="BK124" s="7">
        <v>0.16</v>
      </c>
      <c r="BL124" s="7">
        <v>0.1</v>
      </c>
      <c r="BM124" s="7">
        <v>0.14000000000000001</v>
      </c>
      <c r="BN124" s="8">
        <v>0.30199999999999999</v>
      </c>
      <c r="BO124" s="7">
        <v>2.93</v>
      </c>
      <c r="BP124" s="8">
        <v>0.6</v>
      </c>
      <c r="BQ124" s="7">
        <v>75</v>
      </c>
      <c r="BR124" s="7">
        <v>0</v>
      </c>
      <c r="BS124" s="8">
        <v>0</v>
      </c>
      <c r="BT124" s="7" t="s">
        <v>85</v>
      </c>
      <c r="BU124" s="7">
        <v>0.79</v>
      </c>
      <c r="BV124" s="7">
        <v>0.78</v>
      </c>
      <c r="BW124" s="7">
        <v>2.91</v>
      </c>
      <c r="BX124" s="8">
        <v>0.23499999999999999</v>
      </c>
    </row>
    <row r="125" spans="2:76" ht="19.899999999999999" customHeight="1" x14ac:dyDescent="0.3">
      <c r="B125" s="7" t="s">
        <v>119</v>
      </c>
      <c r="C125" s="7">
        <v>9</v>
      </c>
      <c r="D125" s="7">
        <v>0.92</v>
      </c>
      <c r="E125" s="7">
        <v>174</v>
      </c>
      <c r="F125" s="7">
        <v>0.82</v>
      </c>
      <c r="G125" s="7">
        <v>1.06</v>
      </c>
      <c r="H125" s="8">
        <v>0.14899999999999999</v>
      </c>
      <c r="I125" s="8">
        <v>0.34599999999999997</v>
      </c>
      <c r="J125" s="7">
        <v>0.76</v>
      </c>
      <c r="K125" s="7">
        <v>1.31</v>
      </c>
      <c r="L125" s="7">
        <v>0.68</v>
      </c>
      <c r="M125" s="7">
        <v>72.400000000000006</v>
      </c>
      <c r="N125" s="7">
        <v>-1.55</v>
      </c>
      <c r="O125" s="7">
        <v>68.5</v>
      </c>
      <c r="P125" s="7">
        <v>0.56000000000000005</v>
      </c>
      <c r="Q125" s="7">
        <v>0.68</v>
      </c>
      <c r="R125" s="7">
        <v>67.599999999999994</v>
      </c>
      <c r="S125" s="7">
        <v>1</v>
      </c>
      <c r="T125" s="7">
        <v>71.2</v>
      </c>
      <c r="U125" s="7">
        <v>0.59</v>
      </c>
      <c r="V125" s="7">
        <v>-20</v>
      </c>
      <c r="W125" s="7">
        <v>6</v>
      </c>
      <c r="X125" s="7">
        <v>0.89</v>
      </c>
      <c r="Y125" s="7">
        <v>9</v>
      </c>
      <c r="Z125" s="7">
        <v>0.92</v>
      </c>
      <c r="AA125" s="7">
        <v>9</v>
      </c>
      <c r="AB125" s="7">
        <v>0.92</v>
      </c>
      <c r="AC125" s="7">
        <v>5.1724137931034482E-2</v>
      </c>
      <c r="AD125" s="7">
        <v>0.40229885057471271</v>
      </c>
      <c r="AE125" s="7">
        <v>0.1206896551724138</v>
      </c>
      <c r="AF125" s="7">
        <v>2.8735632183908049E-2</v>
      </c>
      <c r="AG125" s="7">
        <v>5</v>
      </c>
      <c r="AH125" s="7">
        <v>4</v>
      </c>
      <c r="AI125" s="7">
        <v>3</v>
      </c>
      <c r="AJ125" s="7">
        <v>2</v>
      </c>
      <c r="AK125" s="7">
        <v>1</v>
      </c>
      <c r="AL125" s="7">
        <v>5.7471264367816091E-3</v>
      </c>
      <c r="AM125" s="7">
        <v>0.79</v>
      </c>
      <c r="AN125" s="7">
        <v>0</v>
      </c>
      <c r="AO125" s="7" t="s">
        <v>85</v>
      </c>
      <c r="AP125" s="7">
        <v>90.5</v>
      </c>
      <c r="AQ125" s="8">
        <v>0.33300000000000002</v>
      </c>
      <c r="AR125" s="8">
        <v>0.13300000000000001</v>
      </c>
      <c r="AS125" s="8">
        <v>0.19400000000000001</v>
      </c>
      <c r="AT125" s="7">
        <v>122</v>
      </c>
      <c r="AU125" s="8">
        <v>5.7000000000000002E-2</v>
      </c>
      <c r="AV125" s="7">
        <v>0.35155555555555562</v>
      </c>
      <c r="AW125" s="7">
        <v>47.966666666666669</v>
      </c>
      <c r="AX125" s="7">
        <v>0.1</v>
      </c>
      <c r="AY125" s="8">
        <v>0.22</v>
      </c>
      <c r="AZ125" s="7">
        <v>0.02</v>
      </c>
      <c r="BA125" s="7">
        <v>2.56</v>
      </c>
      <c r="BB125" s="7">
        <v>17</v>
      </c>
      <c r="BC125" s="7">
        <v>50</v>
      </c>
      <c r="BD125" s="7">
        <v>17</v>
      </c>
      <c r="BE125" s="7">
        <v>5</v>
      </c>
      <c r="BF125" s="7">
        <v>23</v>
      </c>
      <c r="BG125" s="7">
        <v>0</v>
      </c>
      <c r="BH125" s="7">
        <v>11</v>
      </c>
      <c r="BI125" s="8">
        <v>0.73499999999999999</v>
      </c>
      <c r="BJ125" s="7">
        <v>1.169514563106796</v>
      </c>
      <c r="BK125" s="7">
        <v>0.15</v>
      </c>
      <c r="BL125" s="7">
        <v>0.08</v>
      </c>
      <c r="BM125" s="7">
        <v>0.09</v>
      </c>
      <c r="BN125" s="8">
        <v>0.25900000000000001</v>
      </c>
      <c r="BO125" s="7">
        <v>2.16</v>
      </c>
      <c r="BP125" s="8">
        <v>0.5</v>
      </c>
      <c r="BQ125" s="7">
        <v>73</v>
      </c>
      <c r="BR125" s="7">
        <v>0</v>
      </c>
      <c r="BS125" s="8">
        <v>0</v>
      </c>
      <c r="BT125" s="7" t="s">
        <v>85</v>
      </c>
      <c r="BU125" s="7">
        <v>0.56999999999999995</v>
      </c>
      <c r="BV125" s="7">
        <v>0.21</v>
      </c>
      <c r="BW125" s="7">
        <v>1.73</v>
      </c>
      <c r="BX125" s="8">
        <v>0.184</v>
      </c>
    </row>
    <row r="126" spans="2:76" ht="19.899999999999999" customHeight="1" x14ac:dyDescent="0.3">
      <c r="B126" s="7" t="s">
        <v>165</v>
      </c>
      <c r="C126" s="7">
        <v>3</v>
      </c>
      <c r="D126" s="7">
        <v>0.9</v>
      </c>
      <c r="E126" s="7">
        <v>63</v>
      </c>
      <c r="F126" s="7">
        <v>1.01</v>
      </c>
      <c r="G126" s="7">
        <v>0.72</v>
      </c>
      <c r="H126" s="8">
        <v>0.159</v>
      </c>
      <c r="I126" s="8">
        <v>0.1</v>
      </c>
      <c r="J126" s="7">
        <v>0.51</v>
      </c>
      <c r="K126" s="7">
        <v>0.42</v>
      </c>
      <c r="L126" s="7">
        <v>0.63</v>
      </c>
      <c r="M126" s="7">
        <v>60.3</v>
      </c>
      <c r="N126" s="7">
        <v>0.67</v>
      </c>
      <c r="O126" s="7">
        <v>52.5</v>
      </c>
      <c r="P126" s="7">
        <v>0.51</v>
      </c>
      <c r="Q126" s="7">
        <v>0.59</v>
      </c>
      <c r="R126" s="7">
        <v>59.6</v>
      </c>
      <c r="S126" s="7">
        <v>0.98</v>
      </c>
      <c r="T126" s="7">
        <v>55.5</v>
      </c>
      <c r="U126" s="7">
        <v>0.54</v>
      </c>
      <c r="V126" s="7">
        <v>-8</v>
      </c>
      <c r="W126" s="7">
        <v>0</v>
      </c>
      <c r="X126" s="7" t="s">
        <v>85</v>
      </c>
      <c r="Y126" s="7">
        <v>3</v>
      </c>
      <c r="Z126" s="7">
        <v>0.9</v>
      </c>
      <c r="AA126" s="7">
        <v>3</v>
      </c>
      <c r="AB126" s="7">
        <v>0.9</v>
      </c>
      <c r="AC126" s="7">
        <v>1.5873015873015869E-2</v>
      </c>
      <c r="AD126" s="7">
        <v>0.33333333333333331</v>
      </c>
      <c r="AE126" s="7">
        <v>0.126984126984127</v>
      </c>
      <c r="AF126" s="7">
        <v>4.7619047619047623E-2</v>
      </c>
      <c r="AG126" s="7">
        <v>1</v>
      </c>
      <c r="AH126" s="7">
        <v>1</v>
      </c>
      <c r="AI126" s="7">
        <v>1</v>
      </c>
      <c r="AJ126" s="7">
        <v>1</v>
      </c>
      <c r="AK126" s="7">
        <v>3</v>
      </c>
      <c r="AL126" s="7">
        <v>9.5238095238095233E-2</v>
      </c>
      <c r="AM126" s="7">
        <v>0.92</v>
      </c>
      <c r="AN126" s="7">
        <v>0</v>
      </c>
      <c r="AO126" s="7" t="s">
        <v>85</v>
      </c>
      <c r="AP126" s="7">
        <v>97.6</v>
      </c>
      <c r="AQ126" s="8">
        <v>1</v>
      </c>
      <c r="AR126" s="8">
        <v>7.6999999999999999E-2</v>
      </c>
      <c r="AS126" s="8">
        <v>0.438</v>
      </c>
      <c r="AT126" s="7">
        <v>103</v>
      </c>
      <c r="AU126" s="8">
        <v>0.111</v>
      </c>
      <c r="AV126" s="7">
        <v>0.25435897435897431</v>
      </c>
      <c r="AW126" s="7">
        <v>24.746153846153859</v>
      </c>
      <c r="AX126" s="7">
        <v>0.11</v>
      </c>
      <c r="AY126" s="8">
        <v>7.4999999999999997E-2</v>
      </c>
      <c r="AZ126" s="7">
        <v>0.08</v>
      </c>
      <c r="BA126" s="7">
        <v>2.7</v>
      </c>
      <c r="BB126" s="7">
        <v>7</v>
      </c>
      <c r="BC126" s="7">
        <v>10</v>
      </c>
      <c r="BD126" s="7">
        <v>44</v>
      </c>
      <c r="BE126" s="7">
        <v>15</v>
      </c>
      <c r="BF126" s="7">
        <v>92</v>
      </c>
      <c r="BG126" s="7">
        <v>5</v>
      </c>
      <c r="BH126" s="7">
        <v>61</v>
      </c>
      <c r="BI126" s="8">
        <v>0.438</v>
      </c>
      <c r="BJ126" s="7">
        <v>1.56</v>
      </c>
      <c r="BK126" s="7">
        <v>0.05</v>
      </c>
      <c r="BL126" s="7">
        <v>0.1</v>
      </c>
      <c r="BM126" s="7">
        <v>0.1</v>
      </c>
      <c r="BN126" s="8">
        <v>0.23799999999999999</v>
      </c>
      <c r="BO126" s="7">
        <v>2.2400000000000002</v>
      </c>
      <c r="BP126" s="8">
        <v>1</v>
      </c>
      <c r="BQ126" s="7">
        <v>73</v>
      </c>
      <c r="BR126" s="7">
        <v>0.03</v>
      </c>
      <c r="BS126" s="8">
        <v>6.2E-2</v>
      </c>
      <c r="BT126" s="8">
        <v>4.8000000000000001E-2</v>
      </c>
      <c r="BU126" s="7">
        <v>3.17</v>
      </c>
      <c r="BV126" s="7">
        <v>1.1599999999999999</v>
      </c>
      <c r="BW126" s="7">
        <v>2.06</v>
      </c>
      <c r="BX126" s="8">
        <v>0.219</v>
      </c>
    </row>
    <row r="127" spans="2:76" ht="19.899999999999999" customHeight="1" x14ac:dyDescent="0.3">
      <c r="B127" s="7" t="s">
        <v>120</v>
      </c>
      <c r="C127" s="7">
        <v>9</v>
      </c>
      <c r="D127" s="7">
        <v>0.89</v>
      </c>
      <c r="E127" s="7">
        <v>174</v>
      </c>
      <c r="F127" s="7">
        <v>0.96</v>
      </c>
      <c r="G127" s="7">
        <v>0.8</v>
      </c>
      <c r="H127" s="8">
        <v>0.224</v>
      </c>
      <c r="I127" s="8">
        <v>0.41</v>
      </c>
      <c r="J127" s="7">
        <v>0.91</v>
      </c>
      <c r="K127" s="7">
        <v>0.81</v>
      </c>
      <c r="L127" s="7">
        <v>0.68</v>
      </c>
      <c r="M127" s="7">
        <v>71.3</v>
      </c>
      <c r="N127" s="7">
        <v>-1.76</v>
      </c>
      <c r="O127" s="7">
        <v>60.5</v>
      </c>
      <c r="P127" s="7">
        <v>0.55000000000000004</v>
      </c>
      <c r="Q127" s="7">
        <v>0.67</v>
      </c>
      <c r="R127" s="7">
        <v>69</v>
      </c>
      <c r="S127" s="7">
        <v>0.9</v>
      </c>
      <c r="T127" s="7">
        <v>62</v>
      </c>
      <c r="U127" s="7">
        <v>0.57999999999999996</v>
      </c>
      <c r="V127" s="7">
        <v>-22</v>
      </c>
      <c r="W127" s="7">
        <v>6</v>
      </c>
      <c r="X127" s="7">
        <v>0.84</v>
      </c>
      <c r="Y127" s="7">
        <v>9</v>
      </c>
      <c r="Z127" s="7">
        <v>0.89</v>
      </c>
      <c r="AA127" s="7">
        <v>9</v>
      </c>
      <c r="AB127" s="7">
        <v>0.89</v>
      </c>
      <c r="AC127" s="7">
        <v>9.1954022988505746E-2</v>
      </c>
      <c r="AD127" s="7">
        <v>0.38505747126436779</v>
      </c>
      <c r="AE127" s="7">
        <v>0.13793103448275859</v>
      </c>
      <c r="AF127" s="7">
        <v>2.8735632183908049E-2</v>
      </c>
      <c r="AG127" s="7">
        <v>6</v>
      </c>
      <c r="AH127" s="7">
        <v>4</v>
      </c>
      <c r="AI127" s="7">
        <v>2</v>
      </c>
      <c r="AJ127" s="7">
        <v>1</v>
      </c>
      <c r="AK127" s="7">
        <v>1</v>
      </c>
      <c r="AL127" s="7">
        <v>5.7471264367816091E-3</v>
      </c>
      <c r="AM127" s="7">
        <v>0.76</v>
      </c>
      <c r="AN127" s="7">
        <v>0</v>
      </c>
      <c r="AO127" s="7" t="s">
        <v>85</v>
      </c>
      <c r="AP127" s="7">
        <v>72.5</v>
      </c>
      <c r="AQ127" s="8">
        <v>0.68799999999999994</v>
      </c>
      <c r="AR127" s="8">
        <v>6.7000000000000004E-2</v>
      </c>
      <c r="AS127" s="8">
        <v>0.26</v>
      </c>
      <c r="AT127" s="7">
        <v>110</v>
      </c>
      <c r="AU127" s="8">
        <v>5.1999999999999998E-2</v>
      </c>
      <c r="AV127" s="7">
        <v>0.35733333333333328</v>
      </c>
      <c r="AW127" s="7">
        <v>49.3</v>
      </c>
      <c r="AX127" s="7">
        <v>0.11</v>
      </c>
      <c r="AY127" s="8">
        <v>0.22</v>
      </c>
      <c r="AZ127" s="7">
        <v>0.05</v>
      </c>
      <c r="BA127" s="7">
        <v>5.17</v>
      </c>
      <c r="BB127" s="7">
        <v>14</v>
      </c>
      <c r="BC127" s="7">
        <v>65</v>
      </c>
      <c r="BD127" s="7">
        <v>22</v>
      </c>
      <c r="BE127" s="7">
        <v>44</v>
      </c>
      <c r="BF127" s="7">
        <v>23</v>
      </c>
      <c r="BG127" s="7">
        <v>0</v>
      </c>
      <c r="BH127" s="7">
        <v>80</v>
      </c>
      <c r="BI127" s="8">
        <v>0.46899999999999997</v>
      </c>
      <c r="BJ127" s="7">
        <v>1.125728155339806</v>
      </c>
      <c r="BK127" s="7">
        <v>0.15</v>
      </c>
      <c r="BL127" s="7">
        <v>0.06</v>
      </c>
      <c r="BM127" s="7">
        <v>0.11</v>
      </c>
      <c r="BN127" s="8">
        <v>0.24099999999999999</v>
      </c>
      <c r="BO127" s="7">
        <v>2.56</v>
      </c>
      <c r="BP127" s="8">
        <v>1</v>
      </c>
      <c r="BQ127" s="7">
        <v>73</v>
      </c>
      <c r="BR127" s="7">
        <v>0.01</v>
      </c>
      <c r="BS127" s="8">
        <v>0.01</v>
      </c>
      <c r="BT127" s="8">
        <v>6.0000000000000001E-3</v>
      </c>
      <c r="BU127" s="7">
        <v>1.72</v>
      </c>
      <c r="BV127" s="7">
        <v>0.89</v>
      </c>
      <c r="BW127" s="7">
        <v>2.4</v>
      </c>
      <c r="BX127" s="8">
        <v>0.19800000000000001</v>
      </c>
    </row>
    <row r="128" spans="2:76" ht="19.899999999999999" customHeight="1" x14ac:dyDescent="0.3">
      <c r="B128" s="7" t="s">
        <v>168</v>
      </c>
      <c r="C128" s="7">
        <v>2</v>
      </c>
      <c r="D128" s="7">
        <v>0.88</v>
      </c>
      <c r="E128" s="7">
        <v>39</v>
      </c>
      <c r="F128" s="7">
        <v>0.39</v>
      </c>
      <c r="G128" s="7">
        <v>1.18</v>
      </c>
      <c r="H128" s="8">
        <v>0.17899999999999999</v>
      </c>
      <c r="I128" s="8">
        <v>0.28599999999999998</v>
      </c>
      <c r="J128" s="7">
        <v>0.71</v>
      </c>
      <c r="K128" s="7">
        <v>0.01</v>
      </c>
      <c r="L128" s="7">
        <v>0.85</v>
      </c>
      <c r="M128" s="7">
        <v>64.099999999999994</v>
      </c>
      <c r="N128" s="7">
        <v>-1.04</v>
      </c>
      <c r="O128" s="7">
        <v>56.2</v>
      </c>
      <c r="P128" s="7">
        <v>0.54</v>
      </c>
      <c r="Q128" s="7">
        <v>0.88</v>
      </c>
      <c r="R128" s="7">
        <v>60.2</v>
      </c>
      <c r="S128" s="7">
        <v>0.94</v>
      </c>
      <c r="T128" s="7">
        <v>59.4</v>
      </c>
      <c r="U128" s="7">
        <v>0.59</v>
      </c>
      <c r="V128" s="7">
        <v>-12</v>
      </c>
      <c r="W128" s="7">
        <v>0</v>
      </c>
      <c r="X128" s="7" t="s">
        <v>85</v>
      </c>
      <c r="Y128" s="7">
        <v>0</v>
      </c>
      <c r="Z128" s="7" t="s">
        <v>85</v>
      </c>
      <c r="AA128" s="7">
        <v>2</v>
      </c>
      <c r="AB128" s="7">
        <v>0.88</v>
      </c>
      <c r="AC128" s="7">
        <v>5.128205128205128E-2</v>
      </c>
      <c r="AD128" s="7">
        <v>0.38461538461538458</v>
      </c>
      <c r="AE128" s="7">
        <v>0.1025641025641026</v>
      </c>
      <c r="AF128" s="7">
        <v>5.128205128205128E-2</v>
      </c>
      <c r="AG128" s="7">
        <v>1</v>
      </c>
      <c r="AH128" s="7">
        <v>0</v>
      </c>
      <c r="AI128" s="7">
        <v>0</v>
      </c>
      <c r="AJ128" s="7">
        <v>0</v>
      </c>
      <c r="AK128" s="7">
        <v>1</v>
      </c>
      <c r="AL128" s="7">
        <v>5.128205128205128E-2</v>
      </c>
      <c r="AM128" s="7">
        <v>1</v>
      </c>
      <c r="AN128" s="7">
        <v>0</v>
      </c>
      <c r="AO128" s="7" t="s">
        <v>85</v>
      </c>
      <c r="AP128" s="7">
        <v>99.2</v>
      </c>
      <c r="AQ128" s="8">
        <v>0</v>
      </c>
      <c r="AR128" s="8">
        <v>3.7999999999999999E-2</v>
      </c>
      <c r="AS128" s="8">
        <v>0.33300000000000002</v>
      </c>
      <c r="AT128" s="7">
        <v>104</v>
      </c>
      <c r="AU128" s="8">
        <v>0.17899999999999999</v>
      </c>
      <c r="AV128" s="7">
        <v>0.30769230769230771</v>
      </c>
      <c r="AW128" s="7">
        <v>34.700000000000003</v>
      </c>
      <c r="AX128" s="7">
        <v>0.21</v>
      </c>
      <c r="AY128" s="8">
        <v>0.30299999999999999</v>
      </c>
      <c r="AZ128" s="7">
        <v>0</v>
      </c>
      <c r="BA128" s="7">
        <v>3.05</v>
      </c>
      <c r="BB128" s="7">
        <v>4</v>
      </c>
      <c r="BC128" s="7">
        <v>92</v>
      </c>
      <c r="BD128" s="7">
        <v>99</v>
      </c>
      <c r="BE128" s="7">
        <v>11</v>
      </c>
      <c r="BF128" s="7">
        <v>97</v>
      </c>
      <c r="BG128" s="7">
        <v>0</v>
      </c>
      <c r="BH128" s="7">
        <v>8</v>
      </c>
      <c r="BI128" s="8">
        <v>0.61899999999999999</v>
      </c>
      <c r="BJ128" s="7" t="s">
        <v>85</v>
      </c>
      <c r="BK128" s="7">
        <v>0.26</v>
      </c>
      <c r="BL128" s="7">
        <v>0.18</v>
      </c>
      <c r="BM128" s="7">
        <v>0.21</v>
      </c>
      <c r="BN128" s="8">
        <v>0.17899999999999999</v>
      </c>
      <c r="BO128" s="7">
        <v>1.41</v>
      </c>
      <c r="BP128" s="7" t="s">
        <v>85</v>
      </c>
      <c r="BQ128" s="7">
        <v>72</v>
      </c>
      <c r="BR128" s="7">
        <v>0</v>
      </c>
      <c r="BS128" s="8">
        <v>0</v>
      </c>
      <c r="BT128" s="7" t="s">
        <v>85</v>
      </c>
      <c r="BU128" s="7">
        <v>0</v>
      </c>
      <c r="BV128" s="7">
        <v>0.21</v>
      </c>
      <c r="BW128" s="7">
        <v>1.01</v>
      </c>
      <c r="BX128" s="8">
        <v>0.38100000000000001</v>
      </c>
    </row>
    <row r="129" spans="2:76" ht="19.899999999999999" customHeight="1" x14ac:dyDescent="0.3">
      <c r="B129" s="7" t="s">
        <v>162</v>
      </c>
      <c r="C129" s="7">
        <v>2</v>
      </c>
      <c r="D129" s="7">
        <v>0.87</v>
      </c>
      <c r="E129" s="7">
        <v>39</v>
      </c>
      <c r="F129" s="7">
        <v>0.59</v>
      </c>
      <c r="G129" s="7">
        <v>1.05</v>
      </c>
      <c r="H129" s="8">
        <v>0.308</v>
      </c>
      <c r="I129" s="8">
        <v>0.25</v>
      </c>
      <c r="J129" s="7">
        <v>0.67</v>
      </c>
      <c r="K129" s="7">
        <v>0.71</v>
      </c>
      <c r="L129" s="7">
        <v>0.77</v>
      </c>
      <c r="M129" s="7">
        <v>66.7</v>
      </c>
      <c r="N129" s="7">
        <v>-1.68</v>
      </c>
      <c r="O129" s="7">
        <v>65.900000000000006</v>
      </c>
      <c r="P129" s="7">
        <v>0.46</v>
      </c>
      <c r="Q129" s="7">
        <v>0.79</v>
      </c>
      <c r="R129" s="7">
        <v>69</v>
      </c>
      <c r="S129" s="7">
        <v>0.78</v>
      </c>
      <c r="T129" s="7">
        <v>68.3</v>
      </c>
      <c r="U129" s="7">
        <v>0.48</v>
      </c>
      <c r="V129" s="7">
        <v>-12</v>
      </c>
      <c r="W129" s="7">
        <v>0</v>
      </c>
      <c r="X129" s="7" t="s">
        <v>85</v>
      </c>
      <c r="Y129" s="7">
        <v>0</v>
      </c>
      <c r="Z129" s="7" t="s">
        <v>85</v>
      </c>
      <c r="AA129" s="7">
        <v>2</v>
      </c>
      <c r="AB129" s="7">
        <v>0.87</v>
      </c>
      <c r="AC129" s="7">
        <v>7.6923076923076927E-2</v>
      </c>
      <c r="AD129" s="7">
        <v>0.33333333333333331</v>
      </c>
      <c r="AE129" s="7">
        <v>0.1025641025641026</v>
      </c>
      <c r="AF129" s="7">
        <v>2.564102564102564E-2</v>
      </c>
      <c r="AG129" s="7">
        <v>1</v>
      </c>
      <c r="AH129" s="7">
        <v>1</v>
      </c>
      <c r="AI129" s="7">
        <v>0</v>
      </c>
      <c r="AJ129" s="7">
        <v>0</v>
      </c>
      <c r="AK129" s="7">
        <v>1</v>
      </c>
      <c r="AL129" s="7">
        <v>5.128205128205128E-2</v>
      </c>
      <c r="AM129" s="7">
        <v>1.08</v>
      </c>
      <c r="AN129" s="7">
        <v>0</v>
      </c>
      <c r="AO129" s="7" t="s">
        <v>85</v>
      </c>
      <c r="AP129" s="7">
        <v>119.5</v>
      </c>
      <c r="AQ129" s="8">
        <v>1</v>
      </c>
      <c r="AR129" s="8">
        <v>3.7999999999999999E-2</v>
      </c>
      <c r="AS129" s="8">
        <v>0.27800000000000002</v>
      </c>
      <c r="AT129" s="7">
        <v>143</v>
      </c>
      <c r="AU129" s="8">
        <v>0.10299999999999999</v>
      </c>
      <c r="AV129" s="7">
        <v>0.15230769230769231</v>
      </c>
      <c r="AW129" s="7">
        <v>39.100000000000023</v>
      </c>
      <c r="AX129" s="7">
        <v>0.08</v>
      </c>
      <c r="AY129" s="8">
        <v>0.26700000000000002</v>
      </c>
      <c r="AZ129" s="7">
        <v>0</v>
      </c>
      <c r="BA129" s="7">
        <v>7.72</v>
      </c>
      <c r="BB129" s="7">
        <v>7</v>
      </c>
      <c r="BC129" s="7">
        <v>93</v>
      </c>
      <c r="BD129" s="7">
        <v>9</v>
      </c>
      <c r="BE129" s="7">
        <v>48</v>
      </c>
      <c r="BF129" s="7">
        <v>88</v>
      </c>
      <c r="BG129" s="7">
        <v>0</v>
      </c>
      <c r="BH129" s="7">
        <v>66</v>
      </c>
      <c r="BI129" s="8">
        <v>0.61099999999999999</v>
      </c>
      <c r="BJ129" s="7" t="s">
        <v>85</v>
      </c>
      <c r="BK129" s="7">
        <v>0.21</v>
      </c>
      <c r="BL129" s="7">
        <v>0.03</v>
      </c>
      <c r="BM129" s="7">
        <v>0.13</v>
      </c>
      <c r="BN129" s="8">
        <v>0.25600000000000001</v>
      </c>
      <c r="BO129" s="7">
        <v>2.59</v>
      </c>
      <c r="BP129" s="7" t="s">
        <v>85</v>
      </c>
      <c r="BQ129" s="7">
        <v>71</v>
      </c>
      <c r="BR129" s="7">
        <v>0</v>
      </c>
      <c r="BS129" s="8">
        <v>0</v>
      </c>
      <c r="BT129" s="7" t="s">
        <v>85</v>
      </c>
      <c r="BU129" s="7">
        <v>0</v>
      </c>
      <c r="BV129" s="7">
        <v>0.59</v>
      </c>
      <c r="BW129" s="7">
        <v>2.44</v>
      </c>
      <c r="BX129" s="8">
        <v>0.16700000000000001</v>
      </c>
    </row>
    <row r="130" spans="2:76" ht="19.899999999999999" customHeight="1" x14ac:dyDescent="0.3">
      <c r="B130" s="7" t="s">
        <v>161</v>
      </c>
      <c r="C130" s="7">
        <v>3</v>
      </c>
      <c r="D130" s="7">
        <v>0.86</v>
      </c>
      <c r="E130" s="7">
        <v>63</v>
      </c>
      <c r="F130" s="7">
        <v>0.89</v>
      </c>
      <c r="G130" s="7">
        <v>0.82</v>
      </c>
      <c r="H130" s="8">
        <v>0.254</v>
      </c>
      <c r="I130" s="8">
        <v>0.438</v>
      </c>
      <c r="J130" s="7">
        <v>0.98</v>
      </c>
      <c r="K130" s="7">
        <v>0.7</v>
      </c>
      <c r="L130" s="7">
        <v>0.71</v>
      </c>
      <c r="M130" s="7">
        <v>71.400000000000006</v>
      </c>
      <c r="N130" s="7">
        <v>-0.78</v>
      </c>
      <c r="O130" s="7">
        <v>61.4</v>
      </c>
      <c r="P130" s="7">
        <v>0.54</v>
      </c>
      <c r="Q130" s="7">
        <v>0.69</v>
      </c>
      <c r="R130" s="7">
        <v>70.099999999999994</v>
      </c>
      <c r="S130" s="7">
        <v>0.64</v>
      </c>
      <c r="T130" s="7">
        <v>63.3</v>
      </c>
      <c r="U130" s="7">
        <v>0.56000000000000005</v>
      </c>
      <c r="V130" s="7">
        <v>-11</v>
      </c>
      <c r="W130" s="7">
        <v>0</v>
      </c>
      <c r="X130" s="7" t="s">
        <v>85</v>
      </c>
      <c r="Y130" s="7">
        <v>3</v>
      </c>
      <c r="Z130" s="7">
        <v>0.86</v>
      </c>
      <c r="AA130" s="7">
        <v>3</v>
      </c>
      <c r="AB130" s="7">
        <v>0.86</v>
      </c>
      <c r="AC130" s="7">
        <v>0.1111111111111111</v>
      </c>
      <c r="AD130" s="7">
        <v>0.41269841269841268</v>
      </c>
      <c r="AE130" s="7">
        <v>0.126984126984127</v>
      </c>
      <c r="AF130" s="7">
        <v>0</v>
      </c>
      <c r="AG130" s="7">
        <v>2</v>
      </c>
      <c r="AH130" s="7">
        <v>1</v>
      </c>
      <c r="AI130" s="7">
        <v>0</v>
      </c>
      <c r="AJ130" s="7">
        <v>0</v>
      </c>
      <c r="AK130" s="7">
        <v>1</v>
      </c>
      <c r="AL130" s="7">
        <v>3.1746031746031737E-2</v>
      </c>
      <c r="AM130" s="7">
        <v>0.79</v>
      </c>
      <c r="AN130" s="7">
        <v>0</v>
      </c>
      <c r="AO130" s="7" t="s">
        <v>85</v>
      </c>
      <c r="AP130" s="7">
        <v>88.8</v>
      </c>
      <c r="AQ130" s="8">
        <v>0.42899999999999999</v>
      </c>
      <c r="AR130" s="8">
        <v>7.6999999999999999E-2</v>
      </c>
      <c r="AS130" s="8">
        <v>0.26500000000000001</v>
      </c>
      <c r="AT130" s="7">
        <v>114</v>
      </c>
      <c r="AU130" s="8">
        <v>0.111</v>
      </c>
      <c r="AV130" s="7">
        <v>0.38564102564102559</v>
      </c>
      <c r="AW130" s="7">
        <v>44.53846153846154</v>
      </c>
      <c r="AX130" s="7">
        <v>0.06</v>
      </c>
      <c r="AY130" s="8">
        <v>0.13300000000000001</v>
      </c>
      <c r="AZ130" s="7">
        <v>0.02</v>
      </c>
      <c r="BA130" s="7">
        <v>4.6500000000000004</v>
      </c>
      <c r="BB130" s="7">
        <v>10</v>
      </c>
      <c r="BC130" s="7">
        <v>15</v>
      </c>
      <c r="BD130" s="7">
        <v>15</v>
      </c>
      <c r="BE130" s="7">
        <v>60</v>
      </c>
      <c r="BF130" s="7">
        <v>74</v>
      </c>
      <c r="BG130" s="7">
        <v>0</v>
      </c>
      <c r="BH130" s="7">
        <v>57</v>
      </c>
      <c r="BI130" s="8">
        <v>0.52900000000000003</v>
      </c>
      <c r="BJ130" s="7">
        <v>1.06</v>
      </c>
      <c r="BK130" s="7">
        <v>0.1</v>
      </c>
      <c r="BL130" s="7">
        <v>0.1</v>
      </c>
      <c r="BM130" s="7">
        <v>0.08</v>
      </c>
      <c r="BN130" s="8">
        <v>0.27</v>
      </c>
      <c r="BO130" s="7">
        <v>2.63</v>
      </c>
      <c r="BP130" s="7" t="s">
        <v>85</v>
      </c>
      <c r="BQ130" s="7">
        <v>74</v>
      </c>
      <c r="BR130" s="7">
        <v>0</v>
      </c>
      <c r="BS130" s="8">
        <v>0</v>
      </c>
      <c r="BT130" s="7" t="s">
        <v>85</v>
      </c>
      <c r="BU130" s="7">
        <v>3.17</v>
      </c>
      <c r="BV130" s="7">
        <v>0.56999999999999995</v>
      </c>
      <c r="BW130" s="7">
        <v>2.35</v>
      </c>
      <c r="BX130" s="8">
        <v>0.11799999999999999</v>
      </c>
    </row>
    <row r="131" spans="2:76" ht="19.899999999999999" customHeight="1" x14ac:dyDescent="0.3">
      <c r="B131" s="7" t="s">
        <v>170</v>
      </c>
      <c r="C131" s="7">
        <v>2</v>
      </c>
      <c r="D131" s="7">
        <v>0.86</v>
      </c>
      <c r="E131" s="7">
        <v>35</v>
      </c>
      <c r="F131" s="7">
        <v>1.08</v>
      </c>
      <c r="G131" s="7">
        <v>0.62</v>
      </c>
      <c r="H131" s="8">
        <v>0.14299999999999999</v>
      </c>
      <c r="I131" s="8">
        <v>0.6</v>
      </c>
      <c r="J131" s="7">
        <v>1</v>
      </c>
      <c r="K131" s="7">
        <v>0.49</v>
      </c>
      <c r="L131" s="7">
        <v>0.86</v>
      </c>
      <c r="M131" s="7">
        <v>65.7</v>
      </c>
      <c r="N131" s="7">
        <v>-3.79</v>
      </c>
      <c r="O131" s="7">
        <v>63</v>
      </c>
      <c r="P131" s="7">
        <v>0.66</v>
      </c>
      <c r="Q131" s="7">
        <v>0.85</v>
      </c>
      <c r="R131" s="7">
        <v>71.900000000000006</v>
      </c>
      <c r="S131" s="7">
        <v>0.93</v>
      </c>
      <c r="T131" s="7">
        <v>69.599999999999994</v>
      </c>
      <c r="U131" s="7">
        <v>0.7</v>
      </c>
      <c r="V131" s="7">
        <v>-7</v>
      </c>
      <c r="W131" s="7">
        <v>2</v>
      </c>
      <c r="X131" s="7">
        <v>0.86</v>
      </c>
      <c r="Y131" s="7">
        <v>2</v>
      </c>
      <c r="Z131" s="7">
        <v>0.86</v>
      </c>
      <c r="AA131" s="7">
        <v>2</v>
      </c>
      <c r="AB131" s="7">
        <v>0.86</v>
      </c>
      <c r="AC131" s="7">
        <v>8.5714285714285715E-2</v>
      </c>
      <c r="AD131" s="7">
        <v>0.51428571428571423</v>
      </c>
      <c r="AE131" s="7">
        <v>8.5714285714285715E-2</v>
      </c>
      <c r="AF131" s="7">
        <v>5.7142857142857141E-2</v>
      </c>
      <c r="AG131" s="7">
        <v>1</v>
      </c>
      <c r="AH131" s="7">
        <v>1</v>
      </c>
      <c r="AI131" s="7">
        <v>1</v>
      </c>
      <c r="AJ131" s="7">
        <v>0</v>
      </c>
      <c r="AK131" s="7">
        <v>0</v>
      </c>
      <c r="AL131" s="7">
        <v>0</v>
      </c>
      <c r="AM131" s="7">
        <v>0.89</v>
      </c>
      <c r="AN131" s="7">
        <v>0</v>
      </c>
      <c r="AO131" s="7" t="s">
        <v>85</v>
      </c>
      <c r="AP131" s="7">
        <v>89.4</v>
      </c>
      <c r="AQ131" s="8">
        <v>0.66700000000000004</v>
      </c>
      <c r="AR131" s="8">
        <v>3.7999999999999999E-2</v>
      </c>
      <c r="AS131" s="8">
        <v>0.435</v>
      </c>
      <c r="AT131" s="7">
        <v>96</v>
      </c>
      <c r="AU131" s="8">
        <v>0.22900000000000001</v>
      </c>
      <c r="AV131" s="7">
        <v>0.57653846153846156</v>
      </c>
      <c r="AW131" s="7">
        <v>53.861538461538473</v>
      </c>
      <c r="AX131" s="7">
        <v>0.14000000000000001</v>
      </c>
      <c r="AY131" s="8">
        <v>0.16700000000000001</v>
      </c>
      <c r="AZ131" s="7">
        <v>0.03</v>
      </c>
      <c r="BA131" s="7">
        <v>1.31</v>
      </c>
      <c r="BB131" s="7">
        <v>19</v>
      </c>
      <c r="BC131" s="7">
        <v>23</v>
      </c>
      <c r="BD131" s="7">
        <v>53</v>
      </c>
      <c r="BE131" s="7">
        <v>32</v>
      </c>
      <c r="BF131" s="7">
        <v>24</v>
      </c>
      <c r="BG131" s="7">
        <v>56</v>
      </c>
      <c r="BH131" s="7">
        <v>43</v>
      </c>
      <c r="BI131" s="8">
        <v>0.435</v>
      </c>
      <c r="BJ131" s="7" t="s">
        <v>85</v>
      </c>
      <c r="BK131" s="7">
        <v>0.14000000000000001</v>
      </c>
      <c r="BL131" s="7">
        <v>0.09</v>
      </c>
      <c r="BM131" s="7">
        <v>0.03</v>
      </c>
      <c r="BN131" s="8">
        <v>8.5999999999999993E-2</v>
      </c>
      <c r="BO131" s="7">
        <v>1.8</v>
      </c>
      <c r="BP131" s="7" t="s">
        <v>85</v>
      </c>
      <c r="BQ131" s="7">
        <v>69</v>
      </c>
      <c r="BR131" s="7">
        <v>0.23</v>
      </c>
      <c r="BS131" s="8">
        <v>0.34799999999999998</v>
      </c>
      <c r="BT131" s="8">
        <v>0.17100000000000001</v>
      </c>
      <c r="BU131" s="7">
        <v>0</v>
      </c>
      <c r="BV131" s="7">
        <v>0.8</v>
      </c>
      <c r="BW131" s="7">
        <v>1.3</v>
      </c>
      <c r="BX131" s="8">
        <v>0.217</v>
      </c>
    </row>
    <row r="132" spans="2:76" ht="19.899999999999999" customHeight="1" x14ac:dyDescent="0.3">
      <c r="B132" s="7" t="s">
        <v>166</v>
      </c>
      <c r="C132" s="7">
        <v>2</v>
      </c>
      <c r="D132" s="7">
        <v>0.86</v>
      </c>
      <c r="E132" s="7">
        <v>35</v>
      </c>
      <c r="F132" s="7">
        <v>0.56999999999999995</v>
      </c>
      <c r="G132" s="7">
        <v>1.1599999999999999</v>
      </c>
      <c r="H132" s="8">
        <v>0.2</v>
      </c>
      <c r="I132" s="8">
        <v>0.57099999999999995</v>
      </c>
      <c r="J132" s="7">
        <v>1.1000000000000001</v>
      </c>
      <c r="K132" s="7">
        <v>0.71</v>
      </c>
      <c r="L132" s="7">
        <v>0.89</v>
      </c>
      <c r="M132" s="7">
        <v>62.9</v>
      </c>
      <c r="N132" s="7">
        <v>-1.9</v>
      </c>
      <c r="O132" s="7">
        <v>79.400000000000006</v>
      </c>
      <c r="P132" s="7">
        <v>0.51</v>
      </c>
      <c r="Q132" s="7">
        <v>0.88</v>
      </c>
      <c r="R132" s="7">
        <v>57.6</v>
      </c>
      <c r="S132" s="7">
        <v>0.86</v>
      </c>
      <c r="T132" s="7">
        <v>83</v>
      </c>
      <c r="U132" s="7">
        <v>0.55000000000000004</v>
      </c>
      <c r="V132" s="7">
        <v>-13</v>
      </c>
      <c r="W132" s="7">
        <v>2</v>
      </c>
      <c r="X132" s="7">
        <v>0.86</v>
      </c>
      <c r="Y132" s="7">
        <v>2</v>
      </c>
      <c r="Z132" s="7">
        <v>0.86</v>
      </c>
      <c r="AA132" s="7">
        <v>2</v>
      </c>
      <c r="AB132" s="7">
        <v>0.86</v>
      </c>
      <c r="AC132" s="7">
        <v>0.1142857142857143</v>
      </c>
      <c r="AD132" s="7">
        <v>0.42857142857142849</v>
      </c>
      <c r="AE132" s="7">
        <v>5.7142857142857141E-2</v>
      </c>
      <c r="AF132" s="7">
        <v>2.8571428571428571E-2</v>
      </c>
      <c r="AG132" s="7">
        <v>1</v>
      </c>
      <c r="AH132" s="7">
        <v>1</v>
      </c>
      <c r="AI132" s="7">
        <v>0</v>
      </c>
      <c r="AJ132" s="7">
        <v>0</v>
      </c>
      <c r="AK132" s="7">
        <v>0</v>
      </c>
      <c r="AL132" s="7">
        <v>0</v>
      </c>
      <c r="AM132" s="7">
        <v>0.78</v>
      </c>
      <c r="AN132" s="7">
        <v>0</v>
      </c>
      <c r="AO132" s="7" t="s">
        <v>85</v>
      </c>
      <c r="AP132" s="7">
        <v>95.4</v>
      </c>
      <c r="AQ132" s="8">
        <v>0.5</v>
      </c>
      <c r="AR132" s="8">
        <v>0</v>
      </c>
      <c r="AS132" s="8">
        <v>0.222</v>
      </c>
      <c r="AT132" s="7">
        <v>154</v>
      </c>
      <c r="AU132" s="8">
        <v>0.114</v>
      </c>
      <c r="AV132" s="7">
        <v>0.42230769230769227</v>
      </c>
      <c r="AW132" s="7">
        <v>73.861538461538458</v>
      </c>
      <c r="AX132" s="7">
        <v>0.06</v>
      </c>
      <c r="AY132" s="8">
        <v>9.7000000000000003E-2</v>
      </c>
      <c r="AZ132" s="7">
        <v>0.03</v>
      </c>
      <c r="BA132" s="7">
        <v>11.06</v>
      </c>
      <c r="BB132" s="7">
        <v>27</v>
      </c>
      <c r="BC132" s="7">
        <v>15</v>
      </c>
      <c r="BD132" s="7">
        <v>3</v>
      </c>
      <c r="BE132" s="7">
        <v>60</v>
      </c>
      <c r="BF132" s="7">
        <v>16</v>
      </c>
      <c r="BG132" s="7">
        <v>0</v>
      </c>
      <c r="BH132" s="7">
        <v>84</v>
      </c>
      <c r="BI132" s="8">
        <v>0.44400000000000001</v>
      </c>
      <c r="BJ132" s="7" t="s">
        <v>85</v>
      </c>
      <c r="BK132" s="7">
        <v>0.09</v>
      </c>
      <c r="BL132" s="7">
        <v>0.06</v>
      </c>
      <c r="BM132" s="7">
        <v>0.09</v>
      </c>
      <c r="BN132" s="8">
        <v>0.17100000000000001</v>
      </c>
      <c r="BO132" s="7">
        <v>3.66</v>
      </c>
      <c r="BP132" s="7" t="s">
        <v>85</v>
      </c>
      <c r="BQ132" s="7">
        <v>67</v>
      </c>
      <c r="BR132" s="7">
        <v>0</v>
      </c>
      <c r="BS132" s="8">
        <v>0</v>
      </c>
      <c r="BT132" s="7" t="s">
        <v>85</v>
      </c>
      <c r="BU132" s="7">
        <v>0</v>
      </c>
      <c r="BV132" s="7">
        <v>0.8</v>
      </c>
      <c r="BW132" s="7">
        <v>2.76</v>
      </c>
      <c r="BX132" s="8">
        <v>0.111</v>
      </c>
    </row>
    <row r="133" spans="2:76" ht="19.899999999999999" customHeight="1" x14ac:dyDescent="0.3">
      <c r="B133" s="7" t="s">
        <v>173</v>
      </c>
      <c r="C133" s="7">
        <v>3</v>
      </c>
      <c r="D133" s="7">
        <v>0.84</v>
      </c>
      <c r="E133" s="7">
        <v>63</v>
      </c>
      <c r="F133" s="7">
        <v>0.93</v>
      </c>
      <c r="G133" s="7">
        <v>0.69</v>
      </c>
      <c r="H133" s="8">
        <v>0.222</v>
      </c>
      <c r="I133" s="8">
        <v>0.57099999999999995</v>
      </c>
      <c r="J133" s="7">
        <v>1.1399999999999999</v>
      </c>
      <c r="K133" s="7">
        <v>1.02</v>
      </c>
      <c r="L133" s="7">
        <v>0.73</v>
      </c>
      <c r="M133" s="7">
        <v>63.5</v>
      </c>
      <c r="N133" s="7">
        <v>-2.09</v>
      </c>
      <c r="O133" s="7">
        <v>70.2</v>
      </c>
      <c r="P133" s="7">
        <v>0.52</v>
      </c>
      <c r="Q133" s="7">
        <v>0.72</v>
      </c>
      <c r="R133" s="7">
        <v>60.3</v>
      </c>
      <c r="S133" s="7">
        <v>0.87</v>
      </c>
      <c r="T133" s="7">
        <v>73.7</v>
      </c>
      <c r="U133" s="7">
        <v>0.56999999999999995</v>
      </c>
      <c r="V133" s="7">
        <v>-13</v>
      </c>
      <c r="W133" s="7">
        <v>0</v>
      </c>
      <c r="X133" s="7" t="s">
        <v>85</v>
      </c>
      <c r="Y133" s="7">
        <v>3</v>
      </c>
      <c r="Z133" s="7">
        <v>0.84</v>
      </c>
      <c r="AA133" s="7">
        <v>3</v>
      </c>
      <c r="AB133" s="7">
        <v>0.84</v>
      </c>
      <c r="AC133" s="7">
        <v>0.126984126984127</v>
      </c>
      <c r="AD133" s="7">
        <v>0.36507936507936511</v>
      </c>
      <c r="AE133" s="7">
        <v>0.14285714285714279</v>
      </c>
      <c r="AF133" s="7">
        <v>1.5873015873015869E-2</v>
      </c>
      <c r="AG133" s="7">
        <v>2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0.96</v>
      </c>
      <c r="AN133" s="7">
        <v>0</v>
      </c>
      <c r="AO133" s="7" t="s">
        <v>85</v>
      </c>
      <c r="AP133" s="7">
        <v>112.6</v>
      </c>
      <c r="AQ133" s="8">
        <v>0.75</v>
      </c>
      <c r="AR133" s="8">
        <v>0.128</v>
      </c>
      <c r="AS133" s="8">
        <v>0.121</v>
      </c>
      <c r="AT133" s="7">
        <v>134</v>
      </c>
      <c r="AU133" s="8">
        <v>0.127</v>
      </c>
      <c r="AV133" s="7">
        <v>0.25538461538461538</v>
      </c>
      <c r="AW133" s="7">
        <v>44.107692307692332</v>
      </c>
      <c r="AX133" s="7">
        <v>0.08</v>
      </c>
      <c r="AY133" s="8">
        <v>4.2999999999999997E-2</v>
      </c>
      <c r="AZ133" s="7">
        <v>0.08</v>
      </c>
      <c r="BA133" s="7">
        <v>4.08</v>
      </c>
      <c r="BB133" s="7">
        <v>25</v>
      </c>
      <c r="BC133" s="7">
        <v>26</v>
      </c>
      <c r="BD133" s="7">
        <v>13</v>
      </c>
      <c r="BE133" s="7">
        <v>78</v>
      </c>
      <c r="BF133" s="7">
        <v>20</v>
      </c>
      <c r="BG133" s="7">
        <v>0</v>
      </c>
      <c r="BH133" s="7">
        <v>64</v>
      </c>
      <c r="BI133" s="8">
        <v>0.48499999999999999</v>
      </c>
      <c r="BJ133" s="7">
        <v>0.99</v>
      </c>
      <c r="BK133" s="7">
        <v>0.03</v>
      </c>
      <c r="BL133" s="7">
        <v>0.1</v>
      </c>
      <c r="BM133" s="7">
        <v>0.11</v>
      </c>
      <c r="BN133" s="8">
        <v>0.254</v>
      </c>
      <c r="BO133" s="7">
        <v>2.78</v>
      </c>
      <c r="BP133" s="7" t="s">
        <v>85</v>
      </c>
      <c r="BQ133" s="7">
        <v>72</v>
      </c>
      <c r="BR133" s="7">
        <v>0</v>
      </c>
      <c r="BS133" s="8">
        <v>0</v>
      </c>
      <c r="BT133" s="7" t="s">
        <v>85</v>
      </c>
      <c r="BU133" s="7">
        <v>0</v>
      </c>
      <c r="BV133" s="7">
        <v>0.65</v>
      </c>
      <c r="BW133" s="7">
        <v>2.91</v>
      </c>
      <c r="BX133" s="8">
        <v>0.152</v>
      </c>
    </row>
    <row r="134" spans="2:76" ht="19.899999999999999" customHeight="1" x14ac:dyDescent="0.3">
      <c r="B134" s="7" t="s">
        <v>182</v>
      </c>
      <c r="C134" s="7">
        <v>2</v>
      </c>
      <c r="D134" s="7">
        <v>0.81</v>
      </c>
      <c r="E134" s="7">
        <v>35</v>
      </c>
      <c r="F134" s="7">
        <v>0.95</v>
      </c>
      <c r="G134" s="7">
        <v>0.66</v>
      </c>
      <c r="H134" s="8">
        <v>0.114</v>
      </c>
      <c r="I134" s="8">
        <v>0.25</v>
      </c>
      <c r="J134" s="7">
        <v>0.67</v>
      </c>
      <c r="K134" s="7">
        <v>1.69</v>
      </c>
      <c r="L134" s="7">
        <v>0.77</v>
      </c>
      <c r="M134" s="7">
        <v>65.7</v>
      </c>
      <c r="N134" s="7">
        <v>-3.93</v>
      </c>
      <c r="O134" s="7">
        <v>55.1</v>
      </c>
      <c r="P134" s="7">
        <v>0.54</v>
      </c>
      <c r="Q134" s="7">
        <v>0.71</v>
      </c>
      <c r="R134" s="7">
        <v>70.400000000000006</v>
      </c>
      <c r="S134" s="7">
        <v>1</v>
      </c>
      <c r="T134" s="7">
        <v>59.3</v>
      </c>
      <c r="U134" s="7">
        <v>0.59</v>
      </c>
      <c r="V134" s="7">
        <v>-8</v>
      </c>
      <c r="W134" s="7">
        <v>2</v>
      </c>
      <c r="X134" s="7">
        <v>0.81</v>
      </c>
      <c r="Y134" s="7">
        <v>2</v>
      </c>
      <c r="Z134" s="7">
        <v>0.81</v>
      </c>
      <c r="AA134" s="7">
        <v>2</v>
      </c>
      <c r="AB134" s="7">
        <v>0.81</v>
      </c>
      <c r="AC134" s="7">
        <v>2.8571428571428571E-2</v>
      </c>
      <c r="AD134" s="7">
        <v>0.37142857142857139</v>
      </c>
      <c r="AE134" s="7">
        <v>0.1142857142857143</v>
      </c>
      <c r="AF134" s="7">
        <v>5.7142857142857141E-2</v>
      </c>
      <c r="AG134" s="7">
        <v>1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0.33</v>
      </c>
      <c r="AN134" s="7">
        <v>0</v>
      </c>
      <c r="AO134" s="7" t="s">
        <v>85</v>
      </c>
      <c r="AP134" s="7">
        <v>31.2</v>
      </c>
      <c r="AQ134" s="8">
        <v>0</v>
      </c>
      <c r="AR134" s="8">
        <v>3.7999999999999999E-2</v>
      </c>
      <c r="AS134" s="8">
        <v>0.36799999999999999</v>
      </c>
      <c r="AT134" s="7">
        <v>102</v>
      </c>
      <c r="AU134" s="8">
        <v>0.22900000000000001</v>
      </c>
      <c r="AV134" s="7">
        <v>0.61653846153846159</v>
      </c>
      <c r="AW134" s="7">
        <v>63.373076923076923</v>
      </c>
      <c r="AX134" s="7">
        <v>0.11</v>
      </c>
      <c r="AY134" s="8">
        <v>0.111</v>
      </c>
      <c r="AZ134" s="7">
        <v>0</v>
      </c>
      <c r="BA134" s="7">
        <v>0.6</v>
      </c>
      <c r="BB134" s="7">
        <v>5</v>
      </c>
      <c r="BC134" s="7">
        <v>9</v>
      </c>
      <c r="BD134" s="7">
        <v>51</v>
      </c>
      <c r="BE134" s="7">
        <v>1</v>
      </c>
      <c r="BF134" s="7">
        <v>25</v>
      </c>
      <c r="BG134" s="7">
        <v>0</v>
      </c>
      <c r="BH134" s="7">
        <v>5</v>
      </c>
      <c r="BI134" s="8">
        <v>0.63200000000000001</v>
      </c>
      <c r="BJ134" s="7" t="s">
        <v>85</v>
      </c>
      <c r="BK134" s="7">
        <v>0.09</v>
      </c>
      <c r="BL134" s="7">
        <v>0.11</v>
      </c>
      <c r="BM134" s="7">
        <v>0.03</v>
      </c>
      <c r="BN134" s="8">
        <v>0.25700000000000001</v>
      </c>
      <c r="BO134" s="7">
        <v>1.66</v>
      </c>
      <c r="BP134" s="8">
        <v>0</v>
      </c>
      <c r="BQ134" s="7">
        <v>77</v>
      </c>
      <c r="BR134" s="7">
        <v>0</v>
      </c>
      <c r="BS134" s="8">
        <v>0</v>
      </c>
      <c r="BT134" s="7" t="s">
        <v>85</v>
      </c>
      <c r="BU134" s="7">
        <v>0</v>
      </c>
      <c r="BV134" s="7">
        <v>0.28999999999999998</v>
      </c>
      <c r="BW134" s="7">
        <v>1.75</v>
      </c>
      <c r="BX134" s="8">
        <v>0.21099999999999999</v>
      </c>
    </row>
    <row r="135" spans="2:76" ht="19.899999999999999" customHeight="1" x14ac:dyDescent="0.3">
      <c r="B135" s="7" t="s">
        <v>154</v>
      </c>
      <c r="C135" s="7">
        <v>3</v>
      </c>
      <c r="D135" s="7">
        <v>0.81</v>
      </c>
      <c r="E135" s="7">
        <v>63</v>
      </c>
      <c r="F135" s="7">
        <v>0.56999999999999995</v>
      </c>
      <c r="G135" s="7">
        <v>1.19</v>
      </c>
      <c r="H135" s="8">
        <v>0.19</v>
      </c>
      <c r="I135" s="8">
        <v>0.66700000000000004</v>
      </c>
      <c r="J135" s="7">
        <v>1.2</v>
      </c>
      <c r="K135" s="7">
        <v>0.45</v>
      </c>
      <c r="L135" s="7">
        <v>0.78</v>
      </c>
      <c r="M135" s="7">
        <v>68.3</v>
      </c>
      <c r="N135" s="7">
        <v>-2.71</v>
      </c>
      <c r="O135" s="7">
        <v>55.4</v>
      </c>
      <c r="P135" s="7">
        <v>0.56000000000000005</v>
      </c>
      <c r="Q135" s="7">
        <v>0.85</v>
      </c>
      <c r="R135" s="7">
        <v>69.5</v>
      </c>
      <c r="S135" s="7">
        <v>1.18</v>
      </c>
      <c r="T135" s="7">
        <v>56.1</v>
      </c>
      <c r="U135" s="7">
        <v>0.54</v>
      </c>
      <c r="V135" s="7">
        <v>-14</v>
      </c>
      <c r="W135" s="7">
        <v>0</v>
      </c>
      <c r="X135" s="7" t="s">
        <v>85</v>
      </c>
      <c r="Y135" s="7">
        <v>3</v>
      </c>
      <c r="Z135" s="7">
        <v>0.81</v>
      </c>
      <c r="AA135" s="7">
        <v>3</v>
      </c>
      <c r="AB135" s="7">
        <v>0.81</v>
      </c>
      <c r="AC135" s="7">
        <v>0.126984126984127</v>
      </c>
      <c r="AD135" s="7">
        <v>0.41269841269841268</v>
      </c>
      <c r="AE135" s="7">
        <v>9.5238095238095233E-2</v>
      </c>
      <c r="AF135" s="7">
        <v>3.1746031746031737E-2</v>
      </c>
      <c r="AG135" s="7">
        <v>1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0.83</v>
      </c>
      <c r="AN135" s="7">
        <v>0</v>
      </c>
      <c r="AO135" s="7" t="s">
        <v>85</v>
      </c>
      <c r="AP135" s="7">
        <v>94</v>
      </c>
      <c r="AQ135" s="8">
        <v>0.875</v>
      </c>
      <c r="AR135" s="8">
        <v>7.6999999999999999E-2</v>
      </c>
      <c r="AS135" s="8">
        <v>0.25700000000000001</v>
      </c>
      <c r="AT135" s="7">
        <v>100</v>
      </c>
      <c r="AU135" s="8">
        <v>0.159</v>
      </c>
      <c r="AV135" s="7">
        <v>0.38666666666666671</v>
      </c>
      <c r="AW135" s="7">
        <v>31.64615384615384</v>
      </c>
      <c r="AX135" s="7">
        <v>0.08</v>
      </c>
      <c r="AY135" s="8">
        <v>0.20399999999999999</v>
      </c>
      <c r="AZ135" s="7">
        <v>0.1</v>
      </c>
      <c r="BA135" s="7">
        <v>0.68</v>
      </c>
      <c r="BB135" s="7">
        <v>4</v>
      </c>
      <c r="BC135" s="7">
        <v>55</v>
      </c>
      <c r="BD135" s="7">
        <v>5</v>
      </c>
      <c r="BE135" s="7">
        <v>76</v>
      </c>
      <c r="BF135" s="7">
        <v>23</v>
      </c>
      <c r="BG135" s="7">
        <v>81</v>
      </c>
      <c r="BH135" s="7">
        <v>38</v>
      </c>
      <c r="BI135" s="8">
        <v>0.34300000000000003</v>
      </c>
      <c r="BJ135" s="7">
        <v>0.88</v>
      </c>
      <c r="BK135" s="7">
        <v>0.16</v>
      </c>
      <c r="BL135" s="7">
        <v>0.02</v>
      </c>
      <c r="BM135" s="7">
        <v>0.1</v>
      </c>
      <c r="BN135" s="8">
        <v>0.159</v>
      </c>
      <c r="BO135" s="7">
        <v>1.27</v>
      </c>
      <c r="BP135" s="7" t="s">
        <v>85</v>
      </c>
      <c r="BQ135" s="7">
        <v>70</v>
      </c>
      <c r="BR135" s="7">
        <v>0.27</v>
      </c>
      <c r="BS135" s="8">
        <v>0.48599999999999999</v>
      </c>
      <c r="BT135" s="8">
        <v>0.20599999999999999</v>
      </c>
      <c r="BU135" s="7">
        <v>1.59</v>
      </c>
      <c r="BV135" s="7">
        <v>0.54</v>
      </c>
      <c r="BW135" s="7">
        <v>1.55</v>
      </c>
      <c r="BX135" s="8">
        <v>0.14299999999999999</v>
      </c>
    </row>
    <row r="136" spans="2:76" ht="19.899999999999999" customHeight="1" x14ac:dyDescent="0.3">
      <c r="B136" s="7" t="s">
        <v>179</v>
      </c>
      <c r="C136" s="7">
        <v>8</v>
      </c>
      <c r="D136" s="7">
        <v>0.8</v>
      </c>
      <c r="E136" s="7">
        <v>164</v>
      </c>
      <c r="F136" s="7">
        <v>0.89</v>
      </c>
      <c r="G136" s="7">
        <v>0.71</v>
      </c>
      <c r="H136" s="8">
        <v>0.20100000000000001</v>
      </c>
      <c r="I136" s="8">
        <v>0.51500000000000001</v>
      </c>
      <c r="J136" s="7">
        <v>1.02</v>
      </c>
      <c r="K136" s="7">
        <v>0.49</v>
      </c>
      <c r="L136" s="7">
        <v>0.66</v>
      </c>
      <c r="M136" s="7">
        <v>68.900000000000006</v>
      </c>
      <c r="N136" s="7">
        <v>-2.2000000000000002</v>
      </c>
      <c r="O136" s="7">
        <v>58.9</v>
      </c>
      <c r="P136" s="7">
        <v>0.46</v>
      </c>
      <c r="Q136" s="7">
        <v>0.68</v>
      </c>
      <c r="R136" s="7">
        <v>65.5</v>
      </c>
      <c r="S136" s="7">
        <v>0.65</v>
      </c>
      <c r="T136" s="7">
        <v>58.8</v>
      </c>
      <c r="U136" s="7">
        <v>0.46</v>
      </c>
      <c r="V136" s="7">
        <v>-33</v>
      </c>
      <c r="W136" s="7">
        <v>2</v>
      </c>
      <c r="X136" s="7">
        <v>0.56000000000000005</v>
      </c>
      <c r="Y136" s="7">
        <v>4</v>
      </c>
      <c r="Z136" s="7">
        <v>0.8</v>
      </c>
      <c r="AA136" s="7">
        <v>8</v>
      </c>
      <c r="AB136" s="7">
        <v>0.8</v>
      </c>
      <c r="AC136" s="7">
        <v>0.10365853658536579</v>
      </c>
      <c r="AD136" s="7">
        <v>0.36585365853658541</v>
      </c>
      <c r="AE136" s="7">
        <v>7.3170731707317069E-2</v>
      </c>
      <c r="AF136" s="7">
        <v>1.8292682926829271E-2</v>
      </c>
      <c r="AG136" s="7">
        <v>3</v>
      </c>
      <c r="AH136" s="7">
        <v>2</v>
      </c>
      <c r="AI136" s="7">
        <v>2</v>
      </c>
      <c r="AJ136" s="7">
        <v>1</v>
      </c>
      <c r="AK136" s="7">
        <v>2</v>
      </c>
      <c r="AL136" s="7">
        <v>1.2195121951219509E-2</v>
      </c>
      <c r="AM136" s="7">
        <v>0.59</v>
      </c>
      <c r="AN136" s="7">
        <v>0</v>
      </c>
      <c r="AO136" s="7" t="s">
        <v>85</v>
      </c>
      <c r="AP136" s="7">
        <v>67.7</v>
      </c>
      <c r="AQ136" s="8">
        <v>0.82399999999999995</v>
      </c>
      <c r="AR136" s="8">
        <v>9.8000000000000004E-2</v>
      </c>
      <c r="AS136" s="8">
        <v>0.28000000000000003</v>
      </c>
      <c r="AT136" s="7">
        <v>129</v>
      </c>
      <c r="AU136" s="8">
        <v>6.7000000000000004E-2</v>
      </c>
      <c r="AV136" s="7">
        <v>0.23327868852459019</v>
      </c>
      <c r="AW136" s="7">
        <v>44.040983606557383</v>
      </c>
      <c r="AX136" s="7">
        <v>0.08</v>
      </c>
      <c r="AY136" s="8">
        <v>0.20399999999999999</v>
      </c>
      <c r="AZ136" s="7">
        <v>0.1</v>
      </c>
      <c r="BA136" s="7">
        <v>9.33</v>
      </c>
      <c r="BB136" s="7">
        <v>1</v>
      </c>
      <c r="BC136" s="7">
        <v>48</v>
      </c>
      <c r="BD136" s="7">
        <v>12</v>
      </c>
      <c r="BE136" s="7">
        <v>58</v>
      </c>
      <c r="BF136" s="7">
        <v>33</v>
      </c>
      <c r="BG136" s="7">
        <v>0</v>
      </c>
      <c r="BH136" s="7">
        <v>96</v>
      </c>
      <c r="BI136" s="8">
        <v>0.45300000000000001</v>
      </c>
      <c r="BJ136" s="7">
        <v>0.86813793103448278</v>
      </c>
      <c r="BK136" s="7">
        <v>0.13</v>
      </c>
      <c r="BL136" s="7">
        <v>0.05</v>
      </c>
      <c r="BM136" s="7">
        <v>0.1</v>
      </c>
      <c r="BN136" s="8">
        <v>0.28699999999999998</v>
      </c>
      <c r="BO136" s="7">
        <v>2.63</v>
      </c>
      <c r="BP136" s="8">
        <v>1</v>
      </c>
      <c r="BQ136" s="7">
        <v>74</v>
      </c>
      <c r="BR136" s="7">
        <v>0</v>
      </c>
      <c r="BS136" s="8">
        <v>0</v>
      </c>
      <c r="BT136" s="7" t="s">
        <v>85</v>
      </c>
      <c r="BU136" s="7">
        <v>2.44</v>
      </c>
      <c r="BV136" s="7">
        <v>0.98</v>
      </c>
      <c r="BW136" s="7">
        <v>2.73</v>
      </c>
      <c r="BX136" s="8">
        <v>0.17299999999999999</v>
      </c>
    </row>
    <row r="137" spans="2:76" ht="19.899999999999999" customHeight="1" x14ac:dyDescent="0.3">
      <c r="B137" s="7" t="s">
        <v>174</v>
      </c>
      <c r="C137" s="7">
        <v>2</v>
      </c>
      <c r="D137" s="7">
        <v>0.73</v>
      </c>
      <c r="E137" s="7">
        <v>45</v>
      </c>
      <c r="F137" s="7">
        <v>0.78</v>
      </c>
      <c r="G137" s="7">
        <v>0.69</v>
      </c>
      <c r="H137" s="8">
        <v>0.111</v>
      </c>
      <c r="I137" s="8">
        <v>0.6</v>
      </c>
      <c r="J137" s="7">
        <v>0.93</v>
      </c>
      <c r="K137" s="7">
        <v>0.55000000000000004</v>
      </c>
      <c r="L137" s="7">
        <v>0.8</v>
      </c>
      <c r="M137" s="7">
        <v>55.6</v>
      </c>
      <c r="N137" s="7">
        <v>-3.14</v>
      </c>
      <c r="O137" s="7">
        <v>49.5</v>
      </c>
      <c r="P137" s="7">
        <v>0.42</v>
      </c>
      <c r="Q137" s="7">
        <v>0.77</v>
      </c>
      <c r="R137" s="7">
        <v>56.3</v>
      </c>
      <c r="S137" s="7">
        <v>0.92</v>
      </c>
      <c r="T137" s="7">
        <v>54.6</v>
      </c>
      <c r="U137" s="7">
        <v>0.49</v>
      </c>
      <c r="V137" s="7">
        <v>-17</v>
      </c>
      <c r="W137" s="7">
        <v>0</v>
      </c>
      <c r="X137" s="7" t="s">
        <v>85</v>
      </c>
      <c r="Y137" s="7">
        <v>2</v>
      </c>
      <c r="Z137" s="7">
        <v>0.73</v>
      </c>
      <c r="AA137" s="7">
        <v>2</v>
      </c>
      <c r="AB137" s="7">
        <v>0.73</v>
      </c>
      <c r="AC137" s="7">
        <v>6.6666666666666666E-2</v>
      </c>
      <c r="AD137" s="7">
        <v>0.31111111111111112</v>
      </c>
      <c r="AE137" s="7">
        <v>0.1111111111111111</v>
      </c>
      <c r="AF137" s="7">
        <v>0</v>
      </c>
      <c r="AG137" s="7">
        <v>1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0.5</v>
      </c>
      <c r="AN137" s="7">
        <v>0</v>
      </c>
      <c r="AO137" s="7" t="s">
        <v>85</v>
      </c>
      <c r="AP137" s="7">
        <v>58.9</v>
      </c>
      <c r="AQ137" s="8">
        <v>0</v>
      </c>
      <c r="AR137" s="8">
        <v>0</v>
      </c>
      <c r="AS137" s="8">
        <v>0.21099999999999999</v>
      </c>
      <c r="AT137" s="7">
        <v>117</v>
      </c>
      <c r="AU137" s="8">
        <v>0.13300000000000001</v>
      </c>
      <c r="AV137" s="7">
        <v>0.37931034482758619</v>
      </c>
      <c r="AW137" s="7">
        <v>44.313793103448283</v>
      </c>
      <c r="AX137" s="7">
        <v>7.0000000000000007E-2</v>
      </c>
      <c r="AY137" s="8">
        <v>0.13900000000000001</v>
      </c>
      <c r="AZ137" s="7">
        <v>7.0000000000000007E-2</v>
      </c>
      <c r="BA137" s="7">
        <v>0.64</v>
      </c>
      <c r="BB137" s="7">
        <v>2</v>
      </c>
      <c r="BC137" s="7">
        <v>33</v>
      </c>
      <c r="BD137" s="7">
        <v>6</v>
      </c>
      <c r="BE137" s="7">
        <v>18</v>
      </c>
      <c r="BF137" s="7">
        <v>21</v>
      </c>
      <c r="BG137" s="7">
        <v>0</v>
      </c>
      <c r="BH137" s="7">
        <v>50</v>
      </c>
      <c r="BI137" s="8">
        <v>0.63200000000000001</v>
      </c>
      <c r="BJ137" s="7" t="s">
        <v>85</v>
      </c>
      <c r="BK137" s="7">
        <v>0.11</v>
      </c>
      <c r="BL137" s="7">
        <v>7.0000000000000007E-2</v>
      </c>
      <c r="BM137" s="7">
        <v>0.11</v>
      </c>
      <c r="BN137" s="8">
        <v>0.17799999999999999</v>
      </c>
      <c r="BO137" s="7">
        <v>1.58</v>
      </c>
      <c r="BP137" s="7" t="s">
        <v>85</v>
      </c>
      <c r="BQ137" s="7">
        <v>74</v>
      </c>
      <c r="BR137" s="7">
        <v>0</v>
      </c>
      <c r="BS137" s="8">
        <v>0</v>
      </c>
      <c r="BT137" s="7" t="s">
        <v>85</v>
      </c>
      <c r="BU137" s="7">
        <v>0</v>
      </c>
      <c r="BV137" s="7">
        <v>0.96</v>
      </c>
      <c r="BW137" s="7">
        <v>1.57</v>
      </c>
      <c r="BX137" s="8">
        <v>0.158</v>
      </c>
    </row>
    <row r="138" spans="2:76" ht="19.899999999999999" customHeight="1" x14ac:dyDescent="0.3">
      <c r="B138" s="7" t="s">
        <v>169</v>
      </c>
      <c r="C138" s="7">
        <v>2</v>
      </c>
      <c r="D138" s="7">
        <v>0.7</v>
      </c>
      <c r="E138" s="7">
        <v>39</v>
      </c>
      <c r="F138" s="7">
        <v>0.57999999999999996</v>
      </c>
      <c r="G138" s="7">
        <v>0.77</v>
      </c>
      <c r="H138" s="8">
        <v>0.154</v>
      </c>
      <c r="I138" s="8">
        <v>0.33300000000000002</v>
      </c>
      <c r="J138" s="7">
        <v>0.75</v>
      </c>
      <c r="K138" s="7">
        <v>0.02</v>
      </c>
      <c r="L138" s="7">
        <v>0.77</v>
      </c>
      <c r="M138" s="7">
        <v>64.099999999999994</v>
      </c>
      <c r="N138" s="7">
        <v>-5.25</v>
      </c>
      <c r="O138" s="7">
        <v>56.3</v>
      </c>
      <c r="P138" s="7">
        <v>0.51</v>
      </c>
      <c r="Q138" s="7">
        <v>0.78</v>
      </c>
      <c r="R138" s="7">
        <v>62.2</v>
      </c>
      <c r="S138" s="7">
        <v>0.73</v>
      </c>
      <c r="T138" s="7">
        <v>59.5</v>
      </c>
      <c r="U138" s="7">
        <v>0.55000000000000004</v>
      </c>
      <c r="V138" s="7">
        <v>-10</v>
      </c>
      <c r="W138" s="7">
        <v>0</v>
      </c>
      <c r="X138" s="7" t="s">
        <v>85</v>
      </c>
      <c r="Y138" s="7">
        <v>0</v>
      </c>
      <c r="Z138" s="7" t="s">
        <v>85</v>
      </c>
      <c r="AA138" s="7">
        <v>2</v>
      </c>
      <c r="AB138" s="7">
        <v>0.7</v>
      </c>
      <c r="AC138" s="7">
        <v>5.128205128205128E-2</v>
      </c>
      <c r="AD138" s="7">
        <v>0.41025641025641019</v>
      </c>
      <c r="AE138" s="7">
        <v>0.1025641025641026</v>
      </c>
      <c r="AF138" s="7">
        <v>0</v>
      </c>
      <c r="AG138" s="7">
        <v>1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0.77</v>
      </c>
      <c r="AN138" s="7">
        <v>0</v>
      </c>
      <c r="AO138" s="7" t="s">
        <v>85</v>
      </c>
      <c r="AP138" s="7">
        <v>74.2</v>
      </c>
      <c r="AQ138" s="8">
        <v>0.5</v>
      </c>
      <c r="AR138" s="8">
        <v>0.115</v>
      </c>
      <c r="AS138" s="8">
        <v>0.45</v>
      </c>
      <c r="AT138" s="7">
        <v>110</v>
      </c>
      <c r="AU138" s="8">
        <v>0.154</v>
      </c>
      <c r="AV138" s="7">
        <v>0.38423076923076932</v>
      </c>
      <c r="AW138" s="7">
        <v>47.349999999999987</v>
      </c>
      <c r="AX138" s="7">
        <v>0.15</v>
      </c>
      <c r="AY138" s="8">
        <v>0.2</v>
      </c>
      <c r="AZ138" s="7">
        <v>0.05</v>
      </c>
      <c r="BA138" s="7">
        <v>2.2799999999999998</v>
      </c>
      <c r="BB138" s="7">
        <v>3</v>
      </c>
      <c r="BC138" s="7">
        <v>45</v>
      </c>
      <c r="BD138" s="7">
        <v>76</v>
      </c>
      <c r="BE138" s="7">
        <v>6</v>
      </c>
      <c r="BF138" s="7">
        <v>24</v>
      </c>
      <c r="BG138" s="7">
        <v>0</v>
      </c>
      <c r="BH138" s="7">
        <v>27</v>
      </c>
      <c r="BI138" s="8">
        <v>0.6</v>
      </c>
      <c r="BJ138" s="7" t="s">
        <v>85</v>
      </c>
      <c r="BK138" s="7">
        <v>0.15</v>
      </c>
      <c r="BL138" s="7">
        <v>0.1</v>
      </c>
      <c r="BM138" s="7">
        <v>0.08</v>
      </c>
      <c r="BN138" s="8">
        <v>0.154</v>
      </c>
      <c r="BO138" s="7">
        <v>2.41</v>
      </c>
      <c r="BP138" s="7" t="s">
        <v>85</v>
      </c>
      <c r="BQ138" s="7">
        <v>76</v>
      </c>
      <c r="BR138" s="7">
        <v>0</v>
      </c>
      <c r="BS138" s="8">
        <v>0</v>
      </c>
      <c r="BT138" s="7" t="s">
        <v>85</v>
      </c>
      <c r="BU138" s="7">
        <v>0</v>
      </c>
      <c r="BV138" s="7">
        <v>0.46</v>
      </c>
      <c r="BW138" s="7">
        <v>1.55</v>
      </c>
      <c r="BX138" s="8">
        <v>0.3</v>
      </c>
    </row>
    <row r="139" spans="2:76" ht="19.899999999999999" customHeight="1" x14ac:dyDescent="0.3">
      <c r="B139" s="7" t="s">
        <v>171</v>
      </c>
      <c r="C139" s="7">
        <v>4</v>
      </c>
      <c r="D139" s="7">
        <v>0.66</v>
      </c>
      <c r="E139" s="7">
        <v>102</v>
      </c>
      <c r="F139" s="7">
        <v>0.79</v>
      </c>
      <c r="G139" s="7">
        <v>0.51</v>
      </c>
      <c r="H139" s="8">
        <v>0.216</v>
      </c>
      <c r="I139" s="8">
        <v>0.318</v>
      </c>
      <c r="J139" s="7">
        <v>0.76</v>
      </c>
      <c r="K139" s="7">
        <v>0.64</v>
      </c>
      <c r="L139" s="7">
        <v>0.66</v>
      </c>
      <c r="M139" s="7">
        <v>64.7</v>
      </c>
      <c r="N139" s="7">
        <v>-3.56</v>
      </c>
      <c r="O139" s="7">
        <v>44.3</v>
      </c>
      <c r="P139" s="7">
        <v>0.39</v>
      </c>
      <c r="Q139" s="7">
        <v>0.67</v>
      </c>
      <c r="R139" s="7">
        <v>61.7</v>
      </c>
      <c r="S139" s="7">
        <v>0.77</v>
      </c>
      <c r="T139" s="7">
        <v>44.7</v>
      </c>
      <c r="U139" s="7">
        <v>0.4</v>
      </c>
      <c r="V139" s="7">
        <v>-27</v>
      </c>
      <c r="W139" s="7">
        <v>4</v>
      </c>
      <c r="X139" s="7">
        <v>0.66</v>
      </c>
      <c r="Y139" s="7">
        <v>4</v>
      </c>
      <c r="Z139" s="7">
        <v>0.66</v>
      </c>
      <c r="AA139" s="7">
        <v>4</v>
      </c>
      <c r="AB139" s="7">
        <v>0.66</v>
      </c>
      <c r="AC139" s="7">
        <v>6.8627450980392163E-2</v>
      </c>
      <c r="AD139" s="7">
        <v>0.28431372549019612</v>
      </c>
      <c r="AE139" s="7">
        <v>7.8431372549019607E-2</v>
      </c>
      <c r="AF139" s="7">
        <v>2.9411764705882349E-2</v>
      </c>
      <c r="AG139" s="7">
        <v>1</v>
      </c>
      <c r="AH139" s="7">
        <v>0</v>
      </c>
      <c r="AI139" s="7">
        <v>0</v>
      </c>
      <c r="AJ139" s="7">
        <v>0</v>
      </c>
      <c r="AK139" s="7">
        <v>2</v>
      </c>
      <c r="AL139" s="7">
        <v>4.9019607843137247E-2</v>
      </c>
      <c r="AM139" s="7">
        <v>0.61</v>
      </c>
      <c r="AN139" s="7">
        <v>0</v>
      </c>
      <c r="AO139" s="7" t="s">
        <v>85</v>
      </c>
      <c r="AP139" s="7">
        <v>66.5</v>
      </c>
      <c r="AQ139" s="8">
        <v>0.85699999999999998</v>
      </c>
      <c r="AR139" s="8">
        <v>0.125</v>
      </c>
      <c r="AS139" s="8">
        <v>0.27500000000000002</v>
      </c>
      <c r="AT139" s="7">
        <v>113</v>
      </c>
      <c r="AU139" s="8">
        <v>0.108</v>
      </c>
      <c r="AV139" s="7">
        <v>0.1470833333333334</v>
      </c>
      <c r="AW139" s="7">
        <v>19.324999999999989</v>
      </c>
      <c r="AX139" s="7">
        <v>0.06</v>
      </c>
      <c r="AY139" s="8">
        <v>0.20899999999999999</v>
      </c>
      <c r="AZ139" s="7">
        <v>0.12</v>
      </c>
      <c r="BA139" s="7">
        <v>5.59</v>
      </c>
      <c r="BB139" s="7">
        <v>0</v>
      </c>
      <c r="BC139" s="7">
        <v>61</v>
      </c>
      <c r="BD139" s="7">
        <v>7</v>
      </c>
      <c r="BE139" s="7">
        <v>34</v>
      </c>
      <c r="BF139" s="7">
        <v>89</v>
      </c>
      <c r="BG139" s="7">
        <v>0</v>
      </c>
      <c r="BH139" s="7">
        <v>84</v>
      </c>
      <c r="BI139" s="8">
        <v>0.65</v>
      </c>
      <c r="BJ139" s="7">
        <v>0.69844444444444442</v>
      </c>
      <c r="BK139" s="7">
        <v>0.14000000000000001</v>
      </c>
      <c r="BL139" s="7">
        <v>0.03</v>
      </c>
      <c r="BM139" s="7">
        <v>0.13</v>
      </c>
      <c r="BN139" s="8">
        <v>0.26500000000000001</v>
      </c>
      <c r="BO139" s="7">
        <v>1.81</v>
      </c>
      <c r="BP139" s="8">
        <v>1</v>
      </c>
      <c r="BQ139" s="7">
        <v>78</v>
      </c>
      <c r="BR139" s="7">
        <v>0</v>
      </c>
      <c r="BS139" s="8">
        <v>0</v>
      </c>
      <c r="BT139" s="7" t="s">
        <v>85</v>
      </c>
      <c r="BU139" s="7">
        <v>0.98</v>
      </c>
      <c r="BV139" s="7">
        <v>0.95</v>
      </c>
      <c r="BW139" s="7">
        <v>2.11</v>
      </c>
      <c r="BX139" s="8">
        <v>0.15</v>
      </c>
    </row>
    <row r="140" spans="2:76" ht="19.899999999999999" customHeight="1" x14ac:dyDescent="0.3">
      <c r="B140" s="7" t="s">
        <v>186</v>
      </c>
      <c r="C140" s="7">
        <v>2</v>
      </c>
      <c r="D140" s="7">
        <v>0.64</v>
      </c>
      <c r="E140" s="7">
        <v>39</v>
      </c>
      <c r="F140" s="7">
        <v>0.82</v>
      </c>
      <c r="G140" s="7">
        <v>0.53</v>
      </c>
      <c r="H140" s="8">
        <v>0.28199999999999997</v>
      </c>
      <c r="I140" s="8">
        <v>0.27300000000000002</v>
      </c>
      <c r="J140" s="7">
        <v>0.71</v>
      </c>
      <c r="K140" s="7">
        <v>1</v>
      </c>
      <c r="L140" s="7">
        <v>0.79</v>
      </c>
      <c r="M140" s="7">
        <v>48.7</v>
      </c>
      <c r="N140" s="7">
        <v>-5.22</v>
      </c>
      <c r="O140" s="7">
        <v>55.7</v>
      </c>
      <c r="P140" s="7">
        <v>0.49</v>
      </c>
      <c r="Q140" s="7">
        <v>0.79</v>
      </c>
      <c r="R140" s="7">
        <v>50.7</v>
      </c>
      <c r="S140" s="7">
        <v>0.87</v>
      </c>
      <c r="T140" s="7">
        <v>56</v>
      </c>
      <c r="U140" s="7">
        <v>0.49</v>
      </c>
      <c r="V140" s="7">
        <v>-12</v>
      </c>
      <c r="W140" s="7">
        <v>0</v>
      </c>
      <c r="X140" s="7" t="s">
        <v>85</v>
      </c>
      <c r="Y140" s="7">
        <v>0</v>
      </c>
      <c r="Z140" s="7" t="s">
        <v>85</v>
      </c>
      <c r="AA140" s="7">
        <v>2</v>
      </c>
      <c r="AB140" s="7">
        <v>0.64</v>
      </c>
      <c r="AC140" s="7">
        <v>7.6923076923076927E-2</v>
      </c>
      <c r="AD140" s="7">
        <v>0.30769230769230771</v>
      </c>
      <c r="AE140" s="7">
        <v>0.15384615384615391</v>
      </c>
      <c r="AF140" s="7">
        <v>2.564102564102564E-2</v>
      </c>
      <c r="AG140" s="7">
        <v>1</v>
      </c>
      <c r="AH140" s="7">
        <v>0</v>
      </c>
      <c r="AI140" s="7">
        <v>0</v>
      </c>
      <c r="AJ140" s="7">
        <v>0</v>
      </c>
      <c r="AK140" s="7">
        <v>1</v>
      </c>
      <c r="AL140" s="7">
        <v>2.564102564102564E-2</v>
      </c>
      <c r="AM140" s="7">
        <v>0.77</v>
      </c>
      <c r="AN140" s="7">
        <v>0</v>
      </c>
      <c r="AO140" s="7" t="s">
        <v>85</v>
      </c>
      <c r="AP140" s="7">
        <v>72.8</v>
      </c>
      <c r="AQ140" s="8">
        <v>0</v>
      </c>
      <c r="AR140" s="8">
        <v>3.7999999999999999E-2</v>
      </c>
      <c r="AS140" s="8">
        <v>0.316</v>
      </c>
      <c r="AT140" s="7">
        <v>114</v>
      </c>
      <c r="AU140" s="8">
        <v>7.6999999999999999E-2</v>
      </c>
      <c r="AV140" s="7">
        <v>0.34576923076923077</v>
      </c>
      <c r="AW140" s="7">
        <v>47.150000000000013</v>
      </c>
      <c r="AX140" s="7">
        <v>0.15</v>
      </c>
      <c r="AY140" s="8">
        <v>0.161</v>
      </c>
      <c r="AZ140" s="7">
        <v>0</v>
      </c>
      <c r="BA140" s="7">
        <v>4.79</v>
      </c>
      <c r="BB140" s="7">
        <v>17</v>
      </c>
      <c r="BC140" s="7">
        <v>44</v>
      </c>
      <c r="BD140" s="7">
        <v>85</v>
      </c>
      <c r="BE140" s="7">
        <v>37</v>
      </c>
      <c r="BF140" s="7">
        <v>57</v>
      </c>
      <c r="BG140" s="7">
        <v>0</v>
      </c>
      <c r="BH140" s="7">
        <v>46</v>
      </c>
      <c r="BI140" s="8">
        <v>0.57899999999999996</v>
      </c>
      <c r="BJ140" s="7" t="s">
        <v>85</v>
      </c>
      <c r="BK140" s="7">
        <v>0.13</v>
      </c>
      <c r="BL140" s="7">
        <v>0.13</v>
      </c>
      <c r="BM140" s="7">
        <v>0.15</v>
      </c>
      <c r="BN140" s="8">
        <v>0.128</v>
      </c>
      <c r="BO140" s="7">
        <v>2.54</v>
      </c>
      <c r="BP140" s="8">
        <v>1</v>
      </c>
      <c r="BQ140" s="7">
        <v>68</v>
      </c>
      <c r="BR140" s="7">
        <v>0</v>
      </c>
      <c r="BS140" s="8">
        <v>0</v>
      </c>
      <c r="BT140" s="7" t="s">
        <v>85</v>
      </c>
      <c r="BU140" s="7">
        <v>0</v>
      </c>
      <c r="BV140" s="7">
        <v>0.51</v>
      </c>
      <c r="BW140" s="7">
        <v>2.38</v>
      </c>
      <c r="BX140" s="8">
        <v>0.316</v>
      </c>
    </row>
    <row r="141" spans="2:76" ht="19.899999999999999" customHeight="1" x14ac:dyDescent="0.3">
      <c r="B141" s="7" t="s">
        <v>180</v>
      </c>
      <c r="C141" s="7">
        <v>2</v>
      </c>
      <c r="D141" s="7">
        <v>0.64</v>
      </c>
      <c r="E141" s="7">
        <v>45</v>
      </c>
      <c r="F141" s="7">
        <v>0.79</v>
      </c>
      <c r="G141" s="7">
        <v>0.53</v>
      </c>
      <c r="H141" s="8">
        <v>0.311</v>
      </c>
      <c r="I141" s="8">
        <v>0.214</v>
      </c>
      <c r="J141" s="7">
        <v>0.59</v>
      </c>
      <c r="K141" s="7">
        <v>0.42</v>
      </c>
      <c r="L141" s="7">
        <v>0.8</v>
      </c>
      <c r="M141" s="7">
        <v>60</v>
      </c>
      <c r="N141" s="7">
        <v>-5.47</v>
      </c>
      <c r="O141" s="7">
        <v>53.4</v>
      </c>
      <c r="P141" s="7">
        <v>0.36</v>
      </c>
      <c r="Q141" s="7">
        <v>0.78</v>
      </c>
      <c r="R141" s="7">
        <v>64</v>
      </c>
      <c r="S141" s="7">
        <v>1</v>
      </c>
      <c r="T141" s="7">
        <v>55.5</v>
      </c>
      <c r="U141" s="7">
        <v>0.35</v>
      </c>
      <c r="V141" s="7">
        <v>-20</v>
      </c>
      <c r="W141" s="7">
        <v>0</v>
      </c>
      <c r="X141" s="7" t="s">
        <v>85</v>
      </c>
      <c r="Y141" s="7">
        <v>2</v>
      </c>
      <c r="Z141" s="7">
        <v>0.64</v>
      </c>
      <c r="AA141" s="7">
        <v>2</v>
      </c>
      <c r="AB141" s="7">
        <v>0.64</v>
      </c>
      <c r="AC141" s="7">
        <v>6.6666666666666666E-2</v>
      </c>
      <c r="AD141" s="7">
        <v>0.26666666666666672</v>
      </c>
      <c r="AE141" s="7">
        <v>4.4444444444444453E-2</v>
      </c>
      <c r="AF141" s="7">
        <v>2.222222222222222E-2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0.62</v>
      </c>
      <c r="AN141" s="7">
        <v>0</v>
      </c>
      <c r="AO141" s="7" t="s">
        <v>85</v>
      </c>
      <c r="AP141" s="7">
        <v>79.8</v>
      </c>
      <c r="AQ141" s="8">
        <v>0.66700000000000004</v>
      </c>
      <c r="AR141" s="8">
        <v>0</v>
      </c>
      <c r="AS141" s="8">
        <v>6.2E-2</v>
      </c>
      <c r="AT141" s="7">
        <v>150</v>
      </c>
      <c r="AU141" s="8">
        <v>6.7000000000000004E-2</v>
      </c>
      <c r="AV141" s="7">
        <v>0.20965517241379311</v>
      </c>
      <c r="AW141" s="7">
        <v>38.834482758620688</v>
      </c>
      <c r="AX141" s="7">
        <v>0.04</v>
      </c>
      <c r="AY141" s="8">
        <v>0.19400000000000001</v>
      </c>
      <c r="AZ141" s="7">
        <v>0.09</v>
      </c>
      <c r="BA141" s="7">
        <v>3.47</v>
      </c>
      <c r="BB141" s="7">
        <v>0</v>
      </c>
      <c r="BC141" s="7">
        <v>72</v>
      </c>
      <c r="BD141" s="7">
        <v>0</v>
      </c>
      <c r="BE141" s="7">
        <v>37</v>
      </c>
      <c r="BF141" s="7">
        <v>9</v>
      </c>
      <c r="BG141" s="7">
        <v>0</v>
      </c>
      <c r="BH141" s="7">
        <v>58</v>
      </c>
      <c r="BI141" s="8">
        <v>0.625</v>
      </c>
      <c r="BJ141" s="7" t="s">
        <v>85</v>
      </c>
      <c r="BK141" s="7">
        <v>0.16</v>
      </c>
      <c r="BL141" s="7">
        <v>0.02</v>
      </c>
      <c r="BM141" s="7">
        <v>0.13</v>
      </c>
      <c r="BN141" s="8">
        <v>0.222</v>
      </c>
      <c r="BO141" s="7">
        <v>1.82</v>
      </c>
      <c r="BP141" s="7" t="s">
        <v>85</v>
      </c>
      <c r="BQ141" s="7">
        <v>68</v>
      </c>
      <c r="BR141" s="7">
        <v>0</v>
      </c>
      <c r="BS141" s="8">
        <v>0</v>
      </c>
      <c r="BT141" s="7" t="s">
        <v>85</v>
      </c>
      <c r="BU141" s="7">
        <v>0</v>
      </c>
      <c r="BV141" s="7">
        <v>0.67</v>
      </c>
      <c r="BW141" s="7">
        <v>2.59</v>
      </c>
      <c r="BX141" s="8">
        <v>0.125</v>
      </c>
    </row>
    <row r="142" spans="2:76" ht="19.899999999999999" customHeight="1" x14ac:dyDescent="0.3">
      <c r="B142" s="7" t="s">
        <v>159</v>
      </c>
      <c r="C142" s="7">
        <v>2</v>
      </c>
      <c r="D142" s="7">
        <v>0.46</v>
      </c>
      <c r="E142" s="7">
        <v>35</v>
      </c>
      <c r="F142" s="7">
        <v>0.59</v>
      </c>
      <c r="G142" s="7">
        <v>0.32</v>
      </c>
      <c r="H142" s="8">
        <v>0.17100000000000001</v>
      </c>
      <c r="I142" s="8">
        <v>0.16700000000000001</v>
      </c>
      <c r="J142" s="7">
        <v>0.56999999999999995</v>
      </c>
      <c r="K142" s="7">
        <v>0.28000000000000003</v>
      </c>
      <c r="L142" s="7">
        <v>0.83</v>
      </c>
      <c r="M142" s="7">
        <v>42.9</v>
      </c>
      <c r="N142" s="7">
        <v>-8.8800000000000008</v>
      </c>
      <c r="O142" s="7">
        <v>43</v>
      </c>
      <c r="P142" s="7">
        <v>0.34</v>
      </c>
      <c r="Q142" s="7">
        <v>0.83</v>
      </c>
      <c r="R142" s="7">
        <v>45.7</v>
      </c>
      <c r="S142" s="7">
        <v>0.73</v>
      </c>
      <c r="T142" s="7">
        <v>44.8</v>
      </c>
      <c r="U142" s="7">
        <v>0.38</v>
      </c>
      <c r="V142" s="7">
        <v>-17</v>
      </c>
      <c r="W142" s="7">
        <v>2</v>
      </c>
      <c r="X142" s="7">
        <v>0.46</v>
      </c>
      <c r="Y142" s="7">
        <v>2</v>
      </c>
      <c r="Z142" s="7">
        <v>0.46</v>
      </c>
      <c r="AA142" s="7">
        <v>2</v>
      </c>
      <c r="AB142" s="7">
        <v>0.46</v>
      </c>
      <c r="AC142" s="7">
        <v>2.8571428571428571E-2</v>
      </c>
      <c r="AD142" s="7">
        <v>0.22857142857142859</v>
      </c>
      <c r="AE142" s="7">
        <v>0.1142857142857143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0.33</v>
      </c>
      <c r="AN142" s="7">
        <v>0</v>
      </c>
      <c r="AO142" s="7" t="s">
        <v>85</v>
      </c>
      <c r="AP142" s="7">
        <v>50.8</v>
      </c>
      <c r="AQ142" s="8">
        <v>0</v>
      </c>
      <c r="AR142" s="8">
        <v>3.7999999999999999E-2</v>
      </c>
      <c r="AS142" s="8">
        <v>0.33300000000000002</v>
      </c>
      <c r="AT142" s="7">
        <v>125</v>
      </c>
      <c r="AU142" s="8">
        <v>8.5999999999999993E-2</v>
      </c>
      <c r="AV142" s="7">
        <v>0.34730769230769232</v>
      </c>
      <c r="AW142" s="7">
        <v>40.299999999999997</v>
      </c>
      <c r="AX142" s="7">
        <v>0.06</v>
      </c>
      <c r="AY142" s="8">
        <v>6.9000000000000006E-2</v>
      </c>
      <c r="AZ142" s="7">
        <v>0.03</v>
      </c>
      <c r="BA142" s="7">
        <v>1.66</v>
      </c>
      <c r="BB142" s="7">
        <v>3</v>
      </c>
      <c r="BC142" s="7">
        <v>19</v>
      </c>
      <c r="BD142" s="7">
        <v>13</v>
      </c>
      <c r="BE142" s="7">
        <v>8</v>
      </c>
      <c r="BF142" s="7">
        <v>6</v>
      </c>
      <c r="BG142" s="7">
        <v>0</v>
      </c>
      <c r="BH142" s="7">
        <v>13</v>
      </c>
      <c r="BI142" s="8">
        <v>0.58299999999999996</v>
      </c>
      <c r="BJ142" s="7" t="s">
        <v>85</v>
      </c>
      <c r="BK142" s="7">
        <v>0.06</v>
      </c>
      <c r="BL142" s="7">
        <v>0</v>
      </c>
      <c r="BM142" s="7">
        <v>0.11</v>
      </c>
      <c r="BN142" s="8">
        <v>0.17100000000000001</v>
      </c>
      <c r="BO142" s="7">
        <v>1.43</v>
      </c>
      <c r="BP142" s="7" t="s">
        <v>85</v>
      </c>
      <c r="BQ142" s="7">
        <v>59</v>
      </c>
      <c r="BR142" s="7">
        <v>0</v>
      </c>
      <c r="BS142" s="8">
        <v>0</v>
      </c>
      <c r="BT142" s="7" t="s">
        <v>85</v>
      </c>
      <c r="BU142" s="7">
        <v>0</v>
      </c>
      <c r="BV142" s="7">
        <v>0.34</v>
      </c>
      <c r="BW142" s="7">
        <v>1.77</v>
      </c>
      <c r="BX142" s="8">
        <v>0.16700000000000001</v>
      </c>
    </row>
    <row r="143" spans="2:76" ht="19.899999999999999" customHeight="1" x14ac:dyDescent="0.3">
      <c r="B143" s="7" t="s">
        <v>174</v>
      </c>
      <c r="C143" s="7">
        <v>9</v>
      </c>
      <c r="D143" s="7">
        <v>1</v>
      </c>
      <c r="E143" s="7">
        <v>183</v>
      </c>
      <c r="F143" s="7">
        <v>1.01</v>
      </c>
      <c r="G143" s="7">
        <v>0.99</v>
      </c>
      <c r="H143" s="8">
        <v>0.158</v>
      </c>
      <c r="I143" s="8">
        <v>0.48299999999999998</v>
      </c>
      <c r="J143" s="7">
        <v>0.91</v>
      </c>
      <c r="K143" s="7">
        <v>1.21</v>
      </c>
      <c r="L143" s="7">
        <v>0.61</v>
      </c>
      <c r="M143" s="7">
        <v>77.599999999999994</v>
      </c>
      <c r="N143" s="7">
        <v>-0.74</v>
      </c>
      <c r="O143" s="7">
        <v>66.2</v>
      </c>
      <c r="P143" s="7">
        <v>0.56000000000000005</v>
      </c>
      <c r="Q143" s="7">
        <v>0.61</v>
      </c>
      <c r="R143" s="7">
        <v>76.900000000000006</v>
      </c>
      <c r="S143" s="7">
        <v>0.75</v>
      </c>
      <c r="T143" s="7">
        <v>67.900000000000006</v>
      </c>
      <c r="U143" s="7">
        <v>0.59</v>
      </c>
      <c r="V143" s="7">
        <v>-10</v>
      </c>
      <c r="W143" s="7">
        <v>3</v>
      </c>
      <c r="X143" s="7">
        <v>0.93</v>
      </c>
      <c r="Y143" s="7">
        <v>6</v>
      </c>
      <c r="Z143" s="7">
        <v>0.9</v>
      </c>
      <c r="AA143" s="7">
        <v>7</v>
      </c>
      <c r="AB143" s="7">
        <v>0.93</v>
      </c>
      <c r="AC143" s="7">
        <v>7.650273224043716E-2</v>
      </c>
      <c r="AD143" s="7">
        <v>0.42622950819672129</v>
      </c>
      <c r="AE143" s="7">
        <v>0.1147540983606557</v>
      </c>
      <c r="AF143" s="7">
        <v>1.6393442622950821E-2</v>
      </c>
      <c r="AG143" s="7">
        <v>7</v>
      </c>
      <c r="AH143" s="7">
        <v>5</v>
      </c>
      <c r="AI143" s="7">
        <v>3</v>
      </c>
      <c r="AJ143" s="7">
        <v>1</v>
      </c>
      <c r="AK143" s="7">
        <v>2</v>
      </c>
      <c r="AL143" s="7">
        <v>1.092896174863388E-2</v>
      </c>
      <c r="AM143" s="7">
        <v>0.73</v>
      </c>
      <c r="AN143" s="7">
        <v>0</v>
      </c>
      <c r="AO143" s="7" t="s">
        <v>85</v>
      </c>
      <c r="AP143" s="7">
        <v>78.2</v>
      </c>
      <c r="AQ143" s="8">
        <v>0.78600000000000003</v>
      </c>
      <c r="AR143" s="8">
        <v>8.4000000000000005E-2</v>
      </c>
      <c r="AS143" s="8">
        <v>0.255</v>
      </c>
      <c r="AT143" s="7">
        <v>119</v>
      </c>
      <c r="AU143" s="8">
        <v>8.2000000000000003E-2</v>
      </c>
      <c r="AV143" s="7">
        <v>0.3493975903614458</v>
      </c>
      <c r="AW143" s="7">
        <v>51.742168674698803</v>
      </c>
      <c r="AX143" s="7">
        <v>0.11</v>
      </c>
      <c r="AY143" s="8">
        <v>0.30399999999999999</v>
      </c>
      <c r="AZ143" s="7">
        <v>0.1</v>
      </c>
      <c r="BA143" s="7">
        <v>4.07</v>
      </c>
      <c r="BB143" s="7">
        <v>12</v>
      </c>
      <c r="BC143" s="7">
        <v>87</v>
      </c>
      <c r="BD143" s="7">
        <v>25</v>
      </c>
      <c r="BE143" s="7">
        <v>27</v>
      </c>
      <c r="BF143" s="7">
        <v>32</v>
      </c>
      <c r="BG143" s="7">
        <v>0</v>
      </c>
      <c r="BH143" s="7">
        <v>68</v>
      </c>
      <c r="BI143" s="8">
        <v>0.49</v>
      </c>
      <c r="BJ143" s="7">
        <v>1.1728125</v>
      </c>
      <c r="BK143" s="7">
        <v>0.19</v>
      </c>
      <c r="BL143" s="7">
        <v>0.06</v>
      </c>
      <c r="BM143" s="7">
        <v>0.11</v>
      </c>
      <c r="BN143" s="8">
        <v>0.27300000000000002</v>
      </c>
      <c r="BO143" s="7">
        <v>2.4700000000000002</v>
      </c>
      <c r="BP143" s="8">
        <v>1</v>
      </c>
      <c r="BQ143" s="7">
        <v>75</v>
      </c>
      <c r="BR143" s="7">
        <v>0</v>
      </c>
      <c r="BS143" s="8">
        <v>0</v>
      </c>
      <c r="BT143" s="7" t="s">
        <v>85</v>
      </c>
      <c r="BU143" s="7">
        <v>0</v>
      </c>
      <c r="BV143" s="7">
        <v>0.78</v>
      </c>
      <c r="BW143" s="7">
        <v>2.67</v>
      </c>
      <c r="BX143" s="8">
        <v>0.20599999999999999</v>
      </c>
    </row>
    <row r="144" spans="2:76" ht="19.899999999999999" customHeight="1" x14ac:dyDescent="0.3">
      <c r="B144" s="7" t="s">
        <v>134</v>
      </c>
      <c r="C144" s="7">
        <v>7</v>
      </c>
      <c r="D144" s="7">
        <v>1</v>
      </c>
      <c r="E144" s="7">
        <v>167</v>
      </c>
      <c r="F144" s="7">
        <v>1.1299999999999999</v>
      </c>
      <c r="G144" s="7">
        <v>0.87</v>
      </c>
      <c r="H144" s="8">
        <v>0.246</v>
      </c>
      <c r="I144" s="8">
        <v>0.41499999999999998</v>
      </c>
      <c r="J144" s="7">
        <v>0.94</v>
      </c>
      <c r="K144" s="7">
        <v>0.7</v>
      </c>
      <c r="L144" s="7">
        <v>0.69</v>
      </c>
      <c r="M144" s="7">
        <v>69.5</v>
      </c>
      <c r="N144" s="7">
        <v>-0.04</v>
      </c>
      <c r="O144" s="7">
        <v>73.099999999999994</v>
      </c>
      <c r="P144" s="7">
        <v>0.66</v>
      </c>
      <c r="Q144" s="7">
        <v>0.69</v>
      </c>
      <c r="R144" s="7">
        <v>62.3</v>
      </c>
      <c r="S144" s="7">
        <v>1.03</v>
      </c>
      <c r="T144" s="7">
        <v>73.900000000000006</v>
      </c>
      <c r="U144" s="7">
        <v>0.69</v>
      </c>
      <c r="V144" s="7">
        <v>-5</v>
      </c>
      <c r="W144" s="7">
        <v>3</v>
      </c>
      <c r="X144" s="7">
        <v>1.08</v>
      </c>
      <c r="Y144" s="7">
        <v>7</v>
      </c>
      <c r="Z144" s="7">
        <v>1</v>
      </c>
      <c r="AA144" s="7">
        <v>7</v>
      </c>
      <c r="AB144" s="7">
        <v>1</v>
      </c>
      <c r="AC144" s="7">
        <v>0.1017964071856287</v>
      </c>
      <c r="AD144" s="7">
        <v>0.45508982035928142</v>
      </c>
      <c r="AE144" s="7">
        <v>0.17365269461077851</v>
      </c>
      <c r="AF144" s="7">
        <v>3.5928143712574849E-2</v>
      </c>
      <c r="AG144" s="7">
        <v>5</v>
      </c>
      <c r="AH144" s="7">
        <v>4</v>
      </c>
      <c r="AI144" s="7">
        <v>2</v>
      </c>
      <c r="AJ144" s="7">
        <v>1</v>
      </c>
      <c r="AK144" s="7">
        <v>5</v>
      </c>
      <c r="AL144" s="7">
        <v>4.790419161676647E-2</v>
      </c>
      <c r="AM144" s="7">
        <v>0.97</v>
      </c>
      <c r="AN144" s="7">
        <v>0</v>
      </c>
      <c r="AO144" s="7" t="s">
        <v>85</v>
      </c>
      <c r="AP144" s="7">
        <v>97.9</v>
      </c>
      <c r="AQ144" s="8">
        <v>0.70599999999999996</v>
      </c>
      <c r="AR144" s="8">
        <v>0.108</v>
      </c>
      <c r="AS144" s="8">
        <v>0.23400000000000001</v>
      </c>
      <c r="AT144" s="7">
        <v>110</v>
      </c>
      <c r="AU144" s="8">
        <v>0.14399999999999999</v>
      </c>
      <c r="AV144" s="7">
        <v>0.42172043010752691</v>
      </c>
      <c r="AW144" s="7">
        <v>53.366666666666653</v>
      </c>
      <c r="AX144" s="7">
        <v>0.12</v>
      </c>
      <c r="AY144" s="8">
        <v>0.155</v>
      </c>
      <c r="AZ144" s="7">
        <v>0.03</v>
      </c>
      <c r="BA144" s="7">
        <v>3.68</v>
      </c>
      <c r="BB144" s="7">
        <v>58</v>
      </c>
      <c r="BC144" s="7">
        <v>14</v>
      </c>
      <c r="BD144" s="7">
        <v>19</v>
      </c>
      <c r="BE144" s="7">
        <v>56</v>
      </c>
      <c r="BF144" s="7">
        <v>93</v>
      </c>
      <c r="BG144" s="7">
        <v>6</v>
      </c>
      <c r="BH144" s="7">
        <v>52</v>
      </c>
      <c r="BI144" s="8">
        <v>0.52300000000000002</v>
      </c>
      <c r="BJ144" s="7">
        <v>1.173720930232558</v>
      </c>
      <c r="BK144" s="7">
        <v>0.11</v>
      </c>
      <c r="BL144" s="7">
        <v>7.0000000000000007E-2</v>
      </c>
      <c r="BM144" s="7">
        <v>0.09</v>
      </c>
      <c r="BN144" s="8">
        <v>0.216</v>
      </c>
      <c r="BO144" s="7">
        <v>2.9</v>
      </c>
      <c r="BP144" s="8">
        <v>0.66700000000000004</v>
      </c>
      <c r="BQ144" s="7">
        <v>68</v>
      </c>
      <c r="BR144" s="7">
        <v>0.02</v>
      </c>
      <c r="BS144" s="8">
        <v>3.5999999999999997E-2</v>
      </c>
      <c r="BT144" s="8">
        <v>2.4E-2</v>
      </c>
      <c r="BU144" s="7">
        <v>1.2</v>
      </c>
      <c r="BV144" s="7">
        <v>0.61</v>
      </c>
      <c r="BW144" s="7">
        <v>2.35</v>
      </c>
      <c r="BX144" s="8">
        <v>0.18</v>
      </c>
    </row>
    <row r="145" spans="2:76" ht="19.899999999999999" customHeight="1" x14ac:dyDescent="0.3">
      <c r="B145" s="7" t="s">
        <v>175</v>
      </c>
      <c r="C145" s="7">
        <v>5</v>
      </c>
      <c r="D145" s="7">
        <v>1</v>
      </c>
      <c r="E145" s="7">
        <v>100</v>
      </c>
      <c r="F145" s="7">
        <v>1.04</v>
      </c>
      <c r="G145" s="7">
        <v>0.95</v>
      </c>
      <c r="H145" s="8">
        <v>0.16</v>
      </c>
      <c r="I145" s="8">
        <v>0.56200000000000006</v>
      </c>
      <c r="J145" s="7">
        <v>1</v>
      </c>
      <c r="K145" s="7">
        <v>0.41</v>
      </c>
      <c r="L145" s="7">
        <v>0.65</v>
      </c>
      <c r="M145" s="7">
        <v>74</v>
      </c>
      <c r="N145" s="7">
        <v>-0.78</v>
      </c>
      <c r="O145" s="7">
        <v>63.7</v>
      </c>
      <c r="P145" s="7">
        <v>0.59</v>
      </c>
      <c r="Q145" s="7">
        <v>0.65</v>
      </c>
      <c r="R145" s="7">
        <v>71.400000000000006</v>
      </c>
      <c r="S145" s="7">
        <v>1.1499999999999999</v>
      </c>
      <c r="T145" s="7">
        <v>64.2</v>
      </c>
      <c r="U145" s="7">
        <v>0.6</v>
      </c>
      <c r="V145" s="7">
        <v>-6</v>
      </c>
      <c r="W145" s="7">
        <v>0</v>
      </c>
      <c r="X145" s="7" t="s">
        <v>85</v>
      </c>
      <c r="Y145" s="7">
        <v>2</v>
      </c>
      <c r="Z145" s="7">
        <v>0.73</v>
      </c>
      <c r="AA145" s="7">
        <v>5</v>
      </c>
      <c r="AB145" s="7">
        <v>1</v>
      </c>
      <c r="AC145" s="7">
        <v>0.09</v>
      </c>
      <c r="AD145" s="7">
        <v>0.37</v>
      </c>
      <c r="AE145" s="7">
        <v>0.16</v>
      </c>
      <c r="AF145" s="7">
        <v>0.05</v>
      </c>
      <c r="AG145" s="7">
        <v>3</v>
      </c>
      <c r="AH145" s="7">
        <v>2</v>
      </c>
      <c r="AI145" s="7">
        <v>2</v>
      </c>
      <c r="AJ145" s="7">
        <v>2</v>
      </c>
      <c r="AK145" s="7">
        <v>1</v>
      </c>
      <c r="AL145" s="7">
        <v>0.02</v>
      </c>
      <c r="AM145" s="7">
        <v>0.73</v>
      </c>
      <c r="AN145" s="7">
        <v>0</v>
      </c>
      <c r="AO145" s="7" t="s">
        <v>85</v>
      </c>
      <c r="AP145" s="7">
        <v>72.3</v>
      </c>
      <c r="AQ145" s="8">
        <v>0.77800000000000002</v>
      </c>
      <c r="AR145" s="8">
        <v>2.4E-2</v>
      </c>
      <c r="AS145" s="8">
        <v>0.33900000000000002</v>
      </c>
      <c r="AT145" s="7">
        <v>108</v>
      </c>
      <c r="AU145" s="8">
        <v>0.06</v>
      </c>
      <c r="AV145" s="7">
        <v>0.38853658536585373</v>
      </c>
      <c r="AW145" s="7">
        <v>51.324390243902442</v>
      </c>
      <c r="AX145" s="7">
        <v>0.08</v>
      </c>
      <c r="AY145" s="8">
        <v>0.27700000000000002</v>
      </c>
      <c r="AZ145" s="7">
        <v>0.03</v>
      </c>
      <c r="BA145" s="7">
        <v>1.97</v>
      </c>
      <c r="BB145" s="7">
        <v>29</v>
      </c>
      <c r="BC145" s="7">
        <v>94</v>
      </c>
      <c r="BD145" s="7">
        <v>11</v>
      </c>
      <c r="BE145" s="7">
        <v>40</v>
      </c>
      <c r="BF145" s="7">
        <v>47</v>
      </c>
      <c r="BG145" s="7">
        <v>0</v>
      </c>
      <c r="BH145" s="7">
        <v>45</v>
      </c>
      <c r="BI145" s="8">
        <v>0.59299999999999997</v>
      </c>
      <c r="BJ145" s="7">
        <v>1.135375</v>
      </c>
      <c r="BK145" s="7">
        <v>0.18</v>
      </c>
      <c r="BL145" s="7">
        <v>0.05</v>
      </c>
      <c r="BM145" s="7">
        <v>0.15</v>
      </c>
      <c r="BN145" s="8">
        <v>0.27</v>
      </c>
      <c r="BO145" s="7">
        <v>2.44</v>
      </c>
      <c r="BP145" s="8">
        <v>0</v>
      </c>
      <c r="BQ145" s="7">
        <v>79</v>
      </c>
      <c r="BR145" s="7">
        <v>0</v>
      </c>
      <c r="BS145" s="8">
        <v>0</v>
      </c>
      <c r="BT145" s="7" t="s">
        <v>85</v>
      </c>
      <c r="BU145" s="7">
        <v>1</v>
      </c>
      <c r="BV145" s="7">
        <v>0.71</v>
      </c>
      <c r="BW145" s="7">
        <v>1.06</v>
      </c>
      <c r="BX145" s="8">
        <v>0.13600000000000001</v>
      </c>
    </row>
    <row r="146" spans="2:76" ht="19.899999999999999" customHeight="1" x14ac:dyDescent="0.3">
      <c r="B146" s="7" t="s">
        <v>130</v>
      </c>
      <c r="C146" s="7">
        <v>7</v>
      </c>
      <c r="D146" s="7">
        <v>0.99</v>
      </c>
      <c r="E146" s="7">
        <v>167</v>
      </c>
      <c r="F146" s="7">
        <v>0.91</v>
      </c>
      <c r="G146" s="7">
        <v>1.07</v>
      </c>
      <c r="H146" s="8">
        <v>0.19800000000000001</v>
      </c>
      <c r="I146" s="8">
        <v>0.54500000000000004</v>
      </c>
      <c r="J146" s="7">
        <v>1.06</v>
      </c>
      <c r="K146" s="7">
        <v>0.67</v>
      </c>
      <c r="L146" s="7">
        <v>0.71</v>
      </c>
      <c r="M146" s="7">
        <v>67.7</v>
      </c>
      <c r="N146" s="7">
        <v>-0.01</v>
      </c>
      <c r="O146" s="7">
        <v>68.599999999999994</v>
      </c>
      <c r="P146" s="7">
        <v>0.62</v>
      </c>
      <c r="Q146" s="7">
        <v>0.71</v>
      </c>
      <c r="R146" s="7">
        <v>62.9</v>
      </c>
      <c r="S146" s="7">
        <v>1.1399999999999999</v>
      </c>
      <c r="T146" s="7">
        <v>70.3</v>
      </c>
      <c r="U146" s="7">
        <v>0.66</v>
      </c>
      <c r="V146" s="7">
        <v>-14</v>
      </c>
      <c r="W146" s="7">
        <v>3</v>
      </c>
      <c r="X146" s="7">
        <v>0.8</v>
      </c>
      <c r="Y146" s="7">
        <v>7</v>
      </c>
      <c r="Z146" s="7">
        <v>0.99</v>
      </c>
      <c r="AA146" s="7">
        <v>7</v>
      </c>
      <c r="AB146" s="7">
        <v>0.99</v>
      </c>
      <c r="AC146" s="7">
        <v>0.1077844311377246</v>
      </c>
      <c r="AD146" s="7">
        <v>0.42514970059880242</v>
      </c>
      <c r="AE146" s="7">
        <v>0.1497005988023952</v>
      </c>
      <c r="AF146" s="7">
        <v>4.1916167664670663E-2</v>
      </c>
      <c r="AG146" s="7">
        <v>5</v>
      </c>
      <c r="AH146" s="7">
        <v>5</v>
      </c>
      <c r="AI146" s="7">
        <v>2</v>
      </c>
      <c r="AJ146" s="7">
        <v>0</v>
      </c>
      <c r="AK146" s="7">
        <v>3</v>
      </c>
      <c r="AL146" s="7">
        <v>2.3952095808383232E-2</v>
      </c>
      <c r="AM146" s="7">
        <v>1</v>
      </c>
      <c r="AN146" s="7">
        <v>0</v>
      </c>
      <c r="AO146" s="7" t="s">
        <v>85</v>
      </c>
      <c r="AP146" s="7">
        <v>106.7</v>
      </c>
      <c r="AQ146" s="8">
        <v>0.77800000000000002</v>
      </c>
      <c r="AR146" s="8">
        <v>8.5999999999999993E-2</v>
      </c>
      <c r="AS146" s="8">
        <v>0.21199999999999999</v>
      </c>
      <c r="AT146" s="7">
        <v>110</v>
      </c>
      <c r="AU146" s="8">
        <v>0.10199999999999999</v>
      </c>
      <c r="AV146" s="7">
        <v>0.32258064516129031</v>
      </c>
      <c r="AW146" s="7">
        <v>38.283870967741919</v>
      </c>
      <c r="AX146" s="7">
        <v>0.14000000000000001</v>
      </c>
      <c r="AY146" s="8">
        <v>0.186</v>
      </c>
      <c r="AZ146" s="7">
        <v>0.02</v>
      </c>
      <c r="BA146" s="7">
        <v>4.8</v>
      </c>
      <c r="BB146" s="7">
        <v>34</v>
      </c>
      <c r="BC146" s="7">
        <v>38</v>
      </c>
      <c r="BD146" s="7">
        <v>55</v>
      </c>
      <c r="BE146" s="7">
        <v>61</v>
      </c>
      <c r="BF146" s="7">
        <v>58</v>
      </c>
      <c r="BG146" s="7">
        <v>6</v>
      </c>
      <c r="BH146" s="7">
        <v>30</v>
      </c>
      <c r="BI146" s="8">
        <v>0.75</v>
      </c>
      <c r="BJ146" s="7">
        <v>1.0588372093023251</v>
      </c>
      <c r="BK146" s="7">
        <v>0.13</v>
      </c>
      <c r="BL146" s="7">
        <v>0.1</v>
      </c>
      <c r="BM146" s="7">
        <v>0.1</v>
      </c>
      <c r="BN146" s="8">
        <v>0.19800000000000001</v>
      </c>
      <c r="BO146" s="7">
        <v>2.27</v>
      </c>
      <c r="BP146" s="8">
        <v>1</v>
      </c>
      <c r="BQ146" s="7">
        <v>69</v>
      </c>
      <c r="BR146" s="7">
        <v>0.02</v>
      </c>
      <c r="BS146" s="8">
        <v>2.9000000000000001E-2</v>
      </c>
      <c r="BT146" s="8">
        <v>1.7999999999999999E-2</v>
      </c>
      <c r="BU146" s="7">
        <v>0</v>
      </c>
      <c r="BV146" s="7">
        <v>0.31</v>
      </c>
      <c r="BW146" s="7">
        <v>1.8</v>
      </c>
      <c r="BX146" s="8">
        <v>0.23100000000000001</v>
      </c>
    </row>
    <row r="147" spans="2:76" ht="19.899999999999999" customHeight="1" x14ac:dyDescent="0.3">
      <c r="B147" s="7" t="s">
        <v>176</v>
      </c>
      <c r="C147" s="7">
        <v>5</v>
      </c>
      <c r="D147" s="7">
        <v>0.99</v>
      </c>
      <c r="E147" s="7">
        <v>127</v>
      </c>
      <c r="F147" s="7">
        <v>0.9</v>
      </c>
      <c r="G147" s="7">
        <v>1.07</v>
      </c>
      <c r="H147" s="8">
        <v>0.157</v>
      </c>
      <c r="I147" s="8">
        <v>0.55000000000000004</v>
      </c>
      <c r="J147" s="7">
        <v>0.98</v>
      </c>
      <c r="K147" s="7">
        <v>1.6</v>
      </c>
      <c r="L147" s="7">
        <v>0.65</v>
      </c>
      <c r="M147" s="7">
        <v>70.900000000000006</v>
      </c>
      <c r="N147" s="7">
        <v>-0.02</v>
      </c>
      <c r="O147" s="7">
        <v>70.099999999999994</v>
      </c>
      <c r="P147" s="7">
        <v>0.65</v>
      </c>
      <c r="Q147" s="7">
        <v>0.65</v>
      </c>
      <c r="R147" s="7">
        <v>70.599999999999994</v>
      </c>
      <c r="S147" s="7">
        <v>1.0900000000000001</v>
      </c>
      <c r="T147" s="7">
        <v>68.5</v>
      </c>
      <c r="U147" s="7">
        <v>0.63</v>
      </c>
      <c r="V147" s="7">
        <v>0</v>
      </c>
      <c r="W147" s="7">
        <v>0</v>
      </c>
      <c r="X147" s="7" t="s">
        <v>85</v>
      </c>
      <c r="Y147" s="7">
        <v>2</v>
      </c>
      <c r="Z147" s="7">
        <v>0.91</v>
      </c>
      <c r="AA147" s="7">
        <v>5</v>
      </c>
      <c r="AB147" s="7">
        <v>0.99</v>
      </c>
      <c r="AC147" s="7">
        <v>8.6614173228346455E-2</v>
      </c>
      <c r="AD147" s="7">
        <v>0.45669291338582679</v>
      </c>
      <c r="AE147" s="7">
        <v>0.1417322834645669</v>
      </c>
      <c r="AF147" s="7">
        <v>3.1496062992125977E-2</v>
      </c>
      <c r="AG147" s="7">
        <v>4</v>
      </c>
      <c r="AH147" s="7">
        <v>2</v>
      </c>
      <c r="AI147" s="7">
        <v>2</v>
      </c>
      <c r="AJ147" s="7">
        <v>0</v>
      </c>
      <c r="AK147" s="7">
        <v>2</v>
      </c>
      <c r="AL147" s="7">
        <v>4.7244094488188983E-2</v>
      </c>
      <c r="AM147" s="7">
        <v>0.77</v>
      </c>
      <c r="AN147" s="7">
        <v>0</v>
      </c>
      <c r="AO147" s="7" t="s">
        <v>85</v>
      </c>
      <c r="AP147" s="7">
        <v>87.7</v>
      </c>
      <c r="AQ147" s="8">
        <v>0.63600000000000001</v>
      </c>
      <c r="AR147" s="8">
        <v>0.113</v>
      </c>
      <c r="AS147" s="8">
        <v>0.23200000000000001</v>
      </c>
      <c r="AT147" s="7">
        <v>109</v>
      </c>
      <c r="AU147" s="8">
        <v>0.23599999999999999</v>
      </c>
      <c r="AV147" s="7">
        <v>0.54760563380281679</v>
      </c>
      <c r="AW147" s="7">
        <v>56.218309859154907</v>
      </c>
      <c r="AX147" s="7">
        <v>0.17</v>
      </c>
      <c r="AY147" s="8">
        <v>0.13400000000000001</v>
      </c>
      <c r="AZ147" s="7">
        <v>8.0000000000000002E-3</v>
      </c>
      <c r="BA147" s="7">
        <v>4.72</v>
      </c>
      <c r="BB147" s="7">
        <v>36</v>
      </c>
      <c r="BC147" s="7">
        <v>11</v>
      </c>
      <c r="BD147" s="7">
        <v>76</v>
      </c>
      <c r="BE147" s="7">
        <v>31</v>
      </c>
      <c r="BF147" s="7">
        <v>97</v>
      </c>
      <c r="BG147" s="7">
        <v>94</v>
      </c>
      <c r="BH147" s="7">
        <v>69</v>
      </c>
      <c r="BI147" s="8">
        <v>0.29299999999999998</v>
      </c>
      <c r="BJ147" s="7">
        <v>0.9</v>
      </c>
      <c r="BK147" s="7">
        <v>0.09</v>
      </c>
      <c r="BL147" s="7">
        <v>0.12</v>
      </c>
      <c r="BM147" s="7">
        <v>0.09</v>
      </c>
      <c r="BN147" s="8">
        <v>0.19700000000000001</v>
      </c>
      <c r="BO147" s="7">
        <v>1.78</v>
      </c>
      <c r="BP147" s="8">
        <v>0</v>
      </c>
      <c r="BQ147" s="7">
        <v>78</v>
      </c>
      <c r="BR147" s="7">
        <v>0.34</v>
      </c>
      <c r="BS147" s="8">
        <v>0.52400000000000002</v>
      </c>
      <c r="BT147" s="8">
        <v>0.34599999999999997</v>
      </c>
      <c r="BU147" s="7">
        <v>1.57</v>
      </c>
      <c r="BV147" s="7">
        <v>0.88</v>
      </c>
      <c r="BW147" s="7">
        <v>2.15</v>
      </c>
      <c r="BX147" s="8">
        <v>0.25600000000000001</v>
      </c>
    </row>
    <row r="148" spans="2:76" ht="19.899999999999999" customHeight="1" x14ac:dyDescent="0.3">
      <c r="B148" s="7" t="s">
        <v>177</v>
      </c>
      <c r="C148" s="7">
        <v>5</v>
      </c>
      <c r="D148" s="7">
        <v>0.98</v>
      </c>
      <c r="E148" s="7">
        <v>104</v>
      </c>
      <c r="F148" s="7">
        <v>0.89</v>
      </c>
      <c r="G148" s="7">
        <v>1.08</v>
      </c>
      <c r="H148" s="8">
        <v>0.154</v>
      </c>
      <c r="I148" s="8">
        <v>0.375</v>
      </c>
      <c r="J148" s="7">
        <v>0.79</v>
      </c>
      <c r="K148" s="7">
        <v>0.85</v>
      </c>
      <c r="L148" s="7">
        <v>0.56000000000000005</v>
      </c>
      <c r="M148" s="7">
        <v>76</v>
      </c>
      <c r="N148" s="7">
        <v>-0.17</v>
      </c>
      <c r="O148" s="7">
        <v>58.6</v>
      </c>
      <c r="P148" s="7">
        <v>0.59</v>
      </c>
      <c r="Q148" s="7">
        <v>0.56000000000000005</v>
      </c>
      <c r="R148" s="7">
        <v>73.599999999999994</v>
      </c>
      <c r="S148" s="7">
        <v>0.69</v>
      </c>
      <c r="T148" s="7">
        <v>56.6</v>
      </c>
      <c r="U148" s="7">
        <v>0.56000000000000005</v>
      </c>
      <c r="V148" s="7">
        <v>3</v>
      </c>
      <c r="W148" s="7">
        <v>3</v>
      </c>
      <c r="X148" s="7">
        <v>1.01</v>
      </c>
      <c r="Y148" s="7">
        <v>3</v>
      </c>
      <c r="Z148" s="7">
        <v>1.01</v>
      </c>
      <c r="AA148" s="7">
        <v>5</v>
      </c>
      <c r="AB148" s="7">
        <v>0.98</v>
      </c>
      <c r="AC148" s="7">
        <v>5.7692307692307702E-2</v>
      </c>
      <c r="AD148" s="7">
        <v>0.42307692307692307</v>
      </c>
      <c r="AE148" s="7">
        <v>0.14423076923076919</v>
      </c>
      <c r="AF148" s="7">
        <v>1.9230769230769228E-2</v>
      </c>
      <c r="AG148" s="7">
        <v>5</v>
      </c>
      <c r="AH148" s="7">
        <v>2</v>
      </c>
      <c r="AI148" s="7">
        <v>0</v>
      </c>
      <c r="AJ148" s="7">
        <v>0</v>
      </c>
      <c r="AK148" s="7">
        <v>2</v>
      </c>
      <c r="AL148" s="7">
        <v>1.9230769230769228E-2</v>
      </c>
      <c r="AM148" s="7">
        <v>0.76</v>
      </c>
      <c r="AN148" s="7">
        <v>0</v>
      </c>
      <c r="AO148" s="7" t="s">
        <v>85</v>
      </c>
      <c r="AP148" s="7">
        <v>66.900000000000006</v>
      </c>
      <c r="AQ148" s="8">
        <v>0.83299999999999996</v>
      </c>
      <c r="AR148" s="8">
        <v>2.4E-2</v>
      </c>
      <c r="AS148" s="8">
        <v>0.32800000000000001</v>
      </c>
      <c r="AT148" s="7">
        <v>100</v>
      </c>
      <c r="AU148" s="8">
        <v>6.7000000000000004E-2</v>
      </c>
      <c r="AV148" s="7">
        <v>0.33047619047619048</v>
      </c>
      <c r="AW148" s="7">
        <v>46.347619047619062</v>
      </c>
      <c r="AX148" s="7">
        <v>0.12</v>
      </c>
      <c r="AY148" s="8">
        <v>0.25900000000000001</v>
      </c>
      <c r="AZ148" s="7">
        <v>0.03</v>
      </c>
      <c r="BA148" s="7">
        <v>2.74</v>
      </c>
      <c r="BB148" s="7">
        <v>19</v>
      </c>
      <c r="BC148" s="7">
        <v>74</v>
      </c>
      <c r="BD148" s="7">
        <v>37</v>
      </c>
      <c r="BE148" s="7">
        <v>16</v>
      </c>
      <c r="BF148" s="7">
        <v>46</v>
      </c>
      <c r="BG148" s="7">
        <v>0</v>
      </c>
      <c r="BH148" s="7">
        <v>40</v>
      </c>
      <c r="BI148" s="8">
        <v>0.623</v>
      </c>
      <c r="BJ148" s="7">
        <v>0.98851851851851857</v>
      </c>
      <c r="BK148" s="7">
        <v>0.14000000000000001</v>
      </c>
      <c r="BL148" s="7">
        <v>7.0000000000000007E-2</v>
      </c>
      <c r="BM148" s="7">
        <v>0.12</v>
      </c>
      <c r="BN148" s="8">
        <v>0.26</v>
      </c>
      <c r="BO148" s="7">
        <v>1.94</v>
      </c>
      <c r="BP148" s="8">
        <v>0.66700000000000004</v>
      </c>
      <c r="BQ148" s="7">
        <v>80</v>
      </c>
      <c r="BR148" s="7">
        <v>0</v>
      </c>
      <c r="BS148" s="8">
        <v>0</v>
      </c>
      <c r="BT148" s="7" t="s">
        <v>85</v>
      </c>
      <c r="BU148" s="7">
        <v>0</v>
      </c>
      <c r="BV148" s="7">
        <v>0.63</v>
      </c>
      <c r="BW148" s="7">
        <v>1.63</v>
      </c>
      <c r="BX148" s="8">
        <v>0.21299999999999999</v>
      </c>
    </row>
    <row r="149" spans="2:76" ht="19.899999999999999" customHeight="1" x14ac:dyDescent="0.3">
      <c r="B149" s="7" t="s">
        <v>145</v>
      </c>
      <c r="C149" s="7">
        <v>7</v>
      </c>
      <c r="D149" s="7">
        <v>0.98</v>
      </c>
      <c r="E149" s="7">
        <v>147</v>
      </c>
      <c r="F149" s="7">
        <v>1.08</v>
      </c>
      <c r="G149" s="7">
        <v>0.88</v>
      </c>
      <c r="H149" s="8">
        <v>0.23100000000000001</v>
      </c>
      <c r="I149" s="8">
        <v>0.52900000000000003</v>
      </c>
      <c r="J149" s="7">
        <v>1.1000000000000001</v>
      </c>
      <c r="K149" s="7">
        <v>1.21</v>
      </c>
      <c r="L149" s="7">
        <v>0.71</v>
      </c>
      <c r="M149" s="7">
        <v>71.400000000000006</v>
      </c>
      <c r="N149" s="7">
        <v>-1.75</v>
      </c>
      <c r="O149" s="7">
        <v>76.400000000000006</v>
      </c>
      <c r="P149" s="7">
        <v>0.69</v>
      </c>
      <c r="Q149" s="7">
        <v>0.71</v>
      </c>
      <c r="R149" s="7">
        <v>69.5</v>
      </c>
      <c r="S149" s="7">
        <v>1</v>
      </c>
      <c r="T149" s="7">
        <v>75.900000000000006</v>
      </c>
      <c r="U149" s="7">
        <v>0.68</v>
      </c>
      <c r="V149" s="7">
        <v>-3</v>
      </c>
      <c r="W149" s="7">
        <v>1</v>
      </c>
      <c r="X149" s="7">
        <v>1.1000000000000001</v>
      </c>
      <c r="Y149" s="7">
        <v>2</v>
      </c>
      <c r="Z149" s="7">
        <v>0.78</v>
      </c>
      <c r="AA149" s="7">
        <v>4</v>
      </c>
      <c r="AB149" s="7">
        <v>0.79</v>
      </c>
      <c r="AC149" s="7">
        <v>0.1224489795918367</v>
      </c>
      <c r="AD149" s="7">
        <v>0.46938775510204078</v>
      </c>
      <c r="AE149" s="7">
        <v>0.1768707482993197</v>
      </c>
      <c r="AF149" s="7">
        <v>4.0816326530612242E-2</v>
      </c>
      <c r="AG149" s="7">
        <v>5</v>
      </c>
      <c r="AH149" s="7">
        <v>4</v>
      </c>
      <c r="AI149" s="7">
        <v>2</v>
      </c>
      <c r="AJ149" s="7">
        <v>1</v>
      </c>
      <c r="AK149" s="7">
        <v>3</v>
      </c>
      <c r="AL149" s="7">
        <v>3.4013605442176867E-2</v>
      </c>
      <c r="AM149" s="7">
        <v>0.95</v>
      </c>
      <c r="AN149" s="7">
        <v>0</v>
      </c>
      <c r="AO149" s="7" t="s">
        <v>85</v>
      </c>
      <c r="AP149" s="7">
        <v>95.1</v>
      </c>
      <c r="AQ149" s="8">
        <v>0.66700000000000004</v>
      </c>
      <c r="AR149" s="8">
        <v>9.5000000000000001E-2</v>
      </c>
      <c r="AS149" s="8">
        <v>0.248</v>
      </c>
      <c r="AT149" s="7">
        <v>111</v>
      </c>
      <c r="AU149" s="8">
        <v>0.156</v>
      </c>
      <c r="AV149" s="7">
        <v>0.48988095238095247</v>
      </c>
      <c r="AW149" s="7">
        <v>62.375000000000021</v>
      </c>
      <c r="AX149" s="7">
        <v>0.12</v>
      </c>
      <c r="AY149" s="8">
        <v>0.16300000000000001</v>
      </c>
      <c r="AZ149" s="7">
        <v>0.06</v>
      </c>
      <c r="BA149" s="7">
        <v>3.76</v>
      </c>
      <c r="BB149" s="7">
        <v>68</v>
      </c>
      <c r="BC149" s="7">
        <v>17</v>
      </c>
      <c r="BD149" s="7">
        <v>22</v>
      </c>
      <c r="BE149" s="7">
        <v>72</v>
      </c>
      <c r="BF149" s="7">
        <v>83</v>
      </c>
      <c r="BG149" s="7">
        <v>0</v>
      </c>
      <c r="BH149" s="7">
        <v>67</v>
      </c>
      <c r="BI149" s="8">
        <v>0.624</v>
      </c>
      <c r="BJ149" s="7">
        <v>1.38</v>
      </c>
      <c r="BK149" s="7">
        <v>0.12</v>
      </c>
      <c r="BL149" s="7">
        <v>0.09</v>
      </c>
      <c r="BM149" s="7">
        <v>0.09</v>
      </c>
      <c r="BN149" s="8">
        <v>0.21099999999999999</v>
      </c>
      <c r="BO149" s="7">
        <v>2.63</v>
      </c>
      <c r="BP149" s="8">
        <v>0.33300000000000002</v>
      </c>
      <c r="BQ149" s="7">
        <v>69</v>
      </c>
      <c r="BR149" s="7">
        <v>0</v>
      </c>
      <c r="BS149" s="8">
        <v>0</v>
      </c>
      <c r="BT149" s="7" t="s">
        <v>85</v>
      </c>
      <c r="BU149" s="7">
        <v>0</v>
      </c>
      <c r="BV149" s="7">
        <v>0.92</v>
      </c>
      <c r="BW149" s="7">
        <v>2.78</v>
      </c>
      <c r="BX149" s="8">
        <v>0.16800000000000001</v>
      </c>
    </row>
    <row r="150" spans="2:76" ht="19.899999999999999" customHeight="1" x14ac:dyDescent="0.3">
      <c r="B150" s="7" t="s">
        <v>137</v>
      </c>
      <c r="C150" s="7">
        <v>7</v>
      </c>
      <c r="D150" s="7">
        <v>0.96</v>
      </c>
      <c r="E150" s="7">
        <v>150</v>
      </c>
      <c r="F150" s="7">
        <v>0.95</v>
      </c>
      <c r="G150" s="7">
        <v>0.98</v>
      </c>
      <c r="H150" s="8">
        <v>0.13300000000000001</v>
      </c>
      <c r="I150" s="8">
        <v>0.4</v>
      </c>
      <c r="J150" s="7">
        <v>0.8</v>
      </c>
      <c r="K150" s="7">
        <v>0.73</v>
      </c>
      <c r="L150" s="7">
        <v>0.65</v>
      </c>
      <c r="M150" s="7">
        <v>73.3</v>
      </c>
      <c r="N150" s="7">
        <v>-1.57</v>
      </c>
      <c r="O150" s="7">
        <v>67.599999999999994</v>
      </c>
      <c r="P150" s="7">
        <v>0.63</v>
      </c>
      <c r="Q150" s="7">
        <v>0.65</v>
      </c>
      <c r="R150" s="7">
        <v>71.2</v>
      </c>
      <c r="S150" s="7">
        <v>1.02</v>
      </c>
      <c r="T150" s="7">
        <v>68.400000000000006</v>
      </c>
      <c r="U150" s="7">
        <v>0.65</v>
      </c>
      <c r="V150" s="7">
        <v>-3</v>
      </c>
      <c r="W150" s="7">
        <v>3</v>
      </c>
      <c r="X150" s="7">
        <v>0.77</v>
      </c>
      <c r="Y150" s="7">
        <v>4</v>
      </c>
      <c r="Z150" s="7">
        <v>0.82</v>
      </c>
      <c r="AA150" s="7">
        <v>6</v>
      </c>
      <c r="AB150" s="7">
        <v>0.9</v>
      </c>
      <c r="AC150" s="7">
        <v>5.3333333333333337E-2</v>
      </c>
      <c r="AD150" s="7">
        <v>0.45333333333333331</v>
      </c>
      <c r="AE150" s="7">
        <v>0.14000000000000001</v>
      </c>
      <c r="AF150" s="7">
        <v>3.3333333333333333E-2</v>
      </c>
      <c r="AG150" s="7">
        <v>5</v>
      </c>
      <c r="AH150" s="7">
        <v>3</v>
      </c>
      <c r="AI150" s="7">
        <v>1</v>
      </c>
      <c r="AJ150" s="7">
        <v>1</v>
      </c>
      <c r="AK150" s="7">
        <v>0</v>
      </c>
      <c r="AL150" s="7">
        <v>0</v>
      </c>
      <c r="AM150" s="7">
        <v>0.84</v>
      </c>
      <c r="AN150" s="7">
        <v>0</v>
      </c>
      <c r="AO150" s="7" t="s">
        <v>85</v>
      </c>
      <c r="AP150" s="7">
        <v>84.9</v>
      </c>
      <c r="AQ150" s="8">
        <v>0.875</v>
      </c>
      <c r="AR150" s="8">
        <v>1.4E-2</v>
      </c>
      <c r="AS150" s="8">
        <v>0.33700000000000002</v>
      </c>
      <c r="AT150" s="7">
        <v>107</v>
      </c>
      <c r="AU150" s="8">
        <v>6.7000000000000004E-2</v>
      </c>
      <c r="AV150" s="7">
        <v>0.40338028169014079</v>
      </c>
      <c r="AW150" s="7">
        <v>48.350704225352111</v>
      </c>
      <c r="AX150" s="7">
        <v>0.15</v>
      </c>
      <c r="AY150" s="8">
        <v>0.19400000000000001</v>
      </c>
      <c r="AZ150" s="7">
        <v>7.0000000000000001E-3</v>
      </c>
      <c r="BA150" s="7">
        <v>3.67</v>
      </c>
      <c r="BB150" s="7">
        <v>30</v>
      </c>
      <c r="BC150" s="7">
        <v>43</v>
      </c>
      <c r="BD150" s="7">
        <v>69</v>
      </c>
      <c r="BE150" s="7">
        <v>14</v>
      </c>
      <c r="BF150" s="7">
        <v>10</v>
      </c>
      <c r="BG150" s="7">
        <v>2</v>
      </c>
      <c r="BH150" s="7">
        <v>43</v>
      </c>
      <c r="BI150" s="8">
        <v>0.66300000000000003</v>
      </c>
      <c r="BJ150" s="7">
        <v>1.147126436781609</v>
      </c>
      <c r="BK150" s="7">
        <v>0.13</v>
      </c>
      <c r="BL150" s="7">
        <v>0.1</v>
      </c>
      <c r="BM150" s="7">
        <v>0.11</v>
      </c>
      <c r="BN150" s="8">
        <v>0.23300000000000001</v>
      </c>
      <c r="BO150" s="7">
        <v>2.31</v>
      </c>
      <c r="BP150" s="8">
        <v>0</v>
      </c>
      <c r="BQ150" s="7">
        <v>71</v>
      </c>
      <c r="BR150" s="7">
        <v>0.01</v>
      </c>
      <c r="BS150" s="8">
        <v>2.1000000000000001E-2</v>
      </c>
      <c r="BT150" s="8">
        <v>7.0000000000000001E-3</v>
      </c>
      <c r="BU150" s="7">
        <v>0</v>
      </c>
      <c r="BV150" s="7">
        <v>0.61</v>
      </c>
      <c r="BW150" s="7">
        <v>2.0299999999999998</v>
      </c>
      <c r="BX150" s="8">
        <v>0.24199999999999999</v>
      </c>
    </row>
    <row r="151" spans="2:76" ht="19.899999999999999" customHeight="1" x14ac:dyDescent="0.3">
      <c r="B151" s="7" t="s">
        <v>129</v>
      </c>
      <c r="C151" s="7">
        <v>5</v>
      </c>
      <c r="D151" s="7">
        <v>0.96</v>
      </c>
      <c r="E151" s="7">
        <v>119</v>
      </c>
      <c r="F151" s="7">
        <v>0.65</v>
      </c>
      <c r="G151" s="7">
        <v>1.23</v>
      </c>
      <c r="H151" s="8">
        <v>0.29399999999999998</v>
      </c>
      <c r="I151" s="8">
        <v>0.42899999999999999</v>
      </c>
      <c r="J151" s="7">
        <v>1.02</v>
      </c>
      <c r="K151" s="7">
        <v>1.07</v>
      </c>
      <c r="L151" s="7">
        <v>0.76</v>
      </c>
      <c r="M151" s="7">
        <v>67.2</v>
      </c>
      <c r="N151" s="7">
        <v>-0.77</v>
      </c>
      <c r="O151" s="7">
        <v>70.099999999999994</v>
      </c>
      <c r="P151" s="7">
        <v>0.61</v>
      </c>
      <c r="Q151" s="7">
        <v>0.76</v>
      </c>
      <c r="R151" s="7">
        <v>66.400000000000006</v>
      </c>
      <c r="S151" s="7">
        <v>1.23</v>
      </c>
      <c r="T151" s="7">
        <v>68.5</v>
      </c>
      <c r="U151" s="7">
        <v>0.6</v>
      </c>
      <c r="V151" s="7">
        <v>-17</v>
      </c>
      <c r="W151" s="7">
        <v>1</v>
      </c>
      <c r="X151" s="7">
        <v>0.9</v>
      </c>
      <c r="Y151" s="7">
        <v>2</v>
      </c>
      <c r="Z151" s="7">
        <v>0.87</v>
      </c>
      <c r="AA151" s="7">
        <v>5</v>
      </c>
      <c r="AB151" s="7">
        <v>0.96</v>
      </c>
      <c r="AC151" s="7">
        <v>0.1260504201680672</v>
      </c>
      <c r="AD151" s="7">
        <v>0.41176470588235292</v>
      </c>
      <c r="AE151" s="7">
        <v>0.1260504201680672</v>
      </c>
      <c r="AF151" s="7">
        <v>5.8823529411764712E-2</v>
      </c>
      <c r="AG151" s="7">
        <v>3</v>
      </c>
      <c r="AH151" s="7">
        <v>2</v>
      </c>
      <c r="AI151" s="7">
        <v>1</v>
      </c>
      <c r="AJ151" s="7">
        <v>0</v>
      </c>
      <c r="AK151" s="7">
        <v>1</v>
      </c>
      <c r="AL151" s="7">
        <v>1.680672268907563E-2</v>
      </c>
      <c r="AM151" s="7">
        <v>1</v>
      </c>
      <c r="AN151" s="7">
        <v>0</v>
      </c>
      <c r="AO151" s="7" t="s">
        <v>85</v>
      </c>
      <c r="AP151" s="7">
        <v>107.2</v>
      </c>
      <c r="AQ151" s="8">
        <v>0.73299999999999998</v>
      </c>
      <c r="AR151" s="8">
        <v>7.4999999999999997E-2</v>
      </c>
      <c r="AS151" s="8">
        <v>0.27400000000000002</v>
      </c>
      <c r="AT151" s="7">
        <v>114</v>
      </c>
      <c r="AU151" s="8">
        <v>8.4000000000000005E-2</v>
      </c>
      <c r="AV151" s="7">
        <v>0.31343283582089548</v>
      </c>
      <c r="AW151" s="7">
        <v>41.305970149253717</v>
      </c>
      <c r="AX151" s="7">
        <v>0.13</v>
      </c>
      <c r="AY151" s="8">
        <v>0.25600000000000001</v>
      </c>
      <c r="AZ151" s="7">
        <v>0.03</v>
      </c>
      <c r="BA151" s="7">
        <v>6.5</v>
      </c>
      <c r="BB151" s="7">
        <v>26</v>
      </c>
      <c r="BC151" s="7">
        <v>95</v>
      </c>
      <c r="BD151" s="7">
        <v>54</v>
      </c>
      <c r="BE151" s="7">
        <v>76</v>
      </c>
      <c r="BF151" s="7">
        <v>42</v>
      </c>
      <c r="BG151" s="7">
        <v>1</v>
      </c>
      <c r="BH151" s="7">
        <v>65</v>
      </c>
      <c r="BI151" s="8">
        <v>0.54800000000000004</v>
      </c>
      <c r="BJ151" s="7">
        <v>1.25</v>
      </c>
      <c r="BK151" s="7">
        <v>0.19</v>
      </c>
      <c r="BL151" s="7">
        <v>0.13</v>
      </c>
      <c r="BM151" s="7">
        <v>0.16</v>
      </c>
      <c r="BN151" s="8">
        <v>0.193</v>
      </c>
      <c r="BO151" s="7">
        <v>2.33</v>
      </c>
      <c r="BP151" s="8">
        <v>0</v>
      </c>
      <c r="BQ151" s="7">
        <v>71</v>
      </c>
      <c r="BR151" s="7">
        <v>0.01</v>
      </c>
      <c r="BS151" s="8">
        <v>1.4E-2</v>
      </c>
      <c r="BT151" s="8">
        <v>1.7000000000000001E-2</v>
      </c>
      <c r="BU151" s="7">
        <v>0.84</v>
      </c>
      <c r="BV151" s="7">
        <v>0.52</v>
      </c>
      <c r="BW151" s="7">
        <v>2.16</v>
      </c>
      <c r="BX151" s="8">
        <v>0.20499999999999999</v>
      </c>
    </row>
    <row r="152" spans="2:76" ht="19.899999999999999" customHeight="1" x14ac:dyDescent="0.3">
      <c r="B152" s="7" t="s">
        <v>178</v>
      </c>
      <c r="C152" s="7">
        <v>9</v>
      </c>
      <c r="D152" s="7">
        <v>0.95</v>
      </c>
      <c r="E152" s="7">
        <v>181</v>
      </c>
      <c r="F152" s="7">
        <v>1.07</v>
      </c>
      <c r="G152" s="7">
        <v>0.82</v>
      </c>
      <c r="H152" s="8">
        <v>0.182</v>
      </c>
      <c r="I152" s="8">
        <v>0.54500000000000004</v>
      </c>
      <c r="J152" s="7">
        <v>1.03</v>
      </c>
      <c r="K152" s="7">
        <v>1.22</v>
      </c>
      <c r="L152" s="7">
        <v>0.76</v>
      </c>
      <c r="M152" s="7">
        <v>69.099999999999994</v>
      </c>
      <c r="N152" s="7">
        <v>-1.2</v>
      </c>
      <c r="O152" s="7">
        <v>69.7</v>
      </c>
      <c r="P152" s="7">
        <v>0.64</v>
      </c>
      <c r="Q152" s="7">
        <v>0.76</v>
      </c>
      <c r="R152" s="7">
        <v>67.599999999999994</v>
      </c>
      <c r="S152" s="7">
        <v>1.02</v>
      </c>
      <c r="T152" s="7">
        <v>71.400000000000006</v>
      </c>
      <c r="U152" s="7">
        <v>0.67</v>
      </c>
      <c r="V152" s="7">
        <v>-22</v>
      </c>
      <c r="W152" s="7">
        <v>7</v>
      </c>
      <c r="X152" s="7">
        <v>0.83</v>
      </c>
      <c r="Y152" s="7">
        <v>8</v>
      </c>
      <c r="Z152" s="7">
        <v>0.9</v>
      </c>
      <c r="AA152" s="7">
        <v>8</v>
      </c>
      <c r="AB152" s="7">
        <v>0.9</v>
      </c>
      <c r="AC152" s="7">
        <v>9.9447513812154692E-2</v>
      </c>
      <c r="AD152" s="7">
        <v>0.43093922651933703</v>
      </c>
      <c r="AE152" s="7">
        <v>0.16574585635359121</v>
      </c>
      <c r="AF152" s="7">
        <v>3.8674033149171269E-2</v>
      </c>
      <c r="AG152" s="7">
        <v>5</v>
      </c>
      <c r="AH152" s="7">
        <v>4</v>
      </c>
      <c r="AI152" s="7">
        <v>3</v>
      </c>
      <c r="AJ152" s="7">
        <v>3</v>
      </c>
      <c r="AK152" s="7">
        <v>1</v>
      </c>
      <c r="AL152" s="7">
        <v>5.5248618784530376E-3</v>
      </c>
      <c r="AM152" s="7">
        <v>0.95</v>
      </c>
      <c r="AN152" s="7">
        <v>0</v>
      </c>
      <c r="AO152" s="7" t="s">
        <v>85</v>
      </c>
      <c r="AP152" s="7">
        <v>98.7</v>
      </c>
      <c r="AQ152" s="8">
        <v>0.61099999999999999</v>
      </c>
      <c r="AR152" s="8">
        <v>4.9000000000000002E-2</v>
      </c>
      <c r="AS152" s="8">
        <v>0.31</v>
      </c>
      <c r="AT152" s="7">
        <v>109</v>
      </c>
      <c r="AU152" s="8">
        <v>7.1999999999999995E-2</v>
      </c>
      <c r="AV152" s="7">
        <v>0.40147058823529408</v>
      </c>
      <c r="AW152" s="7">
        <v>47.239215686274513</v>
      </c>
      <c r="AX152" s="7">
        <v>0.17</v>
      </c>
      <c r="AY152" s="8">
        <v>0.217</v>
      </c>
      <c r="AZ152" s="7">
        <v>0.05</v>
      </c>
      <c r="BA152" s="7">
        <v>3.25</v>
      </c>
      <c r="BB152" s="7">
        <v>45</v>
      </c>
      <c r="BC152" s="7">
        <v>77</v>
      </c>
      <c r="BD152" s="7">
        <v>81</v>
      </c>
      <c r="BE152" s="7">
        <v>45</v>
      </c>
      <c r="BF152" s="7">
        <v>23</v>
      </c>
      <c r="BG152" s="7">
        <v>0</v>
      </c>
      <c r="BH152" s="7">
        <v>50</v>
      </c>
      <c r="BI152" s="8">
        <v>0.61199999999999999</v>
      </c>
      <c r="BJ152" s="7">
        <v>1.3360317460317459</v>
      </c>
      <c r="BK152" s="7">
        <v>0.17</v>
      </c>
      <c r="BL152" s="7">
        <v>0.12</v>
      </c>
      <c r="BM152" s="7">
        <v>0.14000000000000001</v>
      </c>
      <c r="BN152" s="8">
        <v>0.17100000000000001</v>
      </c>
      <c r="BO152" s="7">
        <v>2.41</v>
      </c>
      <c r="BP152" s="8">
        <v>0.5</v>
      </c>
      <c r="BQ152" s="7">
        <v>71</v>
      </c>
      <c r="BR152" s="7">
        <v>0</v>
      </c>
      <c r="BS152" s="8">
        <v>0</v>
      </c>
      <c r="BT152" s="7" t="s">
        <v>85</v>
      </c>
      <c r="BU152" s="7">
        <v>1.1000000000000001</v>
      </c>
      <c r="BV152" s="7">
        <v>0.62</v>
      </c>
      <c r="BW152" s="7">
        <v>1.76</v>
      </c>
      <c r="BX152" s="8">
        <v>0.25900000000000001</v>
      </c>
    </row>
    <row r="153" spans="2:76" ht="19.899999999999999" customHeight="1" x14ac:dyDescent="0.3">
      <c r="B153" s="7" t="s">
        <v>148</v>
      </c>
      <c r="C153" s="7">
        <v>8</v>
      </c>
      <c r="D153" s="7">
        <v>0.95</v>
      </c>
      <c r="E153" s="7">
        <v>178</v>
      </c>
      <c r="F153" s="7">
        <v>0.97</v>
      </c>
      <c r="G153" s="7">
        <v>0.93</v>
      </c>
      <c r="H153" s="8">
        <v>0.14000000000000001</v>
      </c>
      <c r="I153" s="8">
        <v>0.64</v>
      </c>
      <c r="J153" s="7">
        <v>1.03</v>
      </c>
      <c r="K153" s="7">
        <v>0.91</v>
      </c>
      <c r="L153" s="7">
        <v>0.66</v>
      </c>
      <c r="M153" s="7">
        <v>66.900000000000006</v>
      </c>
      <c r="N153" s="7">
        <v>0.49</v>
      </c>
      <c r="O153" s="7">
        <v>63.2</v>
      </c>
      <c r="P153" s="7">
        <v>0.6</v>
      </c>
      <c r="Q153" s="7">
        <v>0.66</v>
      </c>
      <c r="R153" s="7">
        <v>67.5</v>
      </c>
      <c r="S153" s="7">
        <v>0.78</v>
      </c>
      <c r="T153" s="7">
        <v>61.6</v>
      </c>
      <c r="U153" s="7">
        <v>0.57999999999999996</v>
      </c>
      <c r="V153" s="7">
        <v>-10</v>
      </c>
      <c r="W153" s="7">
        <v>1</v>
      </c>
      <c r="X153" s="7">
        <v>0.8</v>
      </c>
      <c r="Y153" s="7">
        <v>2</v>
      </c>
      <c r="Z153" s="7">
        <v>0.56000000000000005</v>
      </c>
      <c r="AA153" s="7">
        <v>6</v>
      </c>
      <c r="AB153" s="7">
        <v>0.88</v>
      </c>
      <c r="AC153" s="7">
        <v>8.98876404494382E-2</v>
      </c>
      <c r="AD153" s="7">
        <v>0.4550561797752809</v>
      </c>
      <c r="AE153" s="7">
        <v>0.1235955056179775</v>
      </c>
      <c r="AF153" s="7">
        <v>1.6853932584269659E-2</v>
      </c>
      <c r="AG153" s="7">
        <v>5</v>
      </c>
      <c r="AH153" s="7">
        <v>4</v>
      </c>
      <c r="AI153" s="7">
        <v>3</v>
      </c>
      <c r="AJ153" s="7">
        <v>1</v>
      </c>
      <c r="AK153" s="7">
        <v>4</v>
      </c>
      <c r="AL153" s="7">
        <v>2.247191011235955E-2</v>
      </c>
      <c r="AM153" s="7">
        <v>0.84</v>
      </c>
      <c r="AN153" s="7">
        <v>0</v>
      </c>
      <c r="AO153" s="7" t="s">
        <v>85</v>
      </c>
      <c r="AP153" s="7">
        <v>83.2</v>
      </c>
      <c r="AQ153" s="8">
        <v>0.81200000000000006</v>
      </c>
      <c r="AR153" s="8">
        <v>3.3000000000000002E-2</v>
      </c>
      <c r="AS153" s="8">
        <v>0.26200000000000001</v>
      </c>
      <c r="AT153" s="7">
        <v>105</v>
      </c>
      <c r="AU153" s="8">
        <v>0.152</v>
      </c>
      <c r="AV153" s="7">
        <v>0.37274725274725279</v>
      </c>
      <c r="AW153" s="7">
        <v>44.079120879120879</v>
      </c>
      <c r="AX153" s="7">
        <v>0.13</v>
      </c>
      <c r="AY153" s="8">
        <v>0.17899999999999999</v>
      </c>
      <c r="AZ153" s="7">
        <v>0.06</v>
      </c>
      <c r="BA153" s="7">
        <v>5.63</v>
      </c>
      <c r="BB153" s="7">
        <v>15</v>
      </c>
      <c r="BC153" s="7">
        <v>36</v>
      </c>
      <c r="BD153" s="7">
        <v>54</v>
      </c>
      <c r="BE153" s="7">
        <v>41</v>
      </c>
      <c r="BF153" s="7">
        <v>63</v>
      </c>
      <c r="BG153" s="7">
        <v>91</v>
      </c>
      <c r="BH153" s="7">
        <v>84</v>
      </c>
      <c r="BI153" s="8">
        <v>0.34599999999999997</v>
      </c>
      <c r="BJ153" s="7">
        <v>1.0891208791208791</v>
      </c>
      <c r="BK153" s="7">
        <v>0.12</v>
      </c>
      <c r="BL153" s="7">
        <v>0.11</v>
      </c>
      <c r="BM153" s="7">
        <v>0.12</v>
      </c>
      <c r="BN153" s="8">
        <v>0.157</v>
      </c>
      <c r="BO153" s="7">
        <v>2.04</v>
      </c>
      <c r="BP153" s="8">
        <v>0.8</v>
      </c>
      <c r="BQ153" s="7">
        <v>70</v>
      </c>
      <c r="BR153" s="7">
        <v>0.28999999999999998</v>
      </c>
      <c r="BS153" s="8">
        <v>0.48599999999999999</v>
      </c>
      <c r="BT153" s="8">
        <v>0.21299999999999999</v>
      </c>
      <c r="BU153" s="7">
        <v>1.1200000000000001</v>
      </c>
      <c r="BV153" s="7">
        <v>0.86</v>
      </c>
      <c r="BW153" s="7">
        <v>2.4700000000000002</v>
      </c>
      <c r="BX153" s="8">
        <v>0.224</v>
      </c>
    </row>
    <row r="154" spans="2:76" ht="19.899999999999999" customHeight="1" x14ac:dyDescent="0.3">
      <c r="B154" s="7" t="s">
        <v>142</v>
      </c>
      <c r="C154" s="7">
        <v>4</v>
      </c>
      <c r="D154" s="7">
        <v>0.95</v>
      </c>
      <c r="E154" s="7">
        <v>90</v>
      </c>
      <c r="F154" s="7">
        <v>1</v>
      </c>
      <c r="G154" s="7">
        <v>0.9</v>
      </c>
      <c r="H154" s="8">
        <v>0.189</v>
      </c>
      <c r="I154" s="8">
        <v>0.41199999999999998</v>
      </c>
      <c r="J154" s="7">
        <v>0.87</v>
      </c>
      <c r="K154" s="7">
        <v>0.78</v>
      </c>
      <c r="L154" s="7">
        <v>0.77</v>
      </c>
      <c r="M154" s="7">
        <v>67.8</v>
      </c>
      <c r="N154" s="7">
        <v>-1.1100000000000001</v>
      </c>
      <c r="O154" s="7">
        <v>73.400000000000006</v>
      </c>
      <c r="P154" s="7">
        <v>0.63</v>
      </c>
      <c r="Q154" s="7">
        <v>0.77</v>
      </c>
      <c r="R154" s="7">
        <v>64.900000000000006</v>
      </c>
      <c r="S154" s="7">
        <v>0.89</v>
      </c>
      <c r="T154" s="7">
        <v>77.2</v>
      </c>
      <c r="U154" s="7">
        <v>0.68</v>
      </c>
      <c r="V154" s="7">
        <v>-12</v>
      </c>
      <c r="W154" s="7">
        <v>1</v>
      </c>
      <c r="X154" s="7">
        <v>0.88</v>
      </c>
      <c r="Y154" s="7">
        <v>2</v>
      </c>
      <c r="Z154" s="7">
        <v>0.84</v>
      </c>
      <c r="AA154" s="7">
        <v>2</v>
      </c>
      <c r="AB154" s="7">
        <v>0.84</v>
      </c>
      <c r="AC154" s="7">
        <v>7.7777777777777779E-2</v>
      </c>
      <c r="AD154" s="7">
        <v>0.46666666666666667</v>
      </c>
      <c r="AE154" s="7">
        <v>0.1444444444444444</v>
      </c>
      <c r="AF154" s="7">
        <v>2.222222222222222E-2</v>
      </c>
      <c r="AG154" s="7">
        <v>3</v>
      </c>
      <c r="AH154" s="7">
        <v>1</v>
      </c>
      <c r="AI154" s="7">
        <v>1</v>
      </c>
      <c r="AJ154" s="7">
        <v>0</v>
      </c>
      <c r="AK154" s="7">
        <v>2</v>
      </c>
      <c r="AL154" s="7">
        <v>3.3333333333333333E-2</v>
      </c>
      <c r="AM154" s="7">
        <v>1</v>
      </c>
      <c r="AN154" s="7">
        <v>0</v>
      </c>
      <c r="AO154" s="7" t="s">
        <v>85</v>
      </c>
      <c r="AP154" s="7">
        <v>94.4</v>
      </c>
      <c r="AQ154" s="8">
        <v>0.71399999999999997</v>
      </c>
      <c r="AR154" s="8">
        <v>1.9E-2</v>
      </c>
      <c r="AS154" s="8">
        <v>0.26300000000000001</v>
      </c>
      <c r="AT154" s="7">
        <v>116</v>
      </c>
      <c r="AU154" s="8">
        <v>8.8999999999999996E-2</v>
      </c>
      <c r="AV154" s="7">
        <v>0.36538461538461542</v>
      </c>
      <c r="AW154" s="7">
        <v>58.053846153846173</v>
      </c>
      <c r="AX154" s="7">
        <v>0.2</v>
      </c>
      <c r="AY154" s="8">
        <v>0.11600000000000001</v>
      </c>
      <c r="AZ154" s="7">
        <v>0.01</v>
      </c>
      <c r="BA154" s="7">
        <v>7.22</v>
      </c>
      <c r="BB154" s="7">
        <v>41</v>
      </c>
      <c r="BC154" s="7">
        <v>9</v>
      </c>
      <c r="BD154" s="7">
        <v>92</v>
      </c>
      <c r="BE154" s="7">
        <v>27</v>
      </c>
      <c r="BF154" s="7">
        <v>67</v>
      </c>
      <c r="BG154" s="7">
        <v>2</v>
      </c>
      <c r="BH154" s="7">
        <v>58</v>
      </c>
      <c r="BI154" s="8">
        <v>0.66700000000000004</v>
      </c>
      <c r="BJ154" s="7" t="s">
        <v>85</v>
      </c>
      <c r="BK154" s="7">
        <v>0.09</v>
      </c>
      <c r="BL154" s="7">
        <v>0.14000000000000001</v>
      </c>
      <c r="BM154" s="7">
        <v>7.0000000000000007E-2</v>
      </c>
      <c r="BN154" s="8">
        <v>0.189</v>
      </c>
      <c r="BO154" s="7">
        <v>2.66</v>
      </c>
      <c r="BP154" s="8">
        <v>1</v>
      </c>
      <c r="BQ154" s="7">
        <v>61</v>
      </c>
      <c r="BR154" s="7">
        <v>0.02</v>
      </c>
      <c r="BS154" s="8">
        <v>3.5000000000000003E-2</v>
      </c>
      <c r="BT154" s="8">
        <v>2.1999999999999999E-2</v>
      </c>
      <c r="BU154" s="7">
        <v>1.1100000000000001</v>
      </c>
      <c r="BV154" s="7">
        <v>0.47</v>
      </c>
      <c r="BW154" s="7">
        <v>2.0499999999999998</v>
      </c>
      <c r="BX154" s="8">
        <v>0.316</v>
      </c>
    </row>
    <row r="155" spans="2:76" ht="19.899999999999999" customHeight="1" x14ac:dyDescent="0.3">
      <c r="B155" s="7" t="s">
        <v>179</v>
      </c>
      <c r="C155" s="7">
        <v>5</v>
      </c>
      <c r="D155" s="7">
        <v>0.93</v>
      </c>
      <c r="E155" s="7">
        <v>100</v>
      </c>
      <c r="F155" s="7">
        <v>0.91</v>
      </c>
      <c r="G155" s="7">
        <v>0.96</v>
      </c>
      <c r="H155" s="8">
        <v>0.25</v>
      </c>
      <c r="I155" s="8">
        <v>0.52</v>
      </c>
      <c r="J155" s="7">
        <v>1.1200000000000001</v>
      </c>
      <c r="K155" s="7">
        <v>1.06</v>
      </c>
      <c r="L155" s="7">
        <v>0.59</v>
      </c>
      <c r="M155" s="7">
        <v>74</v>
      </c>
      <c r="N155" s="7">
        <v>0.05</v>
      </c>
      <c r="O155" s="7">
        <v>57.9</v>
      </c>
      <c r="P155" s="7">
        <v>0.51</v>
      </c>
      <c r="Q155" s="7">
        <v>0.59</v>
      </c>
      <c r="R155" s="7">
        <v>70.7</v>
      </c>
      <c r="S155" s="7">
        <v>0.73</v>
      </c>
      <c r="T155" s="7">
        <v>57.9</v>
      </c>
      <c r="U155" s="7">
        <v>0.51</v>
      </c>
      <c r="V155" s="7">
        <v>-8</v>
      </c>
      <c r="W155" s="7">
        <v>0</v>
      </c>
      <c r="X155" s="7" t="s">
        <v>85</v>
      </c>
      <c r="Y155" s="7">
        <v>2</v>
      </c>
      <c r="Z155" s="7">
        <v>0.94</v>
      </c>
      <c r="AA155" s="7">
        <v>5</v>
      </c>
      <c r="AB155" s="7">
        <v>0.93</v>
      </c>
      <c r="AC155" s="7">
        <v>0.13</v>
      </c>
      <c r="AD155" s="7">
        <v>0.38</v>
      </c>
      <c r="AE155" s="7">
        <v>0.11</v>
      </c>
      <c r="AF155" s="7">
        <v>0.02</v>
      </c>
      <c r="AG155" s="7">
        <v>4</v>
      </c>
      <c r="AH155" s="7">
        <v>2</v>
      </c>
      <c r="AI155" s="7">
        <v>1</v>
      </c>
      <c r="AJ155" s="7">
        <v>0</v>
      </c>
      <c r="AK155" s="7">
        <v>3</v>
      </c>
      <c r="AL155" s="7">
        <v>0.04</v>
      </c>
      <c r="AM155" s="7">
        <v>0.71</v>
      </c>
      <c r="AN155" s="7">
        <v>0</v>
      </c>
      <c r="AO155" s="7" t="s">
        <v>85</v>
      </c>
      <c r="AP155" s="7">
        <v>71.8</v>
      </c>
      <c r="AQ155" s="8">
        <v>0.76900000000000002</v>
      </c>
      <c r="AR155" s="8">
        <v>9.8000000000000004E-2</v>
      </c>
      <c r="AS155" s="8">
        <v>0.373</v>
      </c>
      <c r="AT155" s="7">
        <v>113</v>
      </c>
      <c r="AU155" s="8">
        <v>0.06</v>
      </c>
      <c r="AV155" s="7">
        <v>0.22219512195121949</v>
      </c>
      <c r="AW155" s="7">
        <v>37.897560975609757</v>
      </c>
      <c r="AX155" s="7">
        <v>0.13</v>
      </c>
      <c r="AY155" s="8">
        <v>0.254</v>
      </c>
      <c r="AZ155" s="7">
        <v>0.13</v>
      </c>
      <c r="BA155" s="7">
        <v>10.68</v>
      </c>
      <c r="BB155" s="7">
        <v>4</v>
      </c>
      <c r="BC155" s="7">
        <v>80</v>
      </c>
      <c r="BD155" s="7">
        <v>74</v>
      </c>
      <c r="BE155" s="7">
        <v>82</v>
      </c>
      <c r="BF155" s="7">
        <v>77</v>
      </c>
      <c r="BG155" s="7">
        <v>0</v>
      </c>
      <c r="BH155" s="7">
        <v>90</v>
      </c>
      <c r="BI155" s="8">
        <v>0.52900000000000003</v>
      </c>
      <c r="BJ155" s="7">
        <v>0.9850000000000001</v>
      </c>
      <c r="BK155" s="7">
        <v>0.15</v>
      </c>
      <c r="BL155" s="7">
        <v>0.13</v>
      </c>
      <c r="BM155" s="7">
        <v>0.12</v>
      </c>
      <c r="BN155" s="8">
        <v>0.25</v>
      </c>
      <c r="BO155" s="7">
        <v>2.65</v>
      </c>
      <c r="BP155" s="8">
        <v>1</v>
      </c>
      <c r="BQ155" s="7">
        <v>75</v>
      </c>
      <c r="BR155" s="7">
        <v>0</v>
      </c>
      <c r="BS155" s="8">
        <v>0</v>
      </c>
      <c r="BT155" s="7" t="s">
        <v>85</v>
      </c>
      <c r="BU155" s="7">
        <v>3</v>
      </c>
      <c r="BV155" s="7">
        <v>0.71</v>
      </c>
      <c r="BW155" s="7">
        <v>2.52</v>
      </c>
      <c r="BX155" s="8">
        <v>0.255</v>
      </c>
    </row>
    <row r="156" spans="2:76" ht="19.899999999999999" customHeight="1" x14ac:dyDescent="0.3">
      <c r="B156" s="7" t="s">
        <v>138</v>
      </c>
      <c r="C156" s="7">
        <v>7</v>
      </c>
      <c r="D156" s="7">
        <v>0.92</v>
      </c>
      <c r="E156" s="7">
        <v>147</v>
      </c>
      <c r="F156" s="7">
        <v>0.88</v>
      </c>
      <c r="G156" s="7">
        <v>0.96</v>
      </c>
      <c r="H156" s="8">
        <v>0.218</v>
      </c>
      <c r="I156" s="8">
        <v>0.625</v>
      </c>
      <c r="J156" s="7">
        <v>1.21</v>
      </c>
      <c r="K156" s="7">
        <v>0.83</v>
      </c>
      <c r="L156" s="7">
        <v>0.61</v>
      </c>
      <c r="M156" s="7">
        <v>68</v>
      </c>
      <c r="N156" s="7">
        <v>-0.23</v>
      </c>
      <c r="O156" s="7">
        <v>62.5</v>
      </c>
      <c r="P156" s="7">
        <v>0.56000000000000005</v>
      </c>
      <c r="Q156" s="7">
        <v>0.61</v>
      </c>
      <c r="R156" s="7">
        <v>65.900000000000006</v>
      </c>
      <c r="S156" s="7">
        <v>0.86</v>
      </c>
      <c r="T156" s="7">
        <v>61.5</v>
      </c>
      <c r="U156" s="7">
        <v>0.53</v>
      </c>
      <c r="V156" s="7">
        <v>-8</v>
      </c>
      <c r="W156" s="7">
        <v>1</v>
      </c>
      <c r="X156" s="7">
        <v>0.71</v>
      </c>
      <c r="Y156" s="7">
        <v>2</v>
      </c>
      <c r="Z156" s="7">
        <v>0.85</v>
      </c>
      <c r="AA156" s="7">
        <v>4</v>
      </c>
      <c r="AB156" s="7">
        <v>0.75</v>
      </c>
      <c r="AC156" s="7">
        <v>0.1360544217687075</v>
      </c>
      <c r="AD156" s="7">
        <v>0.41496598639455778</v>
      </c>
      <c r="AE156" s="7">
        <v>0.108843537414966</v>
      </c>
      <c r="AF156" s="7">
        <v>3.4013605442176867E-2</v>
      </c>
      <c r="AG156" s="7">
        <v>4</v>
      </c>
      <c r="AH156" s="7">
        <v>2</v>
      </c>
      <c r="AI156" s="7">
        <v>2</v>
      </c>
      <c r="AJ156" s="7">
        <v>1</v>
      </c>
      <c r="AK156" s="7">
        <v>3</v>
      </c>
      <c r="AL156" s="7">
        <v>3.4013605442176867E-2</v>
      </c>
      <c r="AM156" s="7">
        <v>0.79</v>
      </c>
      <c r="AN156" s="7">
        <v>0</v>
      </c>
      <c r="AO156" s="7" t="s">
        <v>85</v>
      </c>
      <c r="AP156" s="7">
        <v>84.4</v>
      </c>
      <c r="AQ156" s="8">
        <v>0.8</v>
      </c>
      <c r="AR156" s="8">
        <v>9.5000000000000001E-2</v>
      </c>
      <c r="AS156" s="8">
        <v>0.26800000000000002</v>
      </c>
      <c r="AT156" s="7">
        <v>112</v>
      </c>
      <c r="AU156" s="8">
        <v>0.15</v>
      </c>
      <c r="AV156" s="7">
        <v>0.38369047619047608</v>
      </c>
      <c r="AW156" s="7">
        <v>46.074999999999989</v>
      </c>
      <c r="AX156" s="7">
        <v>0.12</v>
      </c>
      <c r="AY156" s="8">
        <v>0.1</v>
      </c>
      <c r="AZ156" s="7">
        <v>0.13</v>
      </c>
      <c r="BA156" s="7">
        <v>6.07</v>
      </c>
      <c r="BB156" s="7">
        <v>8</v>
      </c>
      <c r="BC156" s="7">
        <v>2</v>
      </c>
      <c r="BD156" s="7">
        <v>26</v>
      </c>
      <c r="BE156" s="7">
        <v>84</v>
      </c>
      <c r="BF156" s="7">
        <v>83</v>
      </c>
      <c r="BG156" s="7">
        <v>51</v>
      </c>
      <c r="BH156" s="7">
        <v>89</v>
      </c>
      <c r="BI156" s="8">
        <v>0.46300000000000002</v>
      </c>
      <c r="BJ156" s="7">
        <v>1.385</v>
      </c>
      <c r="BK156" s="7">
        <v>0.06</v>
      </c>
      <c r="BL156" s="7">
        <v>0.05</v>
      </c>
      <c r="BM156" s="7">
        <v>0.06</v>
      </c>
      <c r="BN156" s="8">
        <v>0.252</v>
      </c>
      <c r="BO156" s="7">
        <v>1.97</v>
      </c>
      <c r="BP156" s="8">
        <v>1</v>
      </c>
      <c r="BQ156" s="7">
        <v>77</v>
      </c>
      <c r="BR156" s="7">
        <v>0.19</v>
      </c>
      <c r="BS156" s="8">
        <v>0.34100000000000003</v>
      </c>
      <c r="BT156" s="8">
        <v>0.19700000000000001</v>
      </c>
      <c r="BU156" s="7">
        <v>1.36</v>
      </c>
      <c r="BV156" s="7">
        <v>1.03</v>
      </c>
      <c r="BW156" s="7">
        <v>2.4700000000000002</v>
      </c>
      <c r="BX156" s="8">
        <v>0.20699999999999999</v>
      </c>
    </row>
    <row r="157" spans="2:76" ht="19.899999999999999" customHeight="1" x14ac:dyDescent="0.3">
      <c r="B157" s="7" t="s">
        <v>126</v>
      </c>
      <c r="C157" s="7">
        <v>5</v>
      </c>
      <c r="D157" s="7">
        <v>0.92</v>
      </c>
      <c r="E157" s="7">
        <v>119</v>
      </c>
      <c r="F157" s="7">
        <v>0.93</v>
      </c>
      <c r="G157" s="7">
        <v>0.92</v>
      </c>
      <c r="H157" s="8">
        <v>0.109</v>
      </c>
      <c r="I157" s="8">
        <v>0.61499999999999999</v>
      </c>
      <c r="J157" s="7">
        <v>0.93</v>
      </c>
      <c r="K157" s="7">
        <v>1.2</v>
      </c>
      <c r="L157" s="7">
        <v>0.61</v>
      </c>
      <c r="M157" s="7">
        <v>70.599999999999994</v>
      </c>
      <c r="N157" s="7">
        <v>-0.4</v>
      </c>
      <c r="O157" s="7">
        <v>59.4</v>
      </c>
      <c r="P157" s="7">
        <v>0.57999999999999996</v>
      </c>
      <c r="Q157" s="7">
        <v>0.61</v>
      </c>
      <c r="R157" s="7">
        <v>68.8</v>
      </c>
      <c r="S157" s="7">
        <v>1</v>
      </c>
      <c r="T157" s="7">
        <v>58.2</v>
      </c>
      <c r="U157" s="7">
        <v>0.56999999999999995</v>
      </c>
      <c r="V157" s="7">
        <v>-3</v>
      </c>
      <c r="W157" s="7">
        <v>1</v>
      </c>
      <c r="X157" s="7">
        <v>1.08</v>
      </c>
      <c r="Y157" s="7">
        <v>2</v>
      </c>
      <c r="Z157" s="7">
        <v>0.91</v>
      </c>
      <c r="AA157" s="7">
        <v>5</v>
      </c>
      <c r="AB157" s="7">
        <v>0.92</v>
      </c>
      <c r="AC157" s="7">
        <v>6.7226890756302518E-2</v>
      </c>
      <c r="AD157" s="7">
        <v>0.41176470588235292</v>
      </c>
      <c r="AE157" s="7">
        <v>0.1092436974789916</v>
      </c>
      <c r="AF157" s="7">
        <v>5.0420168067226892E-2</v>
      </c>
      <c r="AG157" s="7">
        <v>4</v>
      </c>
      <c r="AH157" s="7">
        <v>2</v>
      </c>
      <c r="AI157" s="7">
        <v>1</v>
      </c>
      <c r="AJ157" s="7">
        <v>0</v>
      </c>
      <c r="AK157" s="7">
        <v>3</v>
      </c>
      <c r="AL157" s="7">
        <v>5.0420168067226892E-2</v>
      </c>
      <c r="AM157" s="7">
        <v>0.77</v>
      </c>
      <c r="AN157" s="7">
        <v>0</v>
      </c>
      <c r="AO157" s="7" t="s">
        <v>85</v>
      </c>
      <c r="AP157" s="7">
        <v>75.3</v>
      </c>
      <c r="AQ157" s="8">
        <v>0.5</v>
      </c>
      <c r="AR157" s="8">
        <v>0.19400000000000001</v>
      </c>
      <c r="AS157" s="8">
        <v>0.28999999999999998</v>
      </c>
      <c r="AT157" s="7">
        <v>103</v>
      </c>
      <c r="AU157" s="8">
        <v>0.218</v>
      </c>
      <c r="AV157" s="7">
        <v>0.43223880597014919</v>
      </c>
      <c r="AW157" s="7">
        <v>47.059701492537307</v>
      </c>
      <c r="AX157" s="7">
        <v>0.17</v>
      </c>
      <c r="AY157" s="8">
        <v>0.19400000000000001</v>
      </c>
      <c r="AZ157" s="7">
        <v>0.09</v>
      </c>
      <c r="BA157" s="7">
        <v>3.16</v>
      </c>
      <c r="BB157" s="7">
        <v>8</v>
      </c>
      <c r="BC157" s="7">
        <v>38</v>
      </c>
      <c r="BD157" s="7">
        <v>86</v>
      </c>
      <c r="BE157" s="7">
        <v>19</v>
      </c>
      <c r="BF157" s="7">
        <v>98</v>
      </c>
      <c r="BG157" s="7">
        <v>89</v>
      </c>
      <c r="BH157" s="7">
        <v>68</v>
      </c>
      <c r="BI157" s="8">
        <v>0.36199999999999999</v>
      </c>
      <c r="BJ157" s="7">
        <v>1.1599999999999999</v>
      </c>
      <c r="BK157" s="7">
        <v>0.12</v>
      </c>
      <c r="BL157" s="7">
        <v>0.13</v>
      </c>
      <c r="BM157" s="7">
        <v>0.11</v>
      </c>
      <c r="BN157" s="8">
        <v>0.24399999999999999</v>
      </c>
      <c r="BO157" s="7">
        <v>1.7</v>
      </c>
      <c r="BP157" s="8">
        <v>0.5</v>
      </c>
      <c r="BQ157" s="7">
        <v>82</v>
      </c>
      <c r="BR157" s="7">
        <v>0.26</v>
      </c>
      <c r="BS157" s="8">
        <v>0.44900000000000001</v>
      </c>
      <c r="BT157" s="8">
        <v>0.29399999999999998</v>
      </c>
      <c r="BU157" s="7">
        <v>1.68</v>
      </c>
      <c r="BV157" s="7">
        <v>0.8</v>
      </c>
      <c r="BW157" s="7">
        <v>3.09</v>
      </c>
      <c r="BX157" s="8">
        <v>0.28999999999999998</v>
      </c>
    </row>
    <row r="158" spans="2:76" ht="19.899999999999999" customHeight="1" x14ac:dyDescent="0.3">
      <c r="B158" s="7" t="s">
        <v>180</v>
      </c>
      <c r="C158" s="7">
        <v>9</v>
      </c>
      <c r="D158" s="7">
        <v>0.92</v>
      </c>
      <c r="E158" s="7">
        <v>183</v>
      </c>
      <c r="F158" s="7">
        <v>1.03</v>
      </c>
      <c r="G158" s="7">
        <v>0.8</v>
      </c>
      <c r="H158" s="8">
        <v>0.20799999999999999</v>
      </c>
      <c r="I158" s="8">
        <v>0.28899999999999998</v>
      </c>
      <c r="J158" s="7">
        <v>0.72</v>
      </c>
      <c r="K158" s="7">
        <v>0.43</v>
      </c>
      <c r="L158" s="7">
        <v>0.63</v>
      </c>
      <c r="M158" s="7">
        <v>73.8</v>
      </c>
      <c r="N158" s="7">
        <v>-1.22</v>
      </c>
      <c r="O158" s="7">
        <v>65.900000000000006</v>
      </c>
      <c r="P158" s="7">
        <v>0.56000000000000005</v>
      </c>
      <c r="Q158" s="7">
        <v>0.63</v>
      </c>
      <c r="R158" s="7">
        <v>68.400000000000006</v>
      </c>
      <c r="S158" s="7">
        <v>0.87</v>
      </c>
      <c r="T158" s="7">
        <v>65</v>
      </c>
      <c r="U158" s="7">
        <v>0.56000000000000005</v>
      </c>
      <c r="V158" s="7">
        <v>-13</v>
      </c>
      <c r="W158" s="7">
        <v>3</v>
      </c>
      <c r="X158" s="7">
        <v>0.91</v>
      </c>
      <c r="Y158" s="7">
        <v>6</v>
      </c>
      <c r="Z158" s="7">
        <v>0.89</v>
      </c>
      <c r="AA158" s="7">
        <v>7</v>
      </c>
      <c r="AB158" s="7">
        <v>0.86</v>
      </c>
      <c r="AC158" s="7">
        <v>6.0109289617486343E-2</v>
      </c>
      <c r="AD158" s="7">
        <v>0.41530054644808739</v>
      </c>
      <c r="AE158" s="7">
        <v>0.13114754098360659</v>
      </c>
      <c r="AF158" s="7">
        <v>1.092896174863388E-2</v>
      </c>
      <c r="AG158" s="7">
        <v>6</v>
      </c>
      <c r="AH158" s="7">
        <v>4</v>
      </c>
      <c r="AI158" s="7">
        <v>3</v>
      </c>
      <c r="AJ158" s="7">
        <v>1</v>
      </c>
      <c r="AK158" s="7">
        <v>0</v>
      </c>
      <c r="AL158" s="7">
        <v>0</v>
      </c>
      <c r="AM158" s="7">
        <v>0.81</v>
      </c>
      <c r="AN158" s="7">
        <v>0</v>
      </c>
      <c r="AO158" s="7" t="s">
        <v>85</v>
      </c>
      <c r="AP158" s="7">
        <v>83.2</v>
      </c>
      <c r="AQ158" s="8">
        <v>0.72699999999999998</v>
      </c>
      <c r="AR158" s="8">
        <v>0.108</v>
      </c>
      <c r="AS158" s="8">
        <v>0.33</v>
      </c>
      <c r="AT158" s="7">
        <v>117</v>
      </c>
      <c r="AU158" s="8">
        <v>7.6999999999999999E-2</v>
      </c>
      <c r="AV158" s="7">
        <v>0.26506024096385539</v>
      </c>
      <c r="AW158" s="7">
        <v>45.056626506024102</v>
      </c>
      <c r="AX158" s="7">
        <v>0.11</v>
      </c>
      <c r="AY158" s="8">
        <v>0.25</v>
      </c>
      <c r="AZ158" s="7">
        <v>0.02</v>
      </c>
      <c r="BA158" s="7">
        <v>4.57</v>
      </c>
      <c r="BB158" s="7">
        <v>17</v>
      </c>
      <c r="BC158" s="7">
        <v>92</v>
      </c>
      <c r="BD158" s="7">
        <v>43</v>
      </c>
      <c r="BE158" s="7">
        <v>25</v>
      </c>
      <c r="BF158" s="7">
        <v>11</v>
      </c>
      <c r="BG158" s="7">
        <v>1</v>
      </c>
      <c r="BH158" s="7">
        <v>41</v>
      </c>
      <c r="BI158" s="8">
        <v>0.63100000000000001</v>
      </c>
      <c r="BJ158" s="7">
        <v>0.9978125000000001</v>
      </c>
      <c r="BK158" s="7">
        <v>0.16</v>
      </c>
      <c r="BL158" s="7">
        <v>0.1</v>
      </c>
      <c r="BM158" s="7">
        <v>0.15</v>
      </c>
      <c r="BN158" s="8">
        <v>0.23499999999999999</v>
      </c>
      <c r="BO158" s="7">
        <v>2.63</v>
      </c>
      <c r="BP158" s="7" t="s">
        <v>85</v>
      </c>
      <c r="BQ158" s="7">
        <v>71</v>
      </c>
      <c r="BR158" s="7">
        <v>0.01</v>
      </c>
      <c r="BS158" s="8">
        <v>1.9E-2</v>
      </c>
      <c r="BT158" s="8">
        <v>1.0999999999999999E-2</v>
      </c>
      <c r="BU158" s="7">
        <v>0</v>
      </c>
      <c r="BV158" s="7">
        <v>0.45</v>
      </c>
      <c r="BW158" s="7">
        <v>2.2200000000000002</v>
      </c>
      <c r="BX158" s="8">
        <v>0.20399999999999999</v>
      </c>
    </row>
    <row r="159" spans="2:76" ht="19.899999999999999" customHeight="1" x14ac:dyDescent="0.3">
      <c r="B159" s="7" t="s">
        <v>181</v>
      </c>
      <c r="C159" s="7">
        <v>5</v>
      </c>
      <c r="D159" s="7">
        <v>0.9</v>
      </c>
      <c r="E159" s="7">
        <v>104</v>
      </c>
      <c r="F159" s="7">
        <v>1.02</v>
      </c>
      <c r="G159" s="7">
        <v>0.78</v>
      </c>
      <c r="H159" s="8">
        <v>0.21199999999999999</v>
      </c>
      <c r="I159" s="8">
        <v>0.5</v>
      </c>
      <c r="J159" s="7">
        <v>1.02</v>
      </c>
      <c r="K159" s="7">
        <v>0.32</v>
      </c>
      <c r="L159" s="7">
        <v>0.65</v>
      </c>
      <c r="M159" s="7">
        <v>75</v>
      </c>
      <c r="N159" s="7">
        <v>-0.82</v>
      </c>
      <c r="O159" s="7">
        <v>61.4</v>
      </c>
      <c r="P159" s="7">
        <v>0.54</v>
      </c>
      <c r="Q159" s="7">
        <v>0.65</v>
      </c>
      <c r="R159" s="7">
        <v>71.5</v>
      </c>
      <c r="S159" s="7">
        <v>0.68</v>
      </c>
      <c r="T159" s="7">
        <v>59.7</v>
      </c>
      <c r="U159" s="7">
        <v>0.52</v>
      </c>
      <c r="V159" s="7">
        <v>-12</v>
      </c>
      <c r="W159" s="7">
        <v>3</v>
      </c>
      <c r="X159" s="7">
        <v>0.9</v>
      </c>
      <c r="Y159" s="7">
        <v>3</v>
      </c>
      <c r="Z159" s="7">
        <v>0.9</v>
      </c>
      <c r="AA159" s="7">
        <v>5</v>
      </c>
      <c r="AB159" s="7">
        <v>0.9</v>
      </c>
      <c r="AC159" s="7">
        <v>0.1057692307692308</v>
      </c>
      <c r="AD159" s="7">
        <v>0.40384615384615391</v>
      </c>
      <c r="AE159" s="7">
        <v>0.125</v>
      </c>
      <c r="AF159" s="7">
        <v>9.6153846153846159E-3</v>
      </c>
      <c r="AG159" s="7">
        <v>3</v>
      </c>
      <c r="AH159" s="7">
        <v>2</v>
      </c>
      <c r="AI159" s="7">
        <v>0</v>
      </c>
      <c r="AJ159" s="7">
        <v>0</v>
      </c>
      <c r="AK159" s="7">
        <v>0</v>
      </c>
      <c r="AL159" s="7">
        <v>0</v>
      </c>
      <c r="AM159" s="7">
        <v>0.65</v>
      </c>
      <c r="AN159" s="7">
        <v>0</v>
      </c>
      <c r="AO159" s="7" t="s">
        <v>85</v>
      </c>
      <c r="AP159" s="7">
        <v>71.2</v>
      </c>
      <c r="AQ159" s="8">
        <v>0.72699999999999998</v>
      </c>
      <c r="AR159" s="8">
        <v>2.4E-2</v>
      </c>
      <c r="AS159" s="8">
        <v>0.23200000000000001</v>
      </c>
      <c r="AT159" s="7">
        <v>114</v>
      </c>
      <c r="AU159" s="8">
        <v>4.8000000000000001E-2</v>
      </c>
      <c r="AV159" s="7">
        <v>0.3738095238095237</v>
      </c>
      <c r="AW159" s="7">
        <v>46.933333333333309</v>
      </c>
      <c r="AX159" s="7">
        <v>0.06</v>
      </c>
      <c r="AY159" s="8">
        <v>0.23499999999999999</v>
      </c>
      <c r="AZ159" s="7">
        <v>0.05</v>
      </c>
      <c r="BA159" s="7">
        <v>3.63</v>
      </c>
      <c r="BB159" s="7">
        <v>9</v>
      </c>
      <c r="BC159" s="7">
        <v>53</v>
      </c>
      <c r="BD159" s="7">
        <v>3</v>
      </c>
      <c r="BE159" s="7">
        <v>58</v>
      </c>
      <c r="BF159" s="7">
        <v>10</v>
      </c>
      <c r="BG159" s="7">
        <v>0</v>
      </c>
      <c r="BH159" s="7">
        <v>47</v>
      </c>
      <c r="BI159" s="8">
        <v>0.67900000000000005</v>
      </c>
      <c r="BJ159" s="7">
        <v>0.85222222222222221</v>
      </c>
      <c r="BK159" s="7">
        <v>0.15</v>
      </c>
      <c r="BL159" s="7">
        <v>0.05</v>
      </c>
      <c r="BM159" s="7">
        <v>0.08</v>
      </c>
      <c r="BN159" s="8">
        <v>0.26900000000000002</v>
      </c>
      <c r="BO159" s="7">
        <v>2.37</v>
      </c>
      <c r="BP159" s="7" t="s">
        <v>85</v>
      </c>
      <c r="BQ159" s="7">
        <v>74</v>
      </c>
      <c r="BR159" s="7">
        <v>0.01</v>
      </c>
      <c r="BS159" s="8">
        <v>1.7999999999999999E-2</v>
      </c>
      <c r="BT159" s="8">
        <v>0.01</v>
      </c>
      <c r="BU159" s="7">
        <v>0</v>
      </c>
      <c r="BV159" s="7">
        <v>0.52</v>
      </c>
      <c r="BW159" s="7">
        <v>2.96</v>
      </c>
      <c r="BX159" s="8">
        <v>0.107</v>
      </c>
    </row>
    <row r="160" spans="2:76" ht="19.899999999999999" customHeight="1" x14ac:dyDescent="0.3">
      <c r="B160" s="7" t="s">
        <v>149</v>
      </c>
      <c r="C160" s="7">
        <v>7</v>
      </c>
      <c r="D160" s="7">
        <v>0.9</v>
      </c>
      <c r="E160" s="7">
        <v>147</v>
      </c>
      <c r="F160" s="7">
        <v>1</v>
      </c>
      <c r="G160" s="7">
        <v>0.81</v>
      </c>
      <c r="H160" s="8">
        <v>0.13600000000000001</v>
      </c>
      <c r="I160" s="8">
        <v>0.55000000000000004</v>
      </c>
      <c r="J160" s="7">
        <v>0.94</v>
      </c>
      <c r="K160" s="7">
        <v>1.23</v>
      </c>
      <c r="L160" s="7">
        <v>0.69</v>
      </c>
      <c r="M160" s="7">
        <v>76.2</v>
      </c>
      <c r="N160" s="7">
        <v>-1.53</v>
      </c>
      <c r="O160" s="7">
        <v>63.4</v>
      </c>
      <c r="P160" s="7">
        <v>0.56999999999999995</v>
      </c>
      <c r="Q160" s="7">
        <v>0.69</v>
      </c>
      <c r="R160" s="7">
        <v>71</v>
      </c>
      <c r="S160" s="7">
        <v>0.81</v>
      </c>
      <c r="T160" s="7">
        <v>63.2</v>
      </c>
      <c r="U160" s="7">
        <v>0.57999999999999996</v>
      </c>
      <c r="V160" s="7">
        <v>-17</v>
      </c>
      <c r="W160" s="7">
        <v>1</v>
      </c>
      <c r="X160" s="7">
        <v>0.76</v>
      </c>
      <c r="Y160" s="7">
        <v>2</v>
      </c>
      <c r="Z160" s="7">
        <v>0.84</v>
      </c>
      <c r="AA160" s="7">
        <v>4</v>
      </c>
      <c r="AB160" s="7">
        <v>0.86</v>
      </c>
      <c r="AC160" s="7">
        <v>7.4829931972789115E-2</v>
      </c>
      <c r="AD160" s="7">
        <v>0.44217687074829931</v>
      </c>
      <c r="AE160" s="7">
        <v>0.11564625850340141</v>
      </c>
      <c r="AF160" s="7">
        <v>1.360544217687075E-2</v>
      </c>
      <c r="AG160" s="7">
        <v>4</v>
      </c>
      <c r="AH160" s="7">
        <v>2</v>
      </c>
      <c r="AI160" s="7">
        <v>1</v>
      </c>
      <c r="AJ160" s="7">
        <v>0</v>
      </c>
      <c r="AK160" s="7">
        <v>0</v>
      </c>
      <c r="AL160" s="7">
        <v>0</v>
      </c>
      <c r="AM160" s="7">
        <v>0.75</v>
      </c>
      <c r="AN160" s="7">
        <v>0</v>
      </c>
      <c r="AO160" s="7" t="s">
        <v>85</v>
      </c>
      <c r="AP160" s="7">
        <v>72.5</v>
      </c>
      <c r="AQ160" s="8">
        <v>0.45500000000000002</v>
      </c>
      <c r="AR160" s="8">
        <v>9.5000000000000001E-2</v>
      </c>
      <c r="AS160" s="8">
        <v>0.41699999999999998</v>
      </c>
      <c r="AT160" s="7">
        <v>111</v>
      </c>
      <c r="AU160" s="8">
        <v>6.8000000000000005E-2</v>
      </c>
      <c r="AV160" s="7">
        <v>0.4375</v>
      </c>
      <c r="AW160" s="7">
        <v>56.574999999999989</v>
      </c>
      <c r="AX160" s="7">
        <v>0.14000000000000001</v>
      </c>
      <c r="AY160" s="8">
        <v>0.248</v>
      </c>
      <c r="AZ160" s="7">
        <v>0.03</v>
      </c>
      <c r="BA160" s="7">
        <v>4.5</v>
      </c>
      <c r="BB160" s="7">
        <v>11</v>
      </c>
      <c r="BC160" s="7">
        <v>95</v>
      </c>
      <c r="BD160" s="7">
        <v>68</v>
      </c>
      <c r="BE160" s="7">
        <v>21</v>
      </c>
      <c r="BF160" s="7">
        <v>11</v>
      </c>
      <c r="BG160" s="7">
        <v>0</v>
      </c>
      <c r="BH160" s="7">
        <v>53</v>
      </c>
      <c r="BI160" s="8">
        <v>0.45200000000000001</v>
      </c>
      <c r="BJ160" s="7">
        <v>1.04</v>
      </c>
      <c r="BK160" s="7">
        <v>0.17</v>
      </c>
      <c r="BL160" s="7">
        <v>0.1</v>
      </c>
      <c r="BM160" s="7">
        <v>0.17</v>
      </c>
      <c r="BN160" s="8">
        <v>0.23100000000000001</v>
      </c>
      <c r="BO160" s="7">
        <v>2.75</v>
      </c>
      <c r="BP160" s="8">
        <v>0</v>
      </c>
      <c r="BQ160" s="7">
        <v>74</v>
      </c>
      <c r="BR160" s="7">
        <v>0.01</v>
      </c>
      <c r="BS160" s="8">
        <v>1.2E-2</v>
      </c>
      <c r="BT160" s="8">
        <v>1.4E-2</v>
      </c>
      <c r="BU160" s="7">
        <v>0</v>
      </c>
      <c r="BV160" s="7">
        <v>0.56999999999999995</v>
      </c>
      <c r="BW160" s="7">
        <v>2.46</v>
      </c>
      <c r="BX160" s="8">
        <v>0.25</v>
      </c>
    </row>
    <row r="161" spans="2:76" ht="19.899999999999999" customHeight="1" x14ac:dyDescent="0.3">
      <c r="B161" s="7" t="s">
        <v>144</v>
      </c>
      <c r="C161" s="7">
        <v>8</v>
      </c>
      <c r="D161" s="7">
        <v>0.89</v>
      </c>
      <c r="E161" s="7">
        <v>178</v>
      </c>
      <c r="F161" s="7">
        <v>1.03</v>
      </c>
      <c r="G161" s="7">
        <v>0.77</v>
      </c>
      <c r="H161" s="8">
        <v>0.152</v>
      </c>
      <c r="I161" s="8">
        <v>0.29599999999999999</v>
      </c>
      <c r="J161" s="7">
        <v>0.71</v>
      </c>
      <c r="K161" s="7">
        <v>1.2</v>
      </c>
      <c r="L161" s="7">
        <v>0.71</v>
      </c>
      <c r="M161" s="7">
        <v>65.2</v>
      </c>
      <c r="N161" s="7">
        <v>-0.69</v>
      </c>
      <c r="O161" s="7">
        <v>55.1</v>
      </c>
      <c r="P161" s="7">
        <v>0.55000000000000004</v>
      </c>
      <c r="Q161" s="7">
        <v>0.71</v>
      </c>
      <c r="R161" s="7">
        <v>65.400000000000006</v>
      </c>
      <c r="S161" s="7">
        <v>0.86</v>
      </c>
      <c r="T161" s="7">
        <v>56.2</v>
      </c>
      <c r="U161" s="7">
        <v>0.57999999999999996</v>
      </c>
      <c r="V161" s="7">
        <v>-28</v>
      </c>
      <c r="W161" s="7">
        <v>1</v>
      </c>
      <c r="X161" s="7">
        <v>0.84</v>
      </c>
      <c r="Y161" s="7">
        <v>2</v>
      </c>
      <c r="Z161" s="7">
        <v>0.9</v>
      </c>
      <c r="AA161" s="7">
        <v>6</v>
      </c>
      <c r="AB161" s="7">
        <v>0.91</v>
      </c>
      <c r="AC161" s="7">
        <v>4.49438202247191E-2</v>
      </c>
      <c r="AD161" s="7">
        <v>0.4044943820224719</v>
      </c>
      <c r="AE161" s="7">
        <v>0.1235955056179775</v>
      </c>
      <c r="AF161" s="7">
        <v>2.247191011235955E-2</v>
      </c>
      <c r="AG161" s="7">
        <v>3</v>
      </c>
      <c r="AH161" s="7">
        <v>2</v>
      </c>
      <c r="AI161" s="7">
        <v>1</v>
      </c>
      <c r="AJ161" s="7">
        <v>1</v>
      </c>
      <c r="AK161" s="7">
        <v>6</v>
      </c>
      <c r="AL161" s="7">
        <v>7.3033707865168537E-2</v>
      </c>
      <c r="AM161" s="7">
        <v>0.78</v>
      </c>
      <c r="AN161" s="7">
        <v>0</v>
      </c>
      <c r="AO161" s="7" t="s">
        <v>85</v>
      </c>
      <c r="AP161" s="7">
        <v>71.099999999999994</v>
      </c>
      <c r="AQ161" s="8">
        <v>0.75</v>
      </c>
      <c r="AR161" s="8">
        <v>1.0999999999999999E-2</v>
      </c>
      <c r="AS161" s="8">
        <v>0.32700000000000001</v>
      </c>
      <c r="AT161" s="7">
        <v>100</v>
      </c>
      <c r="AU161" s="8">
        <v>0.107</v>
      </c>
      <c r="AV161" s="7">
        <v>0.33120879120879121</v>
      </c>
      <c r="AW161" s="7">
        <v>39.803296703296724</v>
      </c>
      <c r="AX161" s="7">
        <v>0.16</v>
      </c>
      <c r="AY161" s="8">
        <v>0.20599999999999999</v>
      </c>
      <c r="AZ161" s="7">
        <v>0.03</v>
      </c>
      <c r="BA161" s="7">
        <v>1.19</v>
      </c>
      <c r="BB161" s="7">
        <v>8</v>
      </c>
      <c r="BC161" s="7">
        <v>41</v>
      </c>
      <c r="BD161" s="7">
        <v>89</v>
      </c>
      <c r="BE161" s="7">
        <v>11</v>
      </c>
      <c r="BF161" s="7">
        <v>90</v>
      </c>
      <c r="BG161" s="7">
        <v>0</v>
      </c>
      <c r="BH161" s="7">
        <v>33</v>
      </c>
      <c r="BI161" s="8">
        <v>0.57099999999999995</v>
      </c>
      <c r="BJ161" s="7">
        <v>1.0136263736263731</v>
      </c>
      <c r="BK161" s="7">
        <v>0.15</v>
      </c>
      <c r="BL161" s="7">
        <v>0.13</v>
      </c>
      <c r="BM161" s="7">
        <v>7.0000000000000007E-2</v>
      </c>
      <c r="BN161" s="8">
        <v>0.19700000000000001</v>
      </c>
      <c r="BO161" s="7">
        <v>1.93</v>
      </c>
      <c r="BP161" s="8">
        <v>1</v>
      </c>
      <c r="BQ161" s="7">
        <v>67</v>
      </c>
      <c r="BR161" s="7">
        <v>0.01</v>
      </c>
      <c r="BS161" s="8">
        <v>0.01</v>
      </c>
      <c r="BT161" s="8">
        <v>6.0000000000000001E-3</v>
      </c>
      <c r="BU161" s="7">
        <v>0.56000000000000005</v>
      </c>
      <c r="BV161" s="7">
        <v>0.54</v>
      </c>
      <c r="BW161" s="7">
        <v>1.88</v>
      </c>
      <c r="BX161" s="8">
        <v>0.29599999999999999</v>
      </c>
    </row>
    <row r="162" spans="2:76" ht="19.899999999999999" customHeight="1" x14ac:dyDescent="0.3">
      <c r="B162" s="7" t="s">
        <v>182</v>
      </c>
      <c r="C162" s="7">
        <v>5</v>
      </c>
      <c r="D162" s="7">
        <v>0.89</v>
      </c>
      <c r="E162" s="7">
        <v>108</v>
      </c>
      <c r="F162" s="7">
        <v>0.9</v>
      </c>
      <c r="G162" s="7">
        <v>0.89</v>
      </c>
      <c r="H162" s="8">
        <v>0.222</v>
      </c>
      <c r="I162" s="8">
        <v>0.58299999999999996</v>
      </c>
      <c r="J162" s="7">
        <v>1.1599999999999999</v>
      </c>
      <c r="K162" s="7">
        <v>1.21</v>
      </c>
      <c r="L162" s="7">
        <v>0.67</v>
      </c>
      <c r="M162" s="7">
        <v>71.3</v>
      </c>
      <c r="N162" s="7">
        <v>-1.19</v>
      </c>
      <c r="O162" s="7">
        <v>63</v>
      </c>
      <c r="P162" s="7">
        <v>0.56999999999999995</v>
      </c>
      <c r="Q162" s="7">
        <v>0.67</v>
      </c>
      <c r="R162" s="7">
        <v>64.099999999999994</v>
      </c>
      <c r="S162" s="7">
        <v>1.17</v>
      </c>
      <c r="T162" s="7">
        <v>59.6</v>
      </c>
      <c r="U162" s="7">
        <v>0.55000000000000004</v>
      </c>
      <c r="V162" s="7">
        <v>-10</v>
      </c>
      <c r="W162" s="7">
        <v>0</v>
      </c>
      <c r="X162" s="7" t="s">
        <v>85</v>
      </c>
      <c r="Y162" s="7">
        <v>2</v>
      </c>
      <c r="Z162" s="7">
        <v>1.18</v>
      </c>
      <c r="AA162" s="7">
        <v>4</v>
      </c>
      <c r="AB162" s="7">
        <v>0.97</v>
      </c>
      <c r="AC162" s="7">
        <v>0.12962962962962959</v>
      </c>
      <c r="AD162" s="7">
        <v>0.3888888888888889</v>
      </c>
      <c r="AE162" s="7">
        <v>0.12037037037037041</v>
      </c>
      <c r="AF162" s="7">
        <v>4.6296296296296287E-2</v>
      </c>
      <c r="AG162" s="7">
        <v>3</v>
      </c>
      <c r="AH162" s="7">
        <v>2</v>
      </c>
      <c r="AI162" s="7">
        <v>2</v>
      </c>
      <c r="AJ162" s="7">
        <v>1</v>
      </c>
      <c r="AK162" s="7">
        <v>1</v>
      </c>
      <c r="AL162" s="7">
        <v>9.2592592592592587E-3</v>
      </c>
      <c r="AM162" s="7">
        <v>0.79</v>
      </c>
      <c r="AN162" s="7">
        <v>0</v>
      </c>
      <c r="AO162" s="7" t="s">
        <v>85</v>
      </c>
      <c r="AP162" s="7">
        <v>80.8</v>
      </c>
      <c r="AQ162" s="8">
        <v>0.85699999999999998</v>
      </c>
      <c r="AR162" s="8">
        <v>9.5000000000000001E-2</v>
      </c>
      <c r="AS162" s="8">
        <v>0.32300000000000001</v>
      </c>
      <c r="AT162" s="7">
        <v>110</v>
      </c>
      <c r="AU162" s="8">
        <v>9.2999999999999999E-2</v>
      </c>
      <c r="AV162" s="7">
        <v>0.23476190476190481</v>
      </c>
      <c r="AW162" s="7">
        <v>35.028571428571418</v>
      </c>
      <c r="AX162" s="7">
        <v>0.06</v>
      </c>
      <c r="AY162" s="8">
        <v>0.23599999999999999</v>
      </c>
      <c r="AZ162" s="7">
        <v>0.01</v>
      </c>
      <c r="BA162" s="7">
        <v>5.12</v>
      </c>
      <c r="BB162" s="7">
        <v>12</v>
      </c>
      <c r="BC162" s="7">
        <v>55</v>
      </c>
      <c r="BD162" s="7">
        <v>9</v>
      </c>
      <c r="BE162" s="7">
        <v>83</v>
      </c>
      <c r="BF162" s="7">
        <v>31</v>
      </c>
      <c r="BG162" s="7">
        <v>0</v>
      </c>
      <c r="BH162" s="7">
        <v>58</v>
      </c>
      <c r="BI162" s="8">
        <v>0.58099999999999996</v>
      </c>
      <c r="BJ162" s="7">
        <v>1.0064102564102559</v>
      </c>
      <c r="BK162" s="7">
        <v>0.16</v>
      </c>
      <c r="BL162" s="7">
        <v>0.06</v>
      </c>
      <c r="BM162" s="7">
        <v>7.0000000000000007E-2</v>
      </c>
      <c r="BN162" s="8">
        <v>0.23100000000000001</v>
      </c>
      <c r="BO162" s="7">
        <v>2.38</v>
      </c>
      <c r="BP162" s="8">
        <v>1</v>
      </c>
      <c r="BQ162" s="7">
        <v>74</v>
      </c>
      <c r="BR162" s="7">
        <v>0</v>
      </c>
      <c r="BS162" s="8">
        <v>0</v>
      </c>
      <c r="BT162" s="7" t="s">
        <v>85</v>
      </c>
      <c r="BU162" s="7">
        <v>0</v>
      </c>
      <c r="BV162" s="7">
        <v>0.59</v>
      </c>
      <c r="BW162" s="7">
        <v>2.38</v>
      </c>
      <c r="BX162" s="8">
        <v>0.113</v>
      </c>
    </row>
    <row r="163" spans="2:76" ht="19.899999999999999" customHeight="1" x14ac:dyDescent="0.3">
      <c r="B163" s="7" t="s">
        <v>150</v>
      </c>
      <c r="C163" s="7">
        <v>7</v>
      </c>
      <c r="D163" s="7">
        <v>0.89</v>
      </c>
      <c r="E163" s="7">
        <v>150</v>
      </c>
      <c r="F163" s="7">
        <v>1</v>
      </c>
      <c r="G163" s="7">
        <v>0.78</v>
      </c>
      <c r="H163" s="8">
        <v>0.187</v>
      </c>
      <c r="I163" s="8">
        <v>0.46400000000000002</v>
      </c>
      <c r="J163" s="7">
        <v>0.93</v>
      </c>
      <c r="K163" s="7">
        <v>0.9</v>
      </c>
      <c r="L163" s="7">
        <v>0.66</v>
      </c>
      <c r="M163" s="7">
        <v>72</v>
      </c>
      <c r="N163" s="7">
        <v>-1.46</v>
      </c>
      <c r="O163" s="7">
        <v>54.9</v>
      </c>
      <c r="P163" s="7">
        <v>0.52</v>
      </c>
      <c r="Q163" s="7">
        <v>0.66</v>
      </c>
      <c r="R163" s="7">
        <v>70.3</v>
      </c>
      <c r="S163" s="7">
        <v>0.98</v>
      </c>
      <c r="T163" s="7">
        <v>56.9</v>
      </c>
      <c r="U163" s="7">
        <v>0.55000000000000004</v>
      </c>
      <c r="V163" s="7">
        <v>-21</v>
      </c>
      <c r="W163" s="7">
        <v>3</v>
      </c>
      <c r="X163" s="7">
        <v>0.83</v>
      </c>
      <c r="Y163" s="7">
        <v>4</v>
      </c>
      <c r="Z163" s="7">
        <v>0.83</v>
      </c>
      <c r="AA163" s="7">
        <v>6</v>
      </c>
      <c r="AB163" s="7">
        <v>0.87</v>
      </c>
      <c r="AC163" s="7">
        <v>8.666666666666667E-2</v>
      </c>
      <c r="AD163" s="7">
        <v>0.39333333333333331</v>
      </c>
      <c r="AE163" s="7">
        <v>9.3333333333333338E-2</v>
      </c>
      <c r="AF163" s="7">
        <v>2.6666666666666668E-2</v>
      </c>
      <c r="AG163" s="7">
        <v>6</v>
      </c>
      <c r="AH163" s="7">
        <v>2</v>
      </c>
      <c r="AI163" s="7">
        <v>1</v>
      </c>
      <c r="AJ163" s="7">
        <v>0</v>
      </c>
      <c r="AK163" s="7">
        <v>1</v>
      </c>
      <c r="AL163" s="7">
        <v>1.3333333333333331E-2</v>
      </c>
      <c r="AM163" s="7">
        <v>0.66</v>
      </c>
      <c r="AN163" s="7">
        <v>0</v>
      </c>
      <c r="AO163" s="7" t="s">
        <v>85</v>
      </c>
      <c r="AP163" s="7">
        <v>64.2</v>
      </c>
      <c r="AQ163" s="8">
        <v>0.84599999999999997</v>
      </c>
      <c r="AR163" s="8">
        <v>8.5000000000000006E-2</v>
      </c>
      <c r="AS163" s="8">
        <v>0.42299999999999999</v>
      </c>
      <c r="AT163" s="7">
        <v>106</v>
      </c>
      <c r="AU163" s="8">
        <v>0.12</v>
      </c>
      <c r="AV163" s="7">
        <v>0.36422535211267598</v>
      </c>
      <c r="AW163" s="7">
        <v>44.552112676056332</v>
      </c>
      <c r="AX163" s="7">
        <v>0.14000000000000001</v>
      </c>
      <c r="AY163" s="8">
        <v>0.253</v>
      </c>
      <c r="AZ163" s="7">
        <v>0.08</v>
      </c>
      <c r="BA163" s="7">
        <v>3.72</v>
      </c>
      <c r="BB163" s="7">
        <v>2</v>
      </c>
      <c r="BC163" s="7">
        <v>94</v>
      </c>
      <c r="BD163" s="7">
        <v>74</v>
      </c>
      <c r="BE163" s="7">
        <v>39</v>
      </c>
      <c r="BF163" s="7">
        <v>42</v>
      </c>
      <c r="BG163" s="7">
        <v>0</v>
      </c>
      <c r="BH163" s="7">
        <v>67</v>
      </c>
      <c r="BI163" s="8">
        <v>0.52600000000000002</v>
      </c>
      <c r="BJ163" s="7">
        <v>0.96310344827586203</v>
      </c>
      <c r="BK163" s="7">
        <v>0.17</v>
      </c>
      <c r="BL163" s="7">
        <v>0.11</v>
      </c>
      <c r="BM163" s="7">
        <v>0.15</v>
      </c>
      <c r="BN163" s="8">
        <v>0.24</v>
      </c>
      <c r="BO163" s="7">
        <v>2.3199999999999998</v>
      </c>
      <c r="BP163" s="8">
        <v>0</v>
      </c>
      <c r="BQ163" s="7">
        <v>71</v>
      </c>
      <c r="BR163" s="7">
        <v>0</v>
      </c>
      <c r="BS163" s="8">
        <v>0</v>
      </c>
      <c r="BT163" s="7" t="s">
        <v>85</v>
      </c>
      <c r="BU163" s="7">
        <v>1.33</v>
      </c>
      <c r="BV163" s="7">
        <v>0.88</v>
      </c>
      <c r="BW163" s="7">
        <v>2.02</v>
      </c>
      <c r="BX163" s="8">
        <v>0.26900000000000002</v>
      </c>
    </row>
    <row r="164" spans="2:76" ht="19.899999999999999" customHeight="1" x14ac:dyDescent="0.3">
      <c r="B164" s="7" t="s">
        <v>139</v>
      </c>
      <c r="C164" s="7">
        <v>8</v>
      </c>
      <c r="D164" s="7">
        <v>0.88</v>
      </c>
      <c r="E164" s="7">
        <v>178</v>
      </c>
      <c r="F164" s="7">
        <v>1.1399999999999999</v>
      </c>
      <c r="G164" s="7">
        <v>0.65</v>
      </c>
      <c r="H164" s="8">
        <v>0.21299999999999999</v>
      </c>
      <c r="I164" s="8">
        <v>0.39500000000000002</v>
      </c>
      <c r="J164" s="7">
        <v>0.87</v>
      </c>
      <c r="K164" s="7">
        <v>0.7</v>
      </c>
      <c r="L164" s="7">
        <v>0.76</v>
      </c>
      <c r="M164" s="7">
        <v>64</v>
      </c>
      <c r="N164" s="7">
        <v>-2.4300000000000002</v>
      </c>
      <c r="O164" s="7">
        <v>71.099999999999994</v>
      </c>
      <c r="P164" s="7">
        <v>0.6</v>
      </c>
      <c r="Q164" s="7">
        <v>0.76</v>
      </c>
      <c r="R164" s="7">
        <v>65.599999999999994</v>
      </c>
      <c r="S164" s="7">
        <v>0.84</v>
      </c>
      <c r="T164" s="7">
        <v>71.8</v>
      </c>
      <c r="U164" s="7">
        <v>0.6</v>
      </c>
      <c r="V164" s="7">
        <v>-29</v>
      </c>
      <c r="W164" s="7">
        <v>1</v>
      </c>
      <c r="X164" s="7">
        <v>0.98</v>
      </c>
      <c r="Y164" s="7">
        <v>2</v>
      </c>
      <c r="Z164" s="7">
        <v>0.88</v>
      </c>
      <c r="AA164" s="7">
        <v>6</v>
      </c>
      <c r="AB164" s="7">
        <v>0.84</v>
      </c>
      <c r="AC164" s="7">
        <v>8.4269662921348312E-2</v>
      </c>
      <c r="AD164" s="7">
        <v>0.42134831460674149</v>
      </c>
      <c r="AE164" s="7">
        <v>0.1404494382022472</v>
      </c>
      <c r="AF164" s="7">
        <v>3.3707865168539318E-2</v>
      </c>
      <c r="AG164" s="7">
        <v>3</v>
      </c>
      <c r="AH164" s="7">
        <v>2</v>
      </c>
      <c r="AI164" s="7">
        <v>1</v>
      </c>
      <c r="AJ164" s="7">
        <v>0</v>
      </c>
      <c r="AK164" s="7">
        <v>1</v>
      </c>
      <c r="AL164" s="7">
        <v>1.123595505617977E-2</v>
      </c>
      <c r="AM164" s="7">
        <v>0.9</v>
      </c>
      <c r="AN164" s="7">
        <v>0</v>
      </c>
      <c r="AO164" s="7" t="s">
        <v>85</v>
      </c>
      <c r="AP164" s="7">
        <v>94.4</v>
      </c>
      <c r="AQ164" s="8">
        <v>0.86699999999999999</v>
      </c>
      <c r="AR164" s="8">
        <v>2.1999999999999999E-2</v>
      </c>
      <c r="AS164" s="8">
        <v>0.22600000000000001</v>
      </c>
      <c r="AT164" s="7">
        <v>119</v>
      </c>
      <c r="AU164" s="8">
        <v>0.09</v>
      </c>
      <c r="AV164" s="7">
        <v>0.30439560439560442</v>
      </c>
      <c r="AW164" s="7">
        <v>48.824175824175803</v>
      </c>
      <c r="AX164" s="7">
        <v>0.09</v>
      </c>
      <c r="AY164" s="8">
        <v>0.2</v>
      </c>
      <c r="AZ164" s="7">
        <v>0.04</v>
      </c>
      <c r="BA164" s="7">
        <v>3.68</v>
      </c>
      <c r="BB164" s="7">
        <v>30</v>
      </c>
      <c r="BC164" s="7">
        <v>60</v>
      </c>
      <c r="BD164" s="7">
        <v>7</v>
      </c>
      <c r="BE164" s="7">
        <v>42</v>
      </c>
      <c r="BF164" s="7">
        <v>30</v>
      </c>
      <c r="BG164" s="7">
        <v>0</v>
      </c>
      <c r="BH164" s="7">
        <v>52</v>
      </c>
      <c r="BI164" s="8">
        <v>0.59399999999999997</v>
      </c>
      <c r="BJ164" s="7">
        <v>0.96065934065934067</v>
      </c>
      <c r="BK164" s="7">
        <v>0.15</v>
      </c>
      <c r="BL164" s="7">
        <v>7.0000000000000007E-2</v>
      </c>
      <c r="BM164" s="7">
        <v>0.11</v>
      </c>
      <c r="BN164" s="8">
        <v>0.14000000000000001</v>
      </c>
      <c r="BO164" s="7">
        <v>2.9</v>
      </c>
      <c r="BP164" s="7" t="s">
        <v>85</v>
      </c>
      <c r="BQ164" s="7">
        <v>64</v>
      </c>
      <c r="BR164" s="7">
        <v>0</v>
      </c>
      <c r="BS164" s="8">
        <v>0</v>
      </c>
      <c r="BT164" s="7" t="s">
        <v>85</v>
      </c>
      <c r="BU164" s="7">
        <v>0.56000000000000005</v>
      </c>
      <c r="BV164" s="7">
        <v>0.59</v>
      </c>
      <c r="BW164" s="7">
        <v>2.29</v>
      </c>
      <c r="BX164" s="8">
        <v>0.151</v>
      </c>
    </row>
    <row r="165" spans="2:76" ht="19.899999999999999" customHeight="1" x14ac:dyDescent="0.3">
      <c r="B165" s="7" t="s">
        <v>123</v>
      </c>
      <c r="C165" s="7">
        <v>7</v>
      </c>
      <c r="D165" s="7">
        <v>0.88</v>
      </c>
      <c r="E165" s="7">
        <v>167</v>
      </c>
      <c r="F165" s="7">
        <v>0.92</v>
      </c>
      <c r="G165" s="7">
        <v>0.84</v>
      </c>
      <c r="H165" s="8">
        <v>0.186</v>
      </c>
      <c r="I165" s="8">
        <v>0.35499999999999998</v>
      </c>
      <c r="J165" s="7">
        <v>0.8</v>
      </c>
      <c r="K165" s="7">
        <v>0.6</v>
      </c>
      <c r="L165" s="7">
        <v>0.74</v>
      </c>
      <c r="M165" s="7">
        <v>69.5</v>
      </c>
      <c r="N165" s="7">
        <v>-1.76</v>
      </c>
      <c r="O165" s="7">
        <v>67.7</v>
      </c>
      <c r="P165" s="7">
        <v>0.57999999999999996</v>
      </c>
      <c r="Q165" s="7">
        <v>0.74</v>
      </c>
      <c r="R165" s="7">
        <v>67.099999999999994</v>
      </c>
      <c r="S165" s="7">
        <v>0.99</v>
      </c>
      <c r="T165" s="7">
        <v>67.400000000000006</v>
      </c>
      <c r="U165" s="7">
        <v>0.59</v>
      </c>
      <c r="V165" s="7">
        <v>-26</v>
      </c>
      <c r="W165" s="7">
        <v>3</v>
      </c>
      <c r="X165" s="7">
        <v>1.02</v>
      </c>
      <c r="Y165" s="7">
        <v>7</v>
      </c>
      <c r="Z165" s="7">
        <v>0.88</v>
      </c>
      <c r="AA165" s="7">
        <v>7</v>
      </c>
      <c r="AB165" s="7">
        <v>0.88</v>
      </c>
      <c r="AC165" s="7">
        <v>6.5868263473053898E-2</v>
      </c>
      <c r="AD165" s="7">
        <v>0.41317365269461082</v>
      </c>
      <c r="AE165" s="7">
        <v>0.1197604790419162</v>
      </c>
      <c r="AF165" s="7">
        <v>4.1916167664670663E-2</v>
      </c>
      <c r="AG165" s="7">
        <v>5</v>
      </c>
      <c r="AH165" s="7">
        <v>1</v>
      </c>
      <c r="AI165" s="7">
        <v>1</v>
      </c>
      <c r="AJ165" s="7">
        <v>1</v>
      </c>
      <c r="AK165" s="7">
        <v>1</v>
      </c>
      <c r="AL165" s="7">
        <v>5.9880239520958087E-3</v>
      </c>
      <c r="AM165" s="7">
        <v>0.95</v>
      </c>
      <c r="AN165" s="7">
        <v>0</v>
      </c>
      <c r="AO165" s="7" t="s">
        <v>85</v>
      </c>
      <c r="AP165" s="7">
        <v>97.3</v>
      </c>
      <c r="AQ165" s="8">
        <v>0.90900000000000003</v>
      </c>
      <c r="AR165" s="8">
        <v>6.5000000000000002E-2</v>
      </c>
      <c r="AS165" s="8">
        <v>0.216</v>
      </c>
      <c r="AT165" s="7">
        <v>117</v>
      </c>
      <c r="AU165" s="8">
        <v>5.3999999999999999E-2</v>
      </c>
      <c r="AV165" s="7">
        <v>0.2870967741935484</v>
      </c>
      <c r="AW165" s="7">
        <v>44.14731182795699</v>
      </c>
      <c r="AX165" s="7">
        <v>0.13</v>
      </c>
      <c r="AY165" s="8">
        <v>0.21099999999999999</v>
      </c>
      <c r="AZ165" s="7">
        <v>0.05</v>
      </c>
      <c r="BA165" s="7">
        <v>3.9</v>
      </c>
      <c r="BB165" s="7">
        <v>17</v>
      </c>
      <c r="BC165" s="7">
        <v>68</v>
      </c>
      <c r="BD165" s="7">
        <v>57</v>
      </c>
      <c r="BE165" s="7">
        <v>26</v>
      </c>
      <c r="BF165" s="7">
        <v>20</v>
      </c>
      <c r="BG165" s="7">
        <v>0</v>
      </c>
      <c r="BH165" s="7">
        <v>45</v>
      </c>
      <c r="BI165" s="8">
        <v>0.56699999999999995</v>
      </c>
      <c r="BJ165" s="7">
        <v>1.11953488372093</v>
      </c>
      <c r="BK165" s="7">
        <v>0.16</v>
      </c>
      <c r="BL165" s="7">
        <v>0.12</v>
      </c>
      <c r="BM165" s="7">
        <v>0.11</v>
      </c>
      <c r="BN165" s="8">
        <v>0.21</v>
      </c>
      <c r="BO165" s="7">
        <v>2.38</v>
      </c>
      <c r="BP165" s="8">
        <v>1</v>
      </c>
      <c r="BQ165" s="7">
        <v>65</v>
      </c>
      <c r="BR165" s="7">
        <v>0</v>
      </c>
      <c r="BS165" s="8">
        <v>0</v>
      </c>
      <c r="BT165" s="7" t="s">
        <v>85</v>
      </c>
      <c r="BU165" s="7">
        <v>0</v>
      </c>
      <c r="BV165" s="7">
        <v>0.47</v>
      </c>
      <c r="BW165" s="7">
        <v>2.84</v>
      </c>
      <c r="BX165" s="8">
        <v>0.22700000000000001</v>
      </c>
    </row>
    <row r="166" spans="2:76" ht="19.899999999999999" customHeight="1" x14ac:dyDescent="0.3">
      <c r="B166" s="7" t="s">
        <v>151</v>
      </c>
      <c r="C166" s="7">
        <v>4</v>
      </c>
      <c r="D166" s="7">
        <v>0.88</v>
      </c>
      <c r="E166" s="7">
        <v>90</v>
      </c>
      <c r="F166" s="7">
        <v>1.1499999999999999</v>
      </c>
      <c r="G166" s="7">
        <v>0.64</v>
      </c>
      <c r="H166" s="8">
        <v>0.189</v>
      </c>
      <c r="I166" s="8">
        <v>0.23499999999999999</v>
      </c>
      <c r="J166" s="7">
        <v>0.65</v>
      </c>
      <c r="K166" s="7">
        <v>1.18</v>
      </c>
      <c r="L166" s="7">
        <v>0.76</v>
      </c>
      <c r="M166" s="7">
        <v>62.2</v>
      </c>
      <c r="N166" s="7">
        <v>-0.92</v>
      </c>
      <c r="O166" s="7">
        <v>62.5</v>
      </c>
      <c r="P166" s="7">
        <v>0.61</v>
      </c>
      <c r="Q166" s="7">
        <v>0.76</v>
      </c>
      <c r="R166" s="7">
        <v>58.5</v>
      </c>
      <c r="S166" s="7">
        <v>0.92</v>
      </c>
      <c r="T166" s="7">
        <v>61.4</v>
      </c>
      <c r="U166" s="7">
        <v>0.6</v>
      </c>
      <c r="V166" s="7">
        <v>-13</v>
      </c>
      <c r="W166" s="7">
        <v>1</v>
      </c>
      <c r="X166" s="7">
        <v>0.8</v>
      </c>
      <c r="Y166" s="7">
        <v>2</v>
      </c>
      <c r="Z166" s="7">
        <v>0.79</v>
      </c>
      <c r="AA166" s="7">
        <v>2</v>
      </c>
      <c r="AB166" s="7">
        <v>0.79</v>
      </c>
      <c r="AC166" s="7">
        <v>4.4444444444444453E-2</v>
      </c>
      <c r="AD166" s="7">
        <v>0.4</v>
      </c>
      <c r="AE166" s="7">
        <v>0.17777777777777781</v>
      </c>
      <c r="AF166" s="7">
        <v>3.3333333333333333E-2</v>
      </c>
      <c r="AG166" s="7">
        <v>1</v>
      </c>
      <c r="AH166" s="7">
        <v>1</v>
      </c>
      <c r="AI166" s="7">
        <v>1</v>
      </c>
      <c r="AJ166" s="7">
        <v>0</v>
      </c>
      <c r="AK166" s="7">
        <v>0</v>
      </c>
      <c r="AL166" s="7">
        <v>0</v>
      </c>
      <c r="AM166" s="7">
        <v>1.1599999999999999</v>
      </c>
      <c r="AN166" s="7">
        <v>0</v>
      </c>
      <c r="AO166" s="7" t="s">
        <v>85</v>
      </c>
      <c r="AP166" s="7">
        <v>103.6</v>
      </c>
      <c r="AQ166" s="8">
        <v>0.5</v>
      </c>
      <c r="AR166" s="8">
        <v>3.7999999999999999E-2</v>
      </c>
      <c r="AS166" s="8">
        <v>0.47299999999999998</v>
      </c>
      <c r="AT166" s="7">
        <v>102</v>
      </c>
      <c r="AU166" s="8">
        <v>6.7000000000000004E-2</v>
      </c>
      <c r="AV166" s="7">
        <v>0.21</v>
      </c>
      <c r="AW166" s="7">
        <v>32.465384615384622</v>
      </c>
      <c r="AX166" s="7">
        <v>0.14000000000000001</v>
      </c>
      <c r="AY166" s="8">
        <v>0.29399999999999998</v>
      </c>
      <c r="AZ166" s="7">
        <v>0.06</v>
      </c>
      <c r="BA166" s="7">
        <v>4.79</v>
      </c>
      <c r="BB166" s="7">
        <v>38</v>
      </c>
      <c r="BC166" s="7">
        <v>85</v>
      </c>
      <c r="BD166" s="7">
        <v>60</v>
      </c>
      <c r="BE166" s="7">
        <v>13</v>
      </c>
      <c r="BF166" s="7">
        <v>4</v>
      </c>
      <c r="BG166" s="7">
        <v>0</v>
      </c>
      <c r="BH166" s="7">
        <v>74</v>
      </c>
      <c r="BI166" s="8">
        <v>0.56399999999999995</v>
      </c>
      <c r="BJ166" s="7" t="s">
        <v>85</v>
      </c>
      <c r="BK166" s="7">
        <v>0.22</v>
      </c>
      <c r="BL166" s="7">
        <v>0.09</v>
      </c>
      <c r="BM166" s="7">
        <v>0.11</v>
      </c>
      <c r="BN166" s="8">
        <v>0.13300000000000001</v>
      </c>
      <c r="BO166" s="7">
        <v>2.67</v>
      </c>
      <c r="BP166" s="7" t="s">
        <v>85</v>
      </c>
      <c r="BQ166" s="7">
        <v>60</v>
      </c>
      <c r="BR166" s="7">
        <v>0</v>
      </c>
      <c r="BS166" s="8">
        <v>0</v>
      </c>
      <c r="BT166" s="7" t="s">
        <v>85</v>
      </c>
      <c r="BU166" s="7">
        <v>1.1100000000000001</v>
      </c>
      <c r="BV166" s="7">
        <v>0.66</v>
      </c>
      <c r="BW166" s="7">
        <v>2.94</v>
      </c>
      <c r="BX166" s="8">
        <v>0.23599999999999999</v>
      </c>
    </row>
    <row r="167" spans="2:76" ht="19.899999999999999" customHeight="1" x14ac:dyDescent="0.3">
      <c r="B167" s="7" t="s">
        <v>132</v>
      </c>
      <c r="C167" s="7">
        <v>5</v>
      </c>
      <c r="D167" s="7">
        <v>0.87</v>
      </c>
      <c r="E167" s="7">
        <v>106</v>
      </c>
      <c r="F167" s="7">
        <v>0.84</v>
      </c>
      <c r="G167" s="7">
        <v>0.9</v>
      </c>
      <c r="H167" s="8">
        <v>0.14199999999999999</v>
      </c>
      <c r="I167" s="8">
        <v>0.4</v>
      </c>
      <c r="J167" s="7">
        <v>0.81</v>
      </c>
      <c r="K167" s="7">
        <v>0.71</v>
      </c>
      <c r="L167" s="7">
        <v>0.7</v>
      </c>
      <c r="M167" s="7">
        <v>67.900000000000006</v>
      </c>
      <c r="N167" s="7">
        <v>-3.03</v>
      </c>
      <c r="O167" s="7">
        <v>68</v>
      </c>
      <c r="P167" s="7">
        <v>0.6</v>
      </c>
      <c r="Q167" s="7">
        <v>0.7</v>
      </c>
      <c r="R167" s="7">
        <v>64.8</v>
      </c>
      <c r="S167" s="7">
        <v>0.89</v>
      </c>
      <c r="T167" s="7">
        <v>69.3</v>
      </c>
      <c r="U167" s="7">
        <v>0.63</v>
      </c>
      <c r="V167" s="7">
        <v>-10</v>
      </c>
      <c r="W167" s="7">
        <v>3</v>
      </c>
      <c r="X167" s="7">
        <v>0.83</v>
      </c>
      <c r="Y167" s="7">
        <v>3</v>
      </c>
      <c r="Z167" s="7">
        <v>0.83</v>
      </c>
      <c r="AA167" s="7">
        <v>3</v>
      </c>
      <c r="AB167" s="7">
        <v>0.83</v>
      </c>
      <c r="AC167" s="7">
        <v>5.6603773584905662E-2</v>
      </c>
      <c r="AD167" s="7">
        <v>0.43396226415094341</v>
      </c>
      <c r="AE167" s="7">
        <v>0.15094339622641509</v>
      </c>
      <c r="AF167" s="7">
        <v>1.886792452830189E-2</v>
      </c>
      <c r="AG167" s="7">
        <v>3</v>
      </c>
      <c r="AH167" s="7">
        <v>1</v>
      </c>
      <c r="AI167" s="7">
        <v>0</v>
      </c>
      <c r="AJ167" s="7">
        <v>0</v>
      </c>
      <c r="AK167" s="7">
        <v>0</v>
      </c>
      <c r="AL167" s="7">
        <v>0</v>
      </c>
      <c r="AM167" s="7">
        <v>0.85</v>
      </c>
      <c r="AN167" s="7">
        <v>0</v>
      </c>
      <c r="AO167" s="7" t="s">
        <v>85</v>
      </c>
      <c r="AP167" s="7">
        <v>92.6</v>
      </c>
      <c r="AQ167" s="8">
        <v>0.66700000000000004</v>
      </c>
      <c r="AR167" s="8">
        <v>9.0999999999999998E-2</v>
      </c>
      <c r="AS167" s="8">
        <v>0.29699999999999999</v>
      </c>
      <c r="AT167" s="7">
        <v>113</v>
      </c>
      <c r="AU167" s="8">
        <v>8.5000000000000006E-2</v>
      </c>
      <c r="AV167" s="7">
        <v>0.45454545454545447</v>
      </c>
      <c r="AW167" s="7">
        <v>53.090909090909093</v>
      </c>
      <c r="AX167" s="7">
        <v>0.22</v>
      </c>
      <c r="AY167" s="8">
        <v>0.13500000000000001</v>
      </c>
      <c r="AZ167" s="7">
        <v>0.09</v>
      </c>
      <c r="BA167" s="7">
        <v>4.08</v>
      </c>
      <c r="BB167" s="7">
        <v>31</v>
      </c>
      <c r="BC167" s="7">
        <v>11</v>
      </c>
      <c r="BD167" s="7">
        <v>97</v>
      </c>
      <c r="BE167" s="7">
        <v>9</v>
      </c>
      <c r="BF167" s="7">
        <v>13</v>
      </c>
      <c r="BG167" s="7">
        <v>0</v>
      </c>
      <c r="BH167" s="7">
        <v>58</v>
      </c>
      <c r="BI167" s="8">
        <v>0.53100000000000003</v>
      </c>
      <c r="BJ167" s="7">
        <v>1.1299999999999999</v>
      </c>
      <c r="BK167" s="7">
        <v>0.09</v>
      </c>
      <c r="BL167" s="7">
        <v>0.2</v>
      </c>
      <c r="BM167" s="7">
        <v>0.08</v>
      </c>
      <c r="BN167" s="8">
        <v>0.217</v>
      </c>
      <c r="BO167" s="7">
        <v>2.65</v>
      </c>
      <c r="BP167" s="8">
        <v>0</v>
      </c>
      <c r="BQ167" s="7">
        <v>78</v>
      </c>
      <c r="BR167" s="7">
        <v>0</v>
      </c>
      <c r="BS167" s="8">
        <v>0</v>
      </c>
      <c r="BT167" s="7" t="s">
        <v>85</v>
      </c>
      <c r="BU167" s="7">
        <v>0</v>
      </c>
      <c r="BV167" s="7">
        <v>0.57999999999999996</v>
      </c>
      <c r="BW167" s="7">
        <v>2.64</v>
      </c>
      <c r="BX167" s="8">
        <v>0.35899999999999999</v>
      </c>
    </row>
    <row r="168" spans="2:76" ht="19.899999999999999" customHeight="1" x14ac:dyDescent="0.3">
      <c r="B168" s="7" t="s">
        <v>131</v>
      </c>
      <c r="C168" s="7">
        <v>5</v>
      </c>
      <c r="D168" s="7">
        <v>0.86</v>
      </c>
      <c r="E168" s="7">
        <v>106</v>
      </c>
      <c r="F168" s="7">
        <v>0.9</v>
      </c>
      <c r="G168" s="7">
        <v>0.81</v>
      </c>
      <c r="H168" s="8">
        <v>0.23599999999999999</v>
      </c>
      <c r="I168" s="8">
        <v>0.36</v>
      </c>
      <c r="J168" s="7">
        <v>0.84</v>
      </c>
      <c r="K168" s="7">
        <v>0.72</v>
      </c>
      <c r="L168" s="7">
        <v>0.75</v>
      </c>
      <c r="M168" s="7">
        <v>69.8</v>
      </c>
      <c r="N168" s="7">
        <v>-3.23</v>
      </c>
      <c r="O168" s="7">
        <v>76.099999999999994</v>
      </c>
      <c r="P168" s="7">
        <v>0.59</v>
      </c>
      <c r="Q168" s="7">
        <v>0.75</v>
      </c>
      <c r="R168" s="7">
        <v>65.8</v>
      </c>
      <c r="S168" s="7">
        <v>0.92</v>
      </c>
      <c r="T168" s="7">
        <v>76.900000000000006</v>
      </c>
      <c r="U168" s="7">
        <v>0.57999999999999996</v>
      </c>
      <c r="V168" s="7">
        <v>-16</v>
      </c>
      <c r="W168" s="7">
        <v>3</v>
      </c>
      <c r="X168" s="7">
        <v>0.84</v>
      </c>
      <c r="Y168" s="7">
        <v>3</v>
      </c>
      <c r="Z168" s="7">
        <v>0.84</v>
      </c>
      <c r="AA168" s="7">
        <v>3</v>
      </c>
      <c r="AB168" s="7">
        <v>0.84</v>
      </c>
      <c r="AC168" s="7">
        <v>8.4905660377358486E-2</v>
      </c>
      <c r="AD168" s="7">
        <v>0.40566037735849059</v>
      </c>
      <c r="AE168" s="7">
        <v>0.1132075471698113</v>
      </c>
      <c r="AF168" s="7">
        <v>6.6037735849056603E-2</v>
      </c>
      <c r="AG168" s="7">
        <v>3</v>
      </c>
      <c r="AH168" s="7">
        <v>1</v>
      </c>
      <c r="AI168" s="7">
        <v>1</v>
      </c>
      <c r="AJ168" s="7">
        <v>1</v>
      </c>
      <c r="AK168" s="7">
        <v>1</v>
      </c>
      <c r="AL168" s="7">
        <v>9.433962264150943E-3</v>
      </c>
      <c r="AM168" s="7">
        <v>1.08</v>
      </c>
      <c r="AN168" s="7">
        <v>0</v>
      </c>
      <c r="AO168" s="7" t="s">
        <v>85</v>
      </c>
      <c r="AP168" s="7">
        <v>109.1</v>
      </c>
      <c r="AQ168" s="8">
        <v>0.66700000000000004</v>
      </c>
      <c r="AR168" s="8">
        <v>9.0999999999999998E-2</v>
      </c>
      <c r="AS168" s="8">
        <v>0.317</v>
      </c>
      <c r="AT168" s="7">
        <v>128</v>
      </c>
      <c r="AU168" s="8">
        <v>9.4E-2</v>
      </c>
      <c r="AV168" s="7">
        <v>0.29999999999999988</v>
      </c>
      <c r="AW168" s="7">
        <v>56.099999999999987</v>
      </c>
      <c r="AX168" s="7">
        <v>0.11</v>
      </c>
      <c r="AY168" s="8">
        <v>0.253</v>
      </c>
      <c r="AZ168" s="7">
        <v>0.02</v>
      </c>
      <c r="BA168" s="7">
        <v>4.4400000000000004</v>
      </c>
      <c r="BB168" s="7">
        <v>31</v>
      </c>
      <c r="BC168" s="7">
        <v>90</v>
      </c>
      <c r="BD168" s="7">
        <v>25</v>
      </c>
      <c r="BE168" s="7">
        <v>40</v>
      </c>
      <c r="BF168" s="7">
        <v>32</v>
      </c>
      <c r="BG168" s="7">
        <v>0</v>
      </c>
      <c r="BH168" s="7">
        <v>66</v>
      </c>
      <c r="BI168" s="8">
        <v>0.68300000000000005</v>
      </c>
      <c r="BJ168" s="7">
        <v>1.32</v>
      </c>
      <c r="BK168" s="7">
        <v>0.19</v>
      </c>
      <c r="BL168" s="7">
        <v>7.0000000000000007E-2</v>
      </c>
      <c r="BM168" s="7">
        <v>0.18</v>
      </c>
      <c r="BN168" s="8">
        <v>0.22600000000000001</v>
      </c>
      <c r="BO168" s="7">
        <v>2.5099999999999998</v>
      </c>
      <c r="BP168" s="8">
        <v>1</v>
      </c>
      <c r="BQ168" s="7">
        <v>74</v>
      </c>
      <c r="BR168" s="7">
        <v>0</v>
      </c>
      <c r="BS168" s="8">
        <v>0</v>
      </c>
      <c r="BT168" s="7" t="s">
        <v>85</v>
      </c>
      <c r="BU168" s="7">
        <v>0.94</v>
      </c>
      <c r="BV168" s="7">
        <v>0.83</v>
      </c>
      <c r="BW168" s="7">
        <v>2.17</v>
      </c>
      <c r="BX168" s="8">
        <v>0.19</v>
      </c>
    </row>
    <row r="169" spans="2:76" ht="19.899999999999999" customHeight="1" x14ac:dyDescent="0.3">
      <c r="B169" s="7" t="s">
        <v>183</v>
      </c>
      <c r="C169" s="7">
        <v>9</v>
      </c>
      <c r="D169" s="7">
        <v>0.85</v>
      </c>
      <c r="E169" s="7">
        <v>181</v>
      </c>
      <c r="F169" s="7">
        <v>0.71</v>
      </c>
      <c r="G169" s="7">
        <v>1</v>
      </c>
      <c r="H169" s="8">
        <v>0.32600000000000001</v>
      </c>
      <c r="I169" s="8">
        <v>0.45800000000000002</v>
      </c>
      <c r="J169" s="7">
        <v>1.1200000000000001</v>
      </c>
      <c r="K169" s="7">
        <v>0.42</v>
      </c>
      <c r="L169" s="7">
        <v>0.75</v>
      </c>
      <c r="M169" s="7">
        <v>65.2</v>
      </c>
      <c r="N169" s="7">
        <v>-2.44</v>
      </c>
      <c r="O169" s="7">
        <v>61.5</v>
      </c>
      <c r="P169" s="7">
        <v>0.55000000000000004</v>
      </c>
      <c r="Q169" s="7">
        <v>0.75</v>
      </c>
      <c r="R169" s="7">
        <v>64.3</v>
      </c>
      <c r="S169" s="7">
        <v>1.0900000000000001</v>
      </c>
      <c r="T169" s="7">
        <v>63.9</v>
      </c>
      <c r="U169" s="7">
        <v>0.57999999999999996</v>
      </c>
      <c r="V169" s="7">
        <v>-36</v>
      </c>
      <c r="W169" s="7">
        <v>7</v>
      </c>
      <c r="X169" s="7">
        <v>0.76</v>
      </c>
      <c r="Y169" s="7">
        <v>8</v>
      </c>
      <c r="Z169" s="7">
        <v>0.83</v>
      </c>
      <c r="AA169" s="7">
        <v>8</v>
      </c>
      <c r="AB169" s="7">
        <v>0.83</v>
      </c>
      <c r="AC169" s="7">
        <v>0.14917127071823211</v>
      </c>
      <c r="AD169" s="7">
        <v>0.39779005524861882</v>
      </c>
      <c r="AE169" s="7">
        <v>0.1104972375690608</v>
      </c>
      <c r="AF169" s="7">
        <v>3.3149171270718231E-2</v>
      </c>
      <c r="AG169" s="7">
        <v>4</v>
      </c>
      <c r="AH169" s="7">
        <v>2</v>
      </c>
      <c r="AI169" s="7">
        <v>1</v>
      </c>
      <c r="AJ169" s="7">
        <v>1</v>
      </c>
      <c r="AK169" s="7">
        <v>1</v>
      </c>
      <c r="AL169" s="7">
        <v>5.5248618784530376E-3</v>
      </c>
      <c r="AM169" s="7">
        <v>0.81</v>
      </c>
      <c r="AN169" s="7">
        <v>0</v>
      </c>
      <c r="AO169" s="7" t="s">
        <v>85</v>
      </c>
      <c r="AP169" s="7">
        <v>84.1</v>
      </c>
      <c r="AQ169" s="8">
        <v>0.70399999999999996</v>
      </c>
      <c r="AR169" s="8">
        <v>3.9E-2</v>
      </c>
      <c r="AS169" s="8">
        <v>0.253</v>
      </c>
      <c r="AT169" s="7">
        <v>112</v>
      </c>
      <c r="AU169" s="8">
        <v>7.1999999999999995E-2</v>
      </c>
      <c r="AV169" s="7">
        <v>0.34323529411764703</v>
      </c>
      <c r="AW169" s="7">
        <v>43.996078431372553</v>
      </c>
      <c r="AX169" s="7">
        <v>0.15</v>
      </c>
      <c r="AY169" s="8">
        <v>0.2</v>
      </c>
      <c r="AZ169" s="7">
        <v>0.01</v>
      </c>
      <c r="BA169" s="7">
        <v>3.98</v>
      </c>
      <c r="BB169" s="7">
        <v>7</v>
      </c>
      <c r="BC169" s="7">
        <v>53</v>
      </c>
      <c r="BD169" s="7">
        <v>61</v>
      </c>
      <c r="BE169" s="7">
        <v>83</v>
      </c>
      <c r="BF169" s="7">
        <v>22</v>
      </c>
      <c r="BG169" s="7">
        <v>0</v>
      </c>
      <c r="BH169" s="7">
        <v>32</v>
      </c>
      <c r="BI169" s="8">
        <v>0.76800000000000002</v>
      </c>
      <c r="BJ169" s="7">
        <v>1.1692063492063489</v>
      </c>
      <c r="BK169" s="7">
        <v>0.15</v>
      </c>
      <c r="BL169" s="7">
        <v>0.08</v>
      </c>
      <c r="BM169" s="7">
        <v>0.1</v>
      </c>
      <c r="BN169" s="8">
        <v>0.17699999999999999</v>
      </c>
      <c r="BO169" s="7">
        <v>2.0099999999999998</v>
      </c>
      <c r="BP169" s="8">
        <v>0.33300000000000002</v>
      </c>
      <c r="BQ169" s="7">
        <v>67</v>
      </c>
      <c r="BR169" s="7">
        <v>0</v>
      </c>
      <c r="BS169" s="8">
        <v>0</v>
      </c>
      <c r="BT169" s="7" t="s">
        <v>85</v>
      </c>
      <c r="BU169" s="7">
        <v>0</v>
      </c>
      <c r="BV169" s="7">
        <v>0.44</v>
      </c>
      <c r="BW169" s="7">
        <v>2.19</v>
      </c>
      <c r="BX169" s="8">
        <v>0.28299999999999997</v>
      </c>
    </row>
    <row r="170" spans="2:76" ht="19.899999999999999" customHeight="1" x14ac:dyDescent="0.3">
      <c r="B170" s="7" t="s">
        <v>127</v>
      </c>
      <c r="C170" s="7">
        <v>7</v>
      </c>
      <c r="D170" s="7">
        <v>0.85</v>
      </c>
      <c r="E170" s="7">
        <v>167</v>
      </c>
      <c r="F170" s="7">
        <v>0.75</v>
      </c>
      <c r="G170" s="7">
        <v>0.96</v>
      </c>
      <c r="H170" s="8">
        <v>0.10199999999999999</v>
      </c>
      <c r="I170" s="8">
        <v>0.64700000000000002</v>
      </c>
      <c r="J170" s="7">
        <v>0.94</v>
      </c>
      <c r="K170" s="7">
        <v>0.65</v>
      </c>
      <c r="L170" s="7">
        <v>0.64</v>
      </c>
      <c r="M170" s="7">
        <v>64.099999999999994</v>
      </c>
      <c r="N170" s="7">
        <v>-1.2</v>
      </c>
      <c r="O170" s="7">
        <v>57.3</v>
      </c>
      <c r="P170" s="7">
        <v>0.56000000000000005</v>
      </c>
      <c r="Q170" s="7">
        <v>0.64</v>
      </c>
      <c r="R170" s="7">
        <v>64.7</v>
      </c>
      <c r="S170" s="7">
        <v>0.78</v>
      </c>
      <c r="T170" s="7">
        <v>57.9</v>
      </c>
      <c r="U170" s="7">
        <v>0.54</v>
      </c>
      <c r="V170" s="7">
        <v>-14</v>
      </c>
      <c r="W170" s="7">
        <v>3</v>
      </c>
      <c r="X170" s="7">
        <v>0.55000000000000004</v>
      </c>
      <c r="Y170" s="7">
        <v>7</v>
      </c>
      <c r="Z170" s="7">
        <v>0.85</v>
      </c>
      <c r="AA170" s="7">
        <v>7</v>
      </c>
      <c r="AB170" s="7">
        <v>0.85</v>
      </c>
      <c r="AC170" s="7">
        <v>6.5868263473053898E-2</v>
      </c>
      <c r="AD170" s="7">
        <v>0.41317365269461082</v>
      </c>
      <c r="AE170" s="7">
        <v>0.1137724550898204</v>
      </c>
      <c r="AF170" s="7">
        <v>2.9940119760479039E-2</v>
      </c>
      <c r="AG170" s="7">
        <v>3</v>
      </c>
      <c r="AH170" s="7">
        <v>3</v>
      </c>
      <c r="AI170" s="7">
        <v>1</v>
      </c>
      <c r="AJ170" s="7">
        <v>0</v>
      </c>
      <c r="AK170" s="7">
        <v>3</v>
      </c>
      <c r="AL170" s="7">
        <v>1.7964071856287421E-2</v>
      </c>
      <c r="AM170" s="7">
        <v>0.69</v>
      </c>
      <c r="AN170" s="7">
        <v>0</v>
      </c>
      <c r="AO170" s="7" t="s">
        <v>85</v>
      </c>
      <c r="AP170" s="7">
        <v>75.2</v>
      </c>
      <c r="AQ170" s="8">
        <v>0.45500000000000002</v>
      </c>
      <c r="AR170" s="8">
        <v>0.11799999999999999</v>
      </c>
      <c r="AS170" s="8">
        <v>0.28999999999999998</v>
      </c>
      <c r="AT170" s="7">
        <v>103</v>
      </c>
      <c r="AU170" s="8">
        <v>0.21</v>
      </c>
      <c r="AV170" s="7">
        <v>0.45096774193548389</v>
      </c>
      <c r="AW170" s="7">
        <v>43.056989247311833</v>
      </c>
      <c r="AX170" s="7">
        <v>0.14000000000000001</v>
      </c>
      <c r="AY170" s="8">
        <v>0.14000000000000001</v>
      </c>
      <c r="AZ170" s="7">
        <v>7.0000000000000007E-2</v>
      </c>
      <c r="BA170" s="7">
        <v>3.91</v>
      </c>
      <c r="BB170" s="7">
        <v>6</v>
      </c>
      <c r="BC170" s="7">
        <v>3</v>
      </c>
      <c r="BD170" s="7">
        <v>56</v>
      </c>
      <c r="BE170" s="7">
        <v>19</v>
      </c>
      <c r="BF170" s="7">
        <v>57</v>
      </c>
      <c r="BG170" s="7">
        <v>89</v>
      </c>
      <c r="BH170" s="7">
        <v>62</v>
      </c>
      <c r="BI170" s="8">
        <v>0.30099999999999999</v>
      </c>
      <c r="BJ170" s="7">
        <v>1.05406976744186</v>
      </c>
      <c r="BK170" s="7">
        <v>0.09</v>
      </c>
      <c r="BL170" s="7">
        <v>0.08</v>
      </c>
      <c r="BM170" s="7">
        <v>0.05</v>
      </c>
      <c r="BN170" s="8">
        <v>0.19800000000000001</v>
      </c>
      <c r="BO170" s="7">
        <v>2.0099999999999998</v>
      </c>
      <c r="BP170" s="8">
        <v>0.6</v>
      </c>
      <c r="BQ170" s="7">
        <v>75</v>
      </c>
      <c r="BR170" s="7">
        <v>0.28000000000000003</v>
      </c>
      <c r="BS170" s="8">
        <v>0.505</v>
      </c>
      <c r="BT170" s="8">
        <v>0.32900000000000001</v>
      </c>
      <c r="BU170" s="7">
        <v>1.2</v>
      </c>
      <c r="BV170" s="7">
        <v>0.6</v>
      </c>
      <c r="BW170" s="7">
        <v>2.83</v>
      </c>
      <c r="BX170" s="8">
        <v>0.25800000000000001</v>
      </c>
    </row>
    <row r="171" spans="2:76" ht="19.899999999999999" customHeight="1" x14ac:dyDescent="0.3">
      <c r="B171" s="7" t="s">
        <v>184</v>
      </c>
      <c r="C171" s="7">
        <v>5</v>
      </c>
      <c r="D171" s="7">
        <v>0.85</v>
      </c>
      <c r="E171" s="7">
        <v>127</v>
      </c>
      <c r="F171" s="7">
        <v>0.95</v>
      </c>
      <c r="G171" s="7">
        <v>0.75</v>
      </c>
      <c r="H171" s="8">
        <v>0.17299999999999999</v>
      </c>
      <c r="I171" s="8">
        <v>0.45500000000000002</v>
      </c>
      <c r="J171" s="7">
        <v>0.9</v>
      </c>
      <c r="K171" s="7">
        <v>1.97</v>
      </c>
      <c r="L171" s="7">
        <v>0.71</v>
      </c>
      <c r="M171" s="7">
        <v>69.3</v>
      </c>
      <c r="N171" s="7">
        <v>-3.07</v>
      </c>
      <c r="O171" s="7">
        <v>66.3</v>
      </c>
      <c r="P171" s="7">
        <v>0.56999999999999995</v>
      </c>
      <c r="Q171" s="7">
        <v>0.71</v>
      </c>
      <c r="R171" s="7">
        <v>65.2</v>
      </c>
      <c r="S171" s="7">
        <v>0.85</v>
      </c>
      <c r="T171" s="7">
        <v>67.900000000000006</v>
      </c>
      <c r="U171" s="7">
        <v>0.59</v>
      </c>
      <c r="V171" s="7">
        <v>-17</v>
      </c>
      <c r="W171" s="7">
        <v>0</v>
      </c>
      <c r="X171" s="7" t="s">
        <v>85</v>
      </c>
      <c r="Y171" s="7">
        <v>2</v>
      </c>
      <c r="Z171" s="7">
        <v>0.7</v>
      </c>
      <c r="AA171" s="7">
        <v>5</v>
      </c>
      <c r="AB171" s="7">
        <v>0.85</v>
      </c>
      <c r="AC171" s="7">
        <v>7.874015748031496E-2</v>
      </c>
      <c r="AD171" s="7">
        <v>0.40157480314960631</v>
      </c>
      <c r="AE171" s="7">
        <v>0.14960629921259841</v>
      </c>
      <c r="AF171" s="7">
        <v>2.3622047244094491E-2</v>
      </c>
      <c r="AG171" s="7">
        <v>2</v>
      </c>
      <c r="AH171" s="7">
        <v>2</v>
      </c>
      <c r="AI171" s="7">
        <v>0</v>
      </c>
      <c r="AJ171" s="7">
        <v>0</v>
      </c>
      <c r="AK171" s="7">
        <v>0</v>
      </c>
      <c r="AL171" s="7">
        <v>0</v>
      </c>
      <c r="AM171" s="7">
        <v>0.86</v>
      </c>
      <c r="AN171" s="7">
        <v>0</v>
      </c>
      <c r="AO171" s="7" t="s">
        <v>85</v>
      </c>
      <c r="AP171" s="7">
        <v>85.5</v>
      </c>
      <c r="AQ171" s="8">
        <v>0.7</v>
      </c>
      <c r="AR171" s="8">
        <v>9.9000000000000005E-2</v>
      </c>
      <c r="AS171" s="8">
        <v>0.315</v>
      </c>
      <c r="AT171" s="7">
        <v>115</v>
      </c>
      <c r="AU171" s="8">
        <v>5.5E-2</v>
      </c>
      <c r="AV171" s="7">
        <v>0.34985915492957748</v>
      </c>
      <c r="AW171" s="7">
        <v>51.156338028169017</v>
      </c>
      <c r="AX171" s="7">
        <v>0.15</v>
      </c>
      <c r="AY171" s="8">
        <v>0.2</v>
      </c>
      <c r="AZ171" s="7">
        <v>0.02</v>
      </c>
      <c r="BA171" s="7">
        <v>4.37</v>
      </c>
      <c r="BB171" s="7">
        <v>25</v>
      </c>
      <c r="BC171" s="7">
        <v>58</v>
      </c>
      <c r="BD171" s="7">
        <v>67</v>
      </c>
      <c r="BE171" s="7">
        <v>26</v>
      </c>
      <c r="BF171" s="7">
        <v>9</v>
      </c>
      <c r="BG171" s="7">
        <v>0</v>
      </c>
      <c r="BH171" s="7">
        <v>48</v>
      </c>
      <c r="BI171" s="8">
        <v>0.45200000000000001</v>
      </c>
      <c r="BJ171" s="7">
        <v>1.1100000000000001</v>
      </c>
      <c r="BK171" s="7">
        <v>0.14000000000000001</v>
      </c>
      <c r="BL171" s="7">
        <v>0.09</v>
      </c>
      <c r="BM171" s="7">
        <v>0.11</v>
      </c>
      <c r="BN171" s="8">
        <v>0.23599999999999999</v>
      </c>
      <c r="BO171" s="7">
        <v>2.7</v>
      </c>
      <c r="BP171" s="8">
        <v>0</v>
      </c>
      <c r="BQ171" s="7">
        <v>70</v>
      </c>
      <c r="BR171" s="7">
        <v>0</v>
      </c>
      <c r="BS171" s="8">
        <v>0</v>
      </c>
      <c r="BT171" s="7" t="s">
        <v>85</v>
      </c>
      <c r="BU171" s="7">
        <v>0.79</v>
      </c>
      <c r="BV171" s="7">
        <v>0.5</v>
      </c>
      <c r="BW171" s="7">
        <v>2.52</v>
      </c>
      <c r="BX171" s="8">
        <v>0.26</v>
      </c>
    </row>
    <row r="172" spans="2:76" ht="19.899999999999999" customHeight="1" x14ac:dyDescent="0.3">
      <c r="B172" s="7" t="s">
        <v>140</v>
      </c>
      <c r="C172" s="7">
        <v>4</v>
      </c>
      <c r="D172" s="7">
        <v>0.85</v>
      </c>
      <c r="E172" s="7">
        <v>90</v>
      </c>
      <c r="F172" s="7">
        <v>1.02</v>
      </c>
      <c r="G172" s="7">
        <v>0.69</v>
      </c>
      <c r="H172" s="8">
        <v>0.17799999999999999</v>
      </c>
      <c r="I172" s="8">
        <v>0.438</v>
      </c>
      <c r="J172" s="7">
        <v>0.89</v>
      </c>
      <c r="K172" s="7">
        <v>1.35</v>
      </c>
      <c r="L172" s="7">
        <v>0.7</v>
      </c>
      <c r="M172" s="7">
        <v>65.599999999999994</v>
      </c>
      <c r="N172" s="7">
        <v>-1.83</v>
      </c>
      <c r="O172" s="7">
        <v>57.8</v>
      </c>
      <c r="P172" s="7">
        <v>0.51</v>
      </c>
      <c r="Q172" s="7">
        <v>0.7</v>
      </c>
      <c r="R172" s="7">
        <v>70.2</v>
      </c>
      <c r="S172" s="7">
        <v>0.57999999999999996</v>
      </c>
      <c r="T172" s="7">
        <v>58.8</v>
      </c>
      <c r="U172" s="7">
        <v>0.5</v>
      </c>
      <c r="V172" s="7">
        <v>-17</v>
      </c>
      <c r="W172" s="7">
        <v>1</v>
      </c>
      <c r="X172" s="7">
        <v>0.77</v>
      </c>
      <c r="Y172" s="7">
        <v>2</v>
      </c>
      <c r="Z172" s="7">
        <v>0.89</v>
      </c>
      <c r="AA172" s="7">
        <v>2</v>
      </c>
      <c r="AB172" s="7">
        <v>0.89</v>
      </c>
      <c r="AC172" s="7">
        <v>7.7777777777777779E-2</v>
      </c>
      <c r="AD172" s="7">
        <v>0.4</v>
      </c>
      <c r="AE172" s="7">
        <v>0.1</v>
      </c>
      <c r="AF172" s="7">
        <v>1.111111111111111E-2</v>
      </c>
      <c r="AG172" s="7">
        <v>2</v>
      </c>
      <c r="AH172" s="7">
        <v>1</v>
      </c>
      <c r="AI172" s="7">
        <v>0</v>
      </c>
      <c r="AJ172" s="7">
        <v>0</v>
      </c>
      <c r="AK172" s="7">
        <v>2</v>
      </c>
      <c r="AL172" s="7">
        <v>3.3333333333333333E-2</v>
      </c>
      <c r="AM172" s="7">
        <v>0.74</v>
      </c>
      <c r="AN172" s="7">
        <v>0</v>
      </c>
      <c r="AO172" s="7" t="s">
        <v>85</v>
      </c>
      <c r="AP172" s="7">
        <v>76.3</v>
      </c>
      <c r="AQ172" s="8">
        <v>0.71399999999999997</v>
      </c>
      <c r="AR172" s="8">
        <v>5.8000000000000003E-2</v>
      </c>
      <c r="AS172" s="8">
        <v>0.17399999999999999</v>
      </c>
      <c r="AT172" s="7">
        <v>113</v>
      </c>
      <c r="AU172" s="8">
        <v>4.3999999999999997E-2</v>
      </c>
      <c r="AV172" s="7">
        <v>0.3438461538461538</v>
      </c>
      <c r="AW172" s="7">
        <v>44.280769230769231</v>
      </c>
      <c r="AX172" s="7">
        <v>0.16</v>
      </c>
      <c r="AY172" s="8">
        <v>0.23799999999999999</v>
      </c>
      <c r="AZ172" s="7">
        <v>7.0000000000000007E-2</v>
      </c>
      <c r="BA172" s="7">
        <v>3.33</v>
      </c>
      <c r="BB172" s="7">
        <v>3</v>
      </c>
      <c r="BC172" s="7">
        <v>86</v>
      </c>
      <c r="BD172" s="7">
        <v>54</v>
      </c>
      <c r="BE172" s="7">
        <v>26</v>
      </c>
      <c r="BF172" s="7">
        <v>65</v>
      </c>
      <c r="BG172" s="7">
        <v>59</v>
      </c>
      <c r="BH172" s="7">
        <v>57</v>
      </c>
      <c r="BI172" s="8">
        <v>0.45700000000000002</v>
      </c>
      <c r="BJ172" s="7" t="s">
        <v>85</v>
      </c>
      <c r="BK172" s="7">
        <v>0.17</v>
      </c>
      <c r="BL172" s="7">
        <v>0.06</v>
      </c>
      <c r="BM172" s="7">
        <v>0.12</v>
      </c>
      <c r="BN172" s="8">
        <v>0.17799999999999999</v>
      </c>
      <c r="BO172" s="7">
        <v>1.68</v>
      </c>
      <c r="BP172" s="8">
        <v>1</v>
      </c>
      <c r="BQ172" s="7">
        <v>64</v>
      </c>
      <c r="BR172" s="7">
        <v>0.19</v>
      </c>
      <c r="BS172" s="8">
        <v>0.37</v>
      </c>
      <c r="BT172" s="8">
        <v>0.13300000000000001</v>
      </c>
      <c r="BU172" s="7">
        <v>0</v>
      </c>
      <c r="BV172" s="7">
        <v>0.79</v>
      </c>
      <c r="BW172" s="7">
        <v>2.0299999999999998</v>
      </c>
      <c r="BX172" s="8">
        <v>0.30399999999999999</v>
      </c>
    </row>
    <row r="173" spans="2:76" ht="19.899999999999999" customHeight="1" x14ac:dyDescent="0.3">
      <c r="B173" s="7" t="s">
        <v>141</v>
      </c>
      <c r="C173" s="7">
        <v>4</v>
      </c>
      <c r="D173" s="7">
        <v>0.84</v>
      </c>
      <c r="E173" s="7">
        <v>90</v>
      </c>
      <c r="F173" s="7">
        <v>0.88</v>
      </c>
      <c r="G173" s="7">
        <v>0.81</v>
      </c>
      <c r="H173" s="8">
        <v>0.3</v>
      </c>
      <c r="I173" s="8">
        <v>0.40699999999999997</v>
      </c>
      <c r="J173" s="7">
        <v>0.98</v>
      </c>
      <c r="K173" s="7">
        <v>0.48</v>
      </c>
      <c r="L173" s="7">
        <v>0.72</v>
      </c>
      <c r="M173" s="7">
        <v>64.400000000000006</v>
      </c>
      <c r="N173" s="7">
        <v>-1.98</v>
      </c>
      <c r="O173" s="7">
        <v>66.2</v>
      </c>
      <c r="P173" s="7">
        <v>0.59</v>
      </c>
      <c r="Q173" s="7">
        <v>0.72</v>
      </c>
      <c r="R173" s="7">
        <v>59.8</v>
      </c>
      <c r="S173" s="7">
        <v>0.91</v>
      </c>
      <c r="T173" s="7">
        <v>65.400000000000006</v>
      </c>
      <c r="U173" s="7">
        <v>0.59</v>
      </c>
      <c r="V173" s="7">
        <v>-12</v>
      </c>
      <c r="W173" s="7">
        <v>1</v>
      </c>
      <c r="X173" s="7">
        <v>0.88</v>
      </c>
      <c r="Y173" s="7">
        <v>2</v>
      </c>
      <c r="Z173" s="7">
        <v>0.81</v>
      </c>
      <c r="AA173" s="7">
        <v>2</v>
      </c>
      <c r="AB173" s="7">
        <v>0.81</v>
      </c>
      <c r="AC173" s="7">
        <v>0.1222222222222222</v>
      </c>
      <c r="AD173" s="7">
        <v>0.43333333333333329</v>
      </c>
      <c r="AE173" s="7">
        <v>0.1444444444444444</v>
      </c>
      <c r="AF173" s="7">
        <v>1.111111111111111E-2</v>
      </c>
      <c r="AG173" s="7">
        <v>3</v>
      </c>
      <c r="AH173" s="7">
        <v>0</v>
      </c>
      <c r="AI173" s="7">
        <v>0</v>
      </c>
      <c r="AJ173" s="7">
        <v>0</v>
      </c>
      <c r="AK173" s="7">
        <v>2</v>
      </c>
      <c r="AL173" s="7">
        <v>3.3333333333333333E-2</v>
      </c>
      <c r="AM173" s="7">
        <v>0.95</v>
      </c>
      <c r="AN173" s="7">
        <v>0</v>
      </c>
      <c r="AO173" s="7" t="s">
        <v>85</v>
      </c>
      <c r="AP173" s="7">
        <v>103.3</v>
      </c>
      <c r="AQ173" s="8">
        <v>0.81799999999999995</v>
      </c>
      <c r="AR173" s="8">
        <v>5.8000000000000003E-2</v>
      </c>
      <c r="AS173" s="8">
        <v>0.22600000000000001</v>
      </c>
      <c r="AT173" s="7">
        <v>112</v>
      </c>
      <c r="AU173" s="8">
        <v>0.16700000000000001</v>
      </c>
      <c r="AV173" s="7">
        <v>0.32500000000000001</v>
      </c>
      <c r="AW173" s="7">
        <v>39.088461538461537</v>
      </c>
      <c r="AX173" s="7">
        <v>0.09</v>
      </c>
      <c r="AY173" s="8">
        <v>0.154</v>
      </c>
      <c r="AZ173" s="7">
        <v>0.01</v>
      </c>
      <c r="BA173" s="7">
        <v>2.5299999999999998</v>
      </c>
      <c r="BB173" s="7">
        <v>24</v>
      </c>
      <c r="BC173" s="7">
        <v>9</v>
      </c>
      <c r="BD173" s="7">
        <v>5</v>
      </c>
      <c r="BE173" s="7">
        <v>77</v>
      </c>
      <c r="BF173" s="7">
        <v>78</v>
      </c>
      <c r="BG173" s="7">
        <v>1</v>
      </c>
      <c r="BH173" s="7">
        <v>21</v>
      </c>
      <c r="BI173" s="8">
        <v>0.60399999999999998</v>
      </c>
      <c r="BJ173" s="7" t="s">
        <v>85</v>
      </c>
      <c r="BK173" s="7">
        <v>0.11</v>
      </c>
      <c r="BL173" s="7">
        <v>0.06</v>
      </c>
      <c r="BM173" s="7">
        <v>0.06</v>
      </c>
      <c r="BN173" s="8">
        <v>0.189</v>
      </c>
      <c r="BO173" s="7">
        <v>2.46</v>
      </c>
      <c r="BP173" s="8">
        <v>1</v>
      </c>
      <c r="BQ173" s="7">
        <v>63</v>
      </c>
      <c r="BR173" s="7">
        <v>0.01</v>
      </c>
      <c r="BS173" s="8">
        <v>1.9E-2</v>
      </c>
      <c r="BT173" s="8">
        <v>1.0999999999999999E-2</v>
      </c>
      <c r="BU173" s="7">
        <v>0</v>
      </c>
      <c r="BV173" s="7">
        <v>0.46</v>
      </c>
      <c r="BW173" s="7">
        <v>1.57</v>
      </c>
      <c r="BX173" s="8">
        <v>0.151</v>
      </c>
    </row>
    <row r="174" spans="2:76" ht="19.899999999999999" customHeight="1" x14ac:dyDescent="0.3">
      <c r="B174" s="7" t="s">
        <v>185</v>
      </c>
      <c r="C174" s="7">
        <v>9</v>
      </c>
      <c r="D174" s="7">
        <v>0.84</v>
      </c>
      <c r="E174" s="7">
        <v>181</v>
      </c>
      <c r="F174" s="7">
        <v>0.86</v>
      </c>
      <c r="G174" s="7">
        <v>0.81</v>
      </c>
      <c r="H174" s="8">
        <v>0.182</v>
      </c>
      <c r="I174" s="8">
        <v>0.39400000000000002</v>
      </c>
      <c r="J174" s="7">
        <v>0.84</v>
      </c>
      <c r="K174" s="7">
        <v>0.55000000000000004</v>
      </c>
      <c r="L174" s="7">
        <v>0.73</v>
      </c>
      <c r="M174" s="7">
        <v>69.599999999999994</v>
      </c>
      <c r="N174" s="7">
        <v>-2.52</v>
      </c>
      <c r="O174" s="7">
        <v>67.5</v>
      </c>
      <c r="P174" s="7">
        <v>0.56000000000000005</v>
      </c>
      <c r="Q174" s="7">
        <v>0.73</v>
      </c>
      <c r="R174" s="7">
        <v>69.3</v>
      </c>
      <c r="S174" s="7">
        <v>0.91</v>
      </c>
      <c r="T174" s="7">
        <v>66.900000000000006</v>
      </c>
      <c r="U174" s="7">
        <v>0.56000000000000005</v>
      </c>
      <c r="V174" s="7">
        <v>-30</v>
      </c>
      <c r="W174" s="7">
        <v>7</v>
      </c>
      <c r="X174" s="7">
        <v>0.76</v>
      </c>
      <c r="Y174" s="7">
        <v>8</v>
      </c>
      <c r="Z174" s="7">
        <v>0.81</v>
      </c>
      <c r="AA174" s="7">
        <v>8</v>
      </c>
      <c r="AB174" s="7">
        <v>0.81</v>
      </c>
      <c r="AC174" s="7">
        <v>7.18232044198895E-2</v>
      </c>
      <c r="AD174" s="7">
        <v>0.40883977900552487</v>
      </c>
      <c r="AE174" s="7">
        <v>0.11602209944751379</v>
      </c>
      <c r="AF174" s="7">
        <v>2.7624309392265189E-2</v>
      </c>
      <c r="AG174" s="7">
        <v>5</v>
      </c>
      <c r="AH174" s="7">
        <v>3</v>
      </c>
      <c r="AI174" s="7">
        <v>2</v>
      </c>
      <c r="AJ174" s="7">
        <v>0</v>
      </c>
      <c r="AK174" s="7">
        <v>1</v>
      </c>
      <c r="AL174" s="7">
        <v>5.5248618784530376E-3</v>
      </c>
      <c r="AM174" s="7">
        <v>0.8</v>
      </c>
      <c r="AN174" s="7">
        <v>0</v>
      </c>
      <c r="AO174" s="7" t="s">
        <v>85</v>
      </c>
      <c r="AP174" s="7">
        <v>83.3</v>
      </c>
      <c r="AQ174" s="8">
        <v>0.84599999999999997</v>
      </c>
      <c r="AR174" s="8">
        <v>3.9E-2</v>
      </c>
      <c r="AS174" s="8">
        <v>0.27500000000000002</v>
      </c>
      <c r="AT174" s="7">
        <v>120</v>
      </c>
      <c r="AU174" s="8">
        <v>7.1999999999999995E-2</v>
      </c>
      <c r="AV174" s="7">
        <v>0.38039215686274508</v>
      </c>
      <c r="AW174" s="7">
        <v>55.262745098039218</v>
      </c>
      <c r="AX174" s="7">
        <v>0.13</v>
      </c>
      <c r="AY174" s="8">
        <v>0.20499999999999999</v>
      </c>
      <c r="AZ174" s="7">
        <v>0.09</v>
      </c>
      <c r="BA174" s="7">
        <v>5.97</v>
      </c>
      <c r="BB174" s="7">
        <v>15</v>
      </c>
      <c r="BC174" s="7">
        <v>51</v>
      </c>
      <c r="BD174" s="7">
        <v>39</v>
      </c>
      <c r="BE174" s="7">
        <v>27</v>
      </c>
      <c r="BF174" s="7">
        <v>24</v>
      </c>
      <c r="BG174" s="7">
        <v>0</v>
      </c>
      <c r="BH174" s="7">
        <v>92</v>
      </c>
      <c r="BI174" s="8">
        <v>0.55900000000000005</v>
      </c>
      <c r="BJ174" s="7">
        <v>1.1580952380952381</v>
      </c>
      <c r="BK174" s="7">
        <v>0.15</v>
      </c>
      <c r="BL174" s="7">
        <v>7.0000000000000007E-2</v>
      </c>
      <c r="BM174" s="7">
        <v>0.09</v>
      </c>
      <c r="BN174" s="8">
        <v>0.215</v>
      </c>
      <c r="BO174" s="7">
        <v>2.67</v>
      </c>
      <c r="BP174" s="8">
        <v>1</v>
      </c>
      <c r="BQ174" s="7">
        <v>73</v>
      </c>
      <c r="BR174" s="7">
        <v>0</v>
      </c>
      <c r="BS174" s="8">
        <v>0</v>
      </c>
      <c r="BT174" s="7" t="s">
        <v>85</v>
      </c>
      <c r="BU174" s="7">
        <v>1.66</v>
      </c>
      <c r="BV174" s="7">
        <v>0.94</v>
      </c>
      <c r="BW174" s="7">
        <v>2.9</v>
      </c>
      <c r="BX174" s="8">
        <v>0.22500000000000001</v>
      </c>
    </row>
    <row r="175" spans="2:76" ht="19.899999999999999" customHeight="1" x14ac:dyDescent="0.3">
      <c r="B175" s="7" t="s">
        <v>125</v>
      </c>
      <c r="C175" s="7">
        <v>5</v>
      </c>
      <c r="D175" s="7">
        <v>0.84</v>
      </c>
      <c r="E175" s="7">
        <v>106</v>
      </c>
      <c r="F175" s="7">
        <v>0.65</v>
      </c>
      <c r="G175" s="7">
        <v>1.1000000000000001</v>
      </c>
      <c r="H175" s="8">
        <v>0.20799999999999999</v>
      </c>
      <c r="I175" s="8">
        <v>0.27300000000000002</v>
      </c>
      <c r="J175" s="7">
        <v>0.7</v>
      </c>
      <c r="K175" s="7">
        <v>0.98</v>
      </c>
      <c r="L175" s="7">
        <v>0.72</v>
      </c>
      <c r="M175" s="7">
        <v>75.5</v>
      </c>
      <c r="N175" s="7">
        <v>-3.41</v>
      </c>
      <c r="O175" s="7">
        <v>56</v>
      </c>
      <c r="P175" s="7">
        <v>0.59</v>
      </c>
      <c r="Q175" s="7">
        <v>0.72</v>
      </c>
      <c r="R175" s="7">
        <v>70.900000000000006</v>
      </c>
      <c r="S175" s="7">
        <v>0.84</v>
      </c>
      <c r="T175" s="7">
        <v>58.3</v>
      </c>
      <c r="U175" s="7">
        <v>0.65</v>
      </c>
      <c r="V175" s="7">
        <v>-13</v>
      </c>
      <c r="W175" s="7">
        <v>3</v>
      </c>
      <c r="X175" s="7">
        <v>0.77</v>
      </c>
      <c r="Y175" s="7">
        <v>3</v>
      </c>
      <c r="Z175" s="7">
        <v>0.77</v>
      </c>
      <c r="AA175" s="7">
        <v>3</v>
      </c>
      <c r="AB175" s="7">
        <v>0.77</v>
      </c>
      <c r="AC175" s="7">
        <v>5.6603773584905662E-2</v>
      </c>
      <c r="AD175" s="7">
        <v>0.45283018867924529</v>
      </c>
      <c r="AE175" s="7">
        <v>0.1037735849056604</v>
      </c>
      <c r="AF175" s="7">
        <v>3.7735849056603772E-2</v>
      </c>
      <c r="AG175" s="7">
        <v>2</v>
      </c>
      <c r="AH175" s="7">
        <v>1</v>
      </c>
      <c r="AI175" s="7">
        <v>1</v>
      </c>
      <c r="AJ175" s="7">
        <v>0</v>
      </c>
      <c r="AK175" s="7">
        <v>2</v>
      </c>
      <c r="AL175" s="7">
        <v>2.8301886792452831E-2</v>
      </c>
      <c r="AM175" s="7">
        <v>0.82</v>
      </c>
      <c r="AN175" s="7">
        <v>0</v>
      </c>
      <c r="AO175" s="7" t="s">
        <v>85</v>
      </c>
      <c r="AP175" s="7">
        <v>74</v>
      </c>
      <c r="AQ175" s="8">
        <v>0.33300000000000002</v>
      </c>
      <c r="AR175" s="8">
        <v>9.0999999999999998E-2</v>
      </c>
      <c r="AS175" s="8">
        <v>0.44400000000000001</v>
      </c>
      <c r="AT175" s="7">
        <v>94</v>
      </c>
      <c r="AU175" s="8">
        <v>8.5000000000000006E-2</v>
      </c>
      <c r="AV175" s="7">
        <v>0.45757575757575758</v>
      </c>
      <c r="AW175" s="7">
        <v>45.090909090909093</v>
      </c>
      <c r="AX175" s="7">
        <v>0.14000000000000001</v>
      </c>
      <c r="AY175" s="8">
        <v>0.28899999999999998</v>
      </c>
      <c r="AZ175" s="7">
        <v>0.05</v>
      </c>
      <c r="BA175" s="7">
        <v>3.2</v>
      </c>
      <c r="BB175" s="7">
        <v>8</v>
      </c>
      <c r="BC175" s="7">
        <v>95</v>
      </c>
      <c r="BD175" s="7">
        <v>79</v>
      </c>
      <c r="BE175" s="7">
        <v>19</v>
      </c>
      <c r="BF175" s="7">
        <v>64</v>
      </c>
      <c r="BG175" s="7">
        <v>0</v>
      </c>
      <c r="BH175" s="7">
        <v>54</v>
      </c>
      <c r="BI175" s="8">
        <v>0.54</v>
      </c>
      <c r="BJ175" s="7">
        <v>0.98</v>
      </c>
      <c r="BK175" s="7">
        <v>0.21</v>
      </c>
      <c r="BL175" s="7">
        <v>0.14000000000000001</v>
      </c>
      <c r="BM175" s="7">
        <v>0.19</v>
      </c>
      <c r="BN175" s="8">
        <v>0.217</v>
      </c>
      <c r="BO175" s="7">
        <v>2.41</v>
      </c>
      <c r="BP175" s="8">
        <v>0.5</v>
      </c>
      <c r="BQ175" s="7">
        <v>78</v>
      </c>
      <c r="BR175" s="7">
        <v>0</v>
      </c>
      <c r="BS175" s="8">
        <v>0</v>
      </c>
      <c r="BT175" s="7" t="s">
        <v>85</v>
      </c>
      <c r="BU175" s="7">
        <v>1.89</v>
      </c>
      <c r="BV175" s="7">
        <v>0.67</v>
      </c>
      <c r="BW175" s="7">
        <v>1.95</v>
      </c>
      <c r="BX175" s="8">
        <v>0.23799999999999999</v>
      </c>
    </row>
    <row r="176" spans="2:76" ht="19.899999999999999" customHeight="1" x14ac:dyDescent="0.3">
      <c r="B176" s="7" t="s">
        <v>135</v>
      </c>
      <c r="C176" s="7">
        <v>5</v>
      </c>
      <c r="D176" s="7">
        <v>0.83</v>
      </c>
      <c r="E176" s="7">
        <v>119</v>
      </c>
      <c r="F176" s="7">
        <v>0.88</v>
      </c>
      <c r="G176" s="7">
        <v>0.79</v>
      </c>
      <c r="H176" s="8">
        <v>0.13400000000000001</v>
      </c>
      <c r="I176" s="8">
        <v>0.25</v>
      </c>
      <c r="J176" s="7">
        <v>0.67</v>
      </c>
      <c r="K176" s="7">
        <v>0.94</v>
      </c>
      <c r="L176" s="7">
        <v>0.73</v>
      </c>
      <c r="M176" s="7">
        <v>61.3</v>
      </c>
      <c r="N176" s="7">
        <v>-1.46</v>
      </c>
      <c r="O176" s="7">
        <v>60.3</v>
      </c>
      <c r="P176" s="7">
        <v>0.51</v>
      </c>
      <c r="Q176" s="7">
        <v>0.73</v>
      </c>
      <c r="R176" s="7">
        <v>60.2</v>
      </c>
      <c r="S176" s="7">
        <v>0.84</v>
      </c>
      <c r="T176" s="7">
        <v>61.3</v>
      </c>
      <c r="U176" s="7">
        <v>0.54</v>
      </c>
      <c r="V176" s="7">
        <v>-26</v>
      </c>
      <c r="W176" s="7">
        <v>1</v>
      </c>
      <c r="X176" s="7">
        <v>0.91</v>
      </c>
      <c r="Y176" s="7">
        <v>2</v>
      </c>
      <c r="Z176" s="7">
        <v>0.78</v>
      </c>
      <c r="AA176" s="7">
        <v>5</v>
      </c>
      <c r="AB176" s="7">
        <v>0.83</v>
      </c>
      <c r="AC176" s="7">
        <v>3.3613445378151259E-2</v>
      </c>
      <c r="AD176" s="7">
        <v>0.38655462184873951</v>
      </c>
      <c r="AE176" s="7">
        <v>8.4033613445378158E-2</v>
      </c>
      <c r="AF176" s="7">
        <v>3.3613445378151259E-2</v>
      </c>
      <c r="AG176" s="7">
        <v>2</v>
      </c>
      <c r="AH176" s="7">
        <v>1</v>
      </c>
      <c r="AI176" s="7">
        <v>1</v>
      </c>
      <c r="AJ176" s="7">
        <v>0</v>
      </c>
      <c r="AK176" s="7">
        <v>4</v>
      </c>
      <c r="AL176" s="7">
        <v>6.7226890756302518E-2</v>
      </c>
      <c r="AM176" s="7">
        <v>0.83</v>
      </c>
      <c r="AN176" s="7">
        <v>0</v>
      </c>
      <c r="AO176" s="7" t="s">
        <v>85</v>
      </c>
      <c r="AP176" s="7">
        <v>88.6</v>
      </c>
      <c r="AQ176" s="8">
        <v>1</v>
      </c>
      <c r="AR176" s="8">
        <v>0.104</v>
      </c>
      <c r="AS176" s="8">
        <v>0.23</v>
      </c>
      <c r="AT176" s="7">
        <v>118</v>
      </c>
      <c r="AU176" s="8">
        <v>0.126</v>
      </c>
      <c r="AV176" s="7">
        <v>0.26626865671641797</v>
      </c>
      <c r="AW176" s="7">
        <v>38.335820895522389</v>
      </c>
      <c r="AX176" s="7">
        <v>0.18</v>
      </c>
      <c r="AY176" s="8">
        <v>0.253</v>
      </c>
      <c r="AZ176" s="7">
        <v>0.04</v>
      </c>
      <c r="BA176" s="7">
        <v>3.87</v>
      </c>
      <c r="BB176" s="7">
        <v>3</v>
      </c>
      <c r="BC176" s="7">
        <v>97</v>
      </c>
      <c r="BD176" s="7">
        <v>69</v>
      </c>
      <c r="BE176" s="7">
        <v>12</v>
      </c>
      <c r="BF176" s="7">
        <v>95</v>
      </c>
      <c r="BG176" s="7">
        <v>0</v>
      </c>
      <c r="BH176" s="7">
        <v>46</v>
      </c>
      <c r="BI176" s="8">
        <v>0.54100000000000004</v>
      </c>
      <c r="BJ176" s="7">
        <v>1.25</v>
      </c>
      <c r="BK176" s="7">
        <v>0.18</v>
      </c>
      <c r="BL176" s="7">
        <v>0.09</v>
      </c>
      <c r="BM176" s="7">
        <v>0.16</v>
      </c>
      <c r="BN176" s="8">
        <v>0.14299999999999999</v>
      </c>
      <c r="BO176" s="7">
        <v>2.54</v>
      </c>
      <c r="BP176" s="8">
        <v>0</v>
      </c>
      <c r="BQ176" s="7">
        <v>75</v>
      </c>
      <c r="BR176" s="7">
        <v>0</v>
      </c>
      <c r="BS176" s="8">
        <v>0</v>
      </c>
      <c r="BT176" s="7" t="s">
        <v>85</v>
      </c>
      <c r="BU176" s="7">
        <v>0</v>
      </c>
      <c r="BV176" s="7">
        <v>0.51</v>
      </c>
      <c r="BW176" s="7">
        <v>2.68</v>
      </c>
      <c r="BX176" s="8">
        <v>0.34399999999999997</v>
      </c>
    </row>
    <row r="177" spans="2:76" ht="19.899999999999999" customHeight="1" x14ac:dyDescent="0.3">
      <c r="B177" s="7" t="s">
        <v>186</v>
      </c>
      <c r="C177" s="7">
        <v>8</v>
      </c>
      <c r="D177" s="7">
        <v>0.82</v>
      </c>
      <c r="E177" s="7">
        <v>180</v>
      </c>
      <c r="F177" s="7">
        <v>0.92</v>
      </c>
      <c r="G177" s="7">
        <v>0.72</v>
      </c>
      <c r="H177" s="8">
        <v>0.27800000000000002</v>
      </c>
      <c r="I177" s="8">
        <v>0.44</v>
      </c>
      <c r="J177" s="7">
        <v>1.02</v>
      </c>
      <c r="K177" s="7">
        <v>0.57999999999999996</v>
      </c>
      <c r="L177" s="7">
        <v>0.71</v>
      </c>
      <c r="M177" s="7">
        <v>67.8</v>
      </c>
      <c r="N177" s="7">
        <v>-2.8</v>
      </c>
      <c r="O177" s="7">
        <v>62.1</v>
      </c>
      <c r="P177" s="7">
        <v>0.52</v>
      </c>
      <c r="Q177" s="7">
        <v>0.71</v>
      </c>
      <c r="R177" s="7">
        <v>70.099999999999994</v>
      </c>
      <c r="S177" s="7">
        <v>0.73</v>
      </c>
      <c r="T177" s="7">
        <v>62.4</v>
      </c>
      <c r="U177" s="7">
        <v>0.53</v>
      </c>
      <c r="V177" s="7">
        <v>-35</v>
      </c>
      <c r="W177" s="7">
        <v>3</v>
      </c>
      <c r="X177" s="7">
        <v>0.82</v>
      </c>
      <c r="Y177" s="7">
        <v>6</v>
      </c>
      <c r="Z177" s="7">
        <v>0.85</v>
      </c>
      <c r="AA177" s="7">
        <v>7</v>
      </c>
      <c r="AB177" s="7">
        <v>0.85</v>
      </c>
      <c r="AC177" s="7">
        <v>0.1222222222222222</v>
      </c>
      <c r="AD177" s="7">
        <v>0.39444444444444438</v>
      </c>
      <c r="AE177" s="7">
        <v>0.1111111111111111</v>
      </c>
      <c r="AF177" s="7">
        <v>1.111111111111111E-2</v>
      </c>
      <c r="AG177" s="7">
        <v>5</v>
      </c>
      <c r="AH177" s="7">
        <v>1</v>
      </c>
      <c r="AI177" s="7">
        <v>1</v>
      </c>
      <c r="AJ177" s="7">
        <v>0</v>
      </c>
      <c r="AK177" s="7">
        <v>0</v>
      </c>
      <c r="AL177" s="7">
        <v>0</v>
      </c>
      <c r="AM177" s="7">
        <v>0.69</v>
      </c>
      <c r="AN177" s="7">
        <v>0</v>
      </c>
      <c r="AO177" s="7" t="s">
        <v>85</v>
      </c>
      <c r="AP177" s="7">
        <v>76.5</v>
      </c>
      <c r="AQ177" s="8">
        <v>0.81799999999999995</v>
      </c>
      <c r="AR177" s="8">
        <v>5.8999999999999997E-2</v>
      </c>
      <c r="AS177" s="8">
        <v>0.215</v>
      </c>
      <c r="AT177" s="7">
        <v>120</v>
      </c>
      <c r="AU177" s="8">
        <v>3.3000000000000002E-2</v>
      </c>
      <c r="AV177" s="7">
        <v>0.32294117647058829</v>
      </c>
      <c r="AW177" s="7">
        <v>46.005882352941178</v>
      </c>
      <c r="AX177" s="7">
        <v>0.08</v>
      </c>
      <c r="AY177" s="8">
        <v>0.26600000000000001</v>
      </c>
      <c r="AZ177" s="7">
        <v>0.11</v>
      </c>
      <c r="BA177" s="7">
        <v>4.71</v>
      </c>
      <c r="BB177" s="7">
        <v>6</v>
      </c>
      <c r="BC177" s="7">
        <v>85</v>
      </c>
      <c r="BD177" s="7">
        <v>5</v>
      </c>
      <c r="BE177" s="7">
        <v>78</v>
      </c>
      <c r="BF177" s="7">
        <v>10</v>
      </c>
      <c r="BG177" s="7">
        <v>0</v>
      </c>
      <c r="BH177" s="7">
        <v>80</v>
      </c>
      <c r="BI177" s="8">
        <v>0.51600000000000001</v>
      </c>
      <c r="BJ177" s="7">
        <v>0.90175438596491231</v>
      </c>
      <c r="BK177" s="7">
        <v>0.19</v>
      </c>
      <c r="BL177" s="7">
        <v>0.05</v>
      </c>
      <c r="BM177" s="7">
        <v>0.11</v>
      </c>
      <c r="BN177" s="8">
        <v>0.21099999999999999</v>
      </c>
      <c r="BO177" s="7">
        <v>2.52</v>
      </c>
      <c r="BP177" s="8">
        <v>0</v>
      </c>
      <c r="BQ177" s="7">
        <v>73</v>
      </c>
      <c r="BR177" s="7">
        <v>0</v>
      </c>
      <c r="BS177" s="8">
        <v>0</v>
      </c>
      <c r="BT177" s="7" t="s">
        <v>85</v>
      </c>
      <c r="BU177" s="7">
        <v>1.1100000000000001</v>
      </c>
      <c r="BV177" s="7">
        <v>0.82</v>
      </c>
      <c r="BW177" s="7">
        <v>2.85</v>
      </c>
      <c r="BX177" s="8">
        <v>0.161</v>
      </c>
    </row>
    <row r="178" spans="2:76" ht="19.899999999999999" customHeight="1" x14ac:dyDescent="0.3">
      <c r="B178" s="7" t="s">
        <v>133</v>
      </c>
      <c r="C178" s="7">
        <v>5</v>
      </c>
      <c r="D178" s="7">
        <v>0.81</v>
      </c>
      <c r="E178" s="7">
        <v>119</v>
      </c>
      <c r="F178" s="7">
        <v>0.66</v>
      </c>
      <c r="G178" s="7">
        <v>0.94</v>
      </c>
      <c r="H178" s="8">
        <v>0.20200000000000001</v>
      </c>
      <c r="I178" s="8">
        <v>0.25</v>
      </c>
      <c r="J178" s="7">
        <v>0.67</v>
      </c>
      <c r="K178" s="7">
        <v>0.91</v>
      </c>
      <c r="L178" s="7">
        <v>0.79</v>
      </c>
      <c r="M178" s="7">
        <v>66.400000000000006</v>
      </c>
      <c r="N178" s="7">
        <v>-2.13</v>
      </c>
      <c r="O178" s="7">
        <v>63.5</v>
      </c>
      <c r="P178" s="7">
        <v>0.54</v>
      </c>
      <c r="Q178" s="7">
        <v>0.79</v>
      </c>
      <c r="R178" s="7">
        <v>61.3</v>
      </c>
      <c r="S178" s="7">
        <v>0.93</v>
      </c>
      <c r="T178" s="7">
        <v>65.7</v>
      </c>
      <c r="U178" s="7">
        <v>0.55000000000000004</v>
      </c>
      <c r="V178" s="7">
        <v>-30</v>
      </c>
      <c r="W178" s="7">
        <v>1</v>
      </c>
      <c r="X178" s="7">
        <v>0.63</v>
      </c>
      <c r="Y178" s="7">
        <v>2</v>
      </c>
      <c r="Z178" s="7">
        <v>0.84</v>
      </c>
      <c r="AA178" s="7">
        <v>5</v>
      </c>
      <c r="AB178" s="7">
        <v>0.81</v>
      </c>
      <c r="AC178" s="7">
        <v>5.0420168067226892E-2</v>
      </c>
      <c r="AD178" s="7">
        <v>0.36974789915966388</v>
      </c>
      <c r="AE178" s="7">
        <v>0.1260504201680672</v>
      </c>
      <c r="AF178" s="7">
        <v>3.3613445378151259E-2</v>
      </c>
      <c r="AG178" s="7">
        <v>2</v>
      </c>
      <c r="AH178" s="7">
        <v>2</v>
      </c>
      <c r="AI178" s="7">
        <v>1</v>
      </c>
      <c r="AJ178" s="7">
        <v>0</v>
      </c>
      <c r="AK178" s="7">
        <v>2</v>
      </c>
      <c r="AL178" s="7">
        <v>4.2016806722689079E-2</v>
      </c>
      <c r="AM178" s="7">
        <v>0.88</v>
      </c>
      <c r="AN178" s="7">
        <v>0</v>
      </c>
      <c r="AO178" s="7" t="s">
        <v>85</v>
      </c>
      <c r="AP178" s="7">
        <v>86.1</v>
      </c>
      <c r="AQ178" s="8">
        <v>0.66700000000000004</v>
      </c>
      <c r="AR178" s="8">
        <v>7.4999999999999997E-2</v>
      </c>
      <c r="AS178" s="8">
        <v>0.35899999999999999</v>
      </c>
      <c r="AT178" s="7">
        <v>118</v>
      </c>
      <c r="AU178" s="8">
        <v>0.05</v>
      </c>
      <c r="AV178" s="7">
        <v>0.27223880597014932</v>
      </c>
      <c r="AW178" s="7">
        <v>45.959701492537313</v>
      </c>
      <c r="AX178" s="7">
        <v>0.13</v>
      </c>
      <c r="AY178" s="8">
        <v>0.223</v>
      </c>
      <c r="AZ178" s="7">
        <v>0</v>
      </c>
      <c r="BA178" s="7">
        <v>2.33</v>
      </c>
      <c r="BB178" s="7">
        <v>11</v>
      </c>
      <c r="BC178" s="7">
        <v>86</v>
      </c>
      <c r="BD178" s="7">
        <v>67</v>
      </c>
      <c r="BE178" s="7">
        <v>20</v>
      </c>
      <c r="BF178" s="7">
        <v>78</v>
      </c>
      <c r="BG178" s="7">
        <v>0</v>
      </c>
      <c r="BH178" s="7">
        <v>12</v>
      </c>
      <c r="BI178" s="8">
        <v>0.56200000000000006</v>
      </c>
      <c r="BJ178" s="7">
        <v>0.72</v>
      </c>
      <c r="BK178" s="7">
        <v>0.18</v>
      </c>
      <c r="BL178" s="7">
        <v>0.13</v>
      </c>
      <c r="BM178" s="7">
        <v>0.13</v>
      </c>
      <c r="BN178" s="8">
        <v>0.24399999999999999</v>
      </c>
      <c r="BO178" s="7">
        <v>2.41</v>
      </c>
      <c r="BP178" s="8">
        <v>1</v>
      </c>
      <c r="BQ178" s="7">
        <v>70</v>
      </c>
      <c r="BR178" s="7">
        <v>0</v>
      </c>
      <c r="BS178" s="8">
        <v>0</v>
      </c>
      <c r="BT178" s="7" t="s">
        <v>85</v>
      </c>
      <c r="BU178" s="7">
        <v>0</v>
      </c>
      <c r="BV178" s="7">
        <v>0.37</v>
      </c>
      <c r="BW178" s="7">
        <v>1.55</v>
      </c>
      <c r="BX178" s="8">
        <v>0.23400000000000001</v>
      </c>
    </row>
    <row r="179" spans="2:76" ht="19.899999999999999" customHeight="1" x14ac:dyDescent="0.3">
      <c r="B179" s="7" t="s">
        <v>120</v>
      </c>
      <c r="C179" s="7">
        <v>7</v>
      </c>
      <c r="D179" s="7">
        <v>0.79</v>
      </c>
      <c r="E179" s="7">
        <v>143</v>
      </c>
      <c r="F179" s="7">
        <v>0.82</v>
      </c>
      <c r="G179" s="7">
        <v>0.76</v>
      </c>
      <c r="H179" s="8">
        <v>0.224</v>
      </c>
      <c r="I179" s="8">
        <v>0.28100000000000003</v>
      </c>
      <c r="J179" s="7">
        <v>0.71</v>
      </c>
      <c r="K179" s="7">
        <v>1.26</v>
      </c>
      <c r="L179" s="7">
        <v>0.66</v>
      </c>
      <c r="M179" s="7">
        <v>67.099999999999994</v>
      </c>
      <c r="N179" s="7">
        <v>-3.26</v>
      </c>
      <c r="O179" s="7">
        <v>54.7</v>
      </c>
      <c r="P179" s="7">
        <v>0.48</v>
      </c>
      <c r="Q179" s="7">
        <v>0.66</v>
      </c>
      <c r="R179" s="7">
        <v>60.9</v>
      </c>
      <c r="S179" s="7">
        <v>0.96</v>
      </c>
      <c r="T179" s="7">
        <v>56.3</v>
      </c>
      <c r="U179" s="7">
        <v>0.5</v>
      </c>
      <c r="V179" s="7">
        <v>-27</v>
      </c>
      <c r="W179" s="7">
        <v>2</v>
      </c>
      <c r="X179" s="7">
        <v>0.8</v>
      </c>
      <c r="Y179" s="7">
        <v>3</v>
      </c>
      <c r="Z179" s="7">
        <v>0.73</v>
      </c>
      <c r="AA179" s="7">
        <v>5</v>
      </c>
      <c r="AB179" s="7">
        <v>0.76</v>
      </c>
      <c r="AC179" s="7">
        <v>6.2937062937062943E-2</v>
      </c>
      <c r="AD179" s="7">
        <v>0.33566433566433568</v>
      </c>
      <c r="AE179" s="7">
        <v>0.11888111888111889</v>
      </c>
      <c r="AF179" s="7">
        <v>2.097902097902098E-2</v>
      </c>
      <c r="AG179" s="7">
        <v>2</v>
      </c>
      <c r="AH179" s="7">
        <v>1</v>
      </c>
      <c r="AI179" s="7">
        <v>1</v>
      </c>
      <c r="AJ179" s="7">
        <v>0</v>
      </c>
      <c r="AK179" s="7">
        <v>1</v>
      </c>
      <c r="AL179" s="7">
        <v>6.993006993006993E-3</v>
      </c>
      <c r="AM179" s="7">
        <v>0.73</v>
      </c>
      <c r="AN179" s="7">
        <v>0</v>
      </c>
      <c r="AO179" s="7" t="s">
        <v>85</v>
      </c>
      <c r="AP179" s="7">
        <v>73.599999999999994</v>
      </c>
      <c r="AQ179" s="8">
        <v>0.77800000000000002</v>
      </c>
      <c r="AR179" s="8">
        <v>6.0999999999999999E-2</v>
      </c>
      <c r="AS179" s="8">
        <v>0.27900000000000003</v>
      </c>
      <c r="AT179" s="7">
        <v>115</v>
      </c>
      <c r="AU179" s="8">
        <v>4.2000000000000003E-2</v>
      </c>
      <c r="AV179" s="7">
        <v>0.17863636363636359</v>
      </c>
      <c r="AW179" s="7">
        <v>32.650000000000013</v>
      </c>
      <c r="AX179" s="7">
        <v>7.0000000000000007E-2</v>
      </c>
      <c r="AY179" s="8">
        <v>0.2</v>
      </c>
      <c r="AZ179" s="7">
        <v>0.06</v>
      </c>
      <c r="BA179" s="7">
        <v>6.06</v>
      </c>
      <c r="BB179" s="7">
        <v>4</v>
      </c>
      <c r="BC179" s="7">
        <v>48</v>
      </c>
      <c r="BD179" s="7">
        <v>7</v>
      </c>
      <c r="BE179" s="7">
        <v>32</v>
      </c>
      <c r="BF179" s="7">
        <v>23</v>
      </c>
      <c r="BG179" s="7">
        <v>0</v>
      </c>
      <c r="BH179" s="7">
        <v>82</v>
      </c>
      <c r="BI179" s="8">
        <v>0.5</v>
      </c>
      <c r="BJ179" s="7">
        <v>0.83285714285714285</v>
      </c>
      <c r="BK179" s="7">
        <v>0.13</v>
      </c>
      <c r="BL179" s="7">
        <v>0.05</v>
      </c>
      <c r="BM179" s="7">
        <v>0.11</v>
      </c>
      <c r="BN179" s="8">
        <v>0.26600000000000001</v>
      </c>
      <c r="BO179" s="7">
        <v>2.08</v>
      </c>
      <c r="BP179" s="8">
        <v>0.5</v>
      </c>
      <c r="BQ179" s="7">
        <v>68</v>
      </c>
      <c r="BR179" s="7">
        <v>0</v>
      </c>
      <c r="BS179" s="8">
        <v>0</v>
      </c>
      <c r="BT179" s="7" t="s">
        <v>85</v>
      </c>
      <c r="BU179" s="7">
        <v>0</v>
      </c>
      <c r="BV179" s="7">
        <v>0.96</v>
      </c>
      <c r="BW179" s="7">
        <v>2.2599999999999998</v>
      </c>
      <c r="BX179" s="8">
        <v>0.14699999999999999</v>
      </c>
    </row>
    <row r="180" spans="2:76" ht="19.899999999999999" customHeight="1" x14ac:dyDescent="0.3">
      <c r="B180" s="7" t="s">
        <v>128</v>
      </c>
      <c r="C180" s="7">
        <v>5</v>
      </c>
      <c r="D180" s="7">
        <v>0.77</v>
      </c>
      <c r="E180" s="7">
        <v>106</v>
      </c>
      <c r="F180" s="7">
        <v>0.73</v>
      </c>
      <c r="G180" s="7">
        <v>0.82</v>
      </c>
      <c r="H180" s="8">
        <v>0.17</v>
      </c>
      <c r="I180" s="8">
        <v>0.27800000000000002</v>
      </c>
      <c r="J180" s="7">
        <v>0.7</v>
      </c>
      <c r="K180" s="7">
        <v>0.92</v>
      </c>
      <c r="L180" s="7">
        <v>0.77</v>
      </c>
      <c r="M180" s="7">
        <v>67</v>
      </c>
      <c r="N180" s="7">
        <v>-3.67</v>
      </c>
      <c r="O180" s="7">
        <v>64.8</v>
      </c>
      <c r="P180" s="7">
        <v>0.49</v>
      </c>
      <c r="Q180" s="7">
        <v>0.77</v>
      </c>
      <c r="R180" s="7">
        <v>67.099999999999994</v>
      </c>
      <c r="S180" s="7">
        <v>0.71</v>
      </c>
      <c r="T180" s="7">
        <v>67.2</v>
      </c>
      <c r="U180" s="7">
        <v>0.51</v>
      </c>
      <c r="V180" s="7">
        <v>-30</v>
      </c>
      <c r="W180" s="7">
        <v>3</v>
      </c>
      <c r="X180" s="7">
        <v>0.87</v>
      </c>
      <c r="Y180" s="7">
        <v>3</v>
      </c>
      <c r="Z180" s="7">
        <v>0.87</v>
      </c>
      <c r="AA180" s="7">
        <v>3</v>
      </c>
      <c r="AB180" s="7">
        <v>0.87</v>
      </c>
      <c r="AC180" s="7">
        <v>4.716981132075472E-2</v>
      </c>
      <c r="AD180" s="7">
        <v>0.3867924528301887</v>
      </c>
      <c r="AE180" s="7">
        <v>9.4339622641509441E-2</v>
      </c>
      <c r="AF180" s="7">
        <v>9.433962264150943E-3</v>
      </c>
      <c r="AG180" s="7">
        <v>3</v>
      </c>
      <c r="AH180" s="7">
        <v>1</v>
      </c>
      <c r="AI180" s="7">
        <v>0</v>
      </c>
      <c r="AJ180" s="7">
        <v>0</v>
      </c>
      <c r="AK180" s="7">
        <v>1</v>
      </c>
      <c r="AL180" s="7">
        <v>1.886792452830189E-2</v>
      </c>
      <c r="AM180" s="7">
        <v>0.65</v>
      </c>
      <c r="AN180" s="7">
        <v>0</v>
      </c>
      <c r="AO180" s="7" t="s">
        <v>85</v>
      </c>
      <c r="AP180" s="7">
        <v>82.9</v>
      </c>
      <c r="AQ180" s="8">
        <v>0.8</v>
      </c>
      <c r="AR180" s="8">
        <v>7.5999999999999998E-2</v>
      </c>
      <c r="AS180" s="8">
        <v>0.28799999999999998</v>
      </c>
      <c r="AT180" s="7">
        <v>132</v>
      </c>
      <c r="AU180" s="8">
        <v>0.13200000000000001</v>
      </c>
      <c r="AV180" s="7">
        <v>0.39393939393939392</v>
      </c>
      <c r="AW180" s="7">
        <v>53.830303030303021</v>
      </c>
      <c r="AX180" s="7">
        <v>0.06</v>
      </c>
      <c r="AY180" s="8">
        <v>0.183</v>
      </c>
      <c r="AZ180" s="7">
        <v>7.0000000000000007E-2</v>
      </c>
      <c r="BA180" s="7">
        <v>4.1399999999999997</v>
      </c>
      <c r="BB180" s="7">
        <v>6</v>
      </c>
      <c r="BC180" s="7">
        <v>39</v>
      </c>
      <c r="BD180" s="7">
        <v>7</v>
      </c>
      <c r="BE180" s="7">
        <v>16</v>
      </c>
      <c r="BF180" s="7">
        <v>55</v>
      </c>
      <c r="BG180" s="7">
        <v>3</v>
      </c>
      <c r="BH180" s="7">
        <v>63</v>
      </c>
      <c r="BI180" s="8">
        <v>0.46200000000000002</v>
      </c>
      <c r="BJ180" s="7">
        <v>1.05</v>
      </c>
      <c r="BK180" s="7">
        <v>0.14000000000000001</v>
      </c>
      <c r="BL180" s="7">
        <v>0.06</v>
      </c>
      <c r="BM180" s="7">
        <v>0.08</v>
      </c>
      <c r="BN180" s="8">
        <v>0.22600000000000001</v>
      </c>
      <c r="BO180" s="7">
        <v>2.4900000000000002</v>
      </c>
      <c r="BP180" s="8">
        <v>0</v>
      </c>
      <c r="BQ180" s="7">
        <v>76</v>
      </c>
      <c r="BR180" s="7">
        <v>0.03</v>
      </c>
      <c r="BS180" s="8">
        <v>5.8000000000000003E-2</v>
      </c>
      <c r="BT180" s="8">
        <v>1.9E-2</v>
      </c>
      <c r="BU180" s="7">
        <v>0</v>
      </c>
      <c r="BV180" s="7">
        <v>0.72</v>
      </c>
      <c r="BW180" s="7">
        <v>2.14</v>
      </c>
      <c r="BX180" s="8">
        <v>0.115</v>
      </c>
    </row>
    <row r="181" spans="2:76" ht="19.899999999999999" customHeight="1" x14ac:dyDescent="0.3">
      <c r="B181" s="7" t="s">
        <v>146</v>
      </c>
      <c r="C181" s="7">
        <v>7</v>
      </c>
      <c r="D181" s="7">
        <v>0.76</v>
      </c>
      <c r="E181" s="7">
        <v>147</v>
      </c>
      <c r="F181" s="7">
        <v>0.85</v>
      </c>
      <c r="G181" s="7">
        <v>0.68</v>
      </c>
      <c r="H181" s="8">
        <v>0.16300000000000001</v>
      </c>
      <c r="I181" s="8">
        <v>0.29199999999999998</v>
      </c>
      <c r="J181" s="7">
        <v>0.71</v>
      </c>
      <c r="K181" s="7">
        <v>0.47</v>
      </c>
      <c r="L181" s="7">
        <v>0.7</v>
      </c>
      <c r="M181" s="7">
        <v>64.599999999999994</v>
      </c>
      <c r="N181" s="7">
        <v>-4.3899999999999997</v>
      </c>
      <c r="O181" s="7">
        <v>58</v>
      </c>
      <c r="P181" s="7">
        <v>0.54</v>
      </c>
      <c r="Q181" s="7">
        <v>0.7</v>
      </c>
      <c r="R181" s="7">
        <v>63.1</v>
      </c>
      <c r="S181" s="7">
        <v>0.85</v>
      </c>
      <c r="T181" s="7">
        <v>57.4</v>
      </c>
      <c r="U181" s="7">
        <v>0.55000000000000004</v>
      </c>
      <c r="V181" s="7">
        <v>-23</v>
      </c>
      <c r="W181" s="7">
        <v>1</v>
      </c>
      <c r="X181" s="7">
        <v>0.3</v>
      </c>
      <c r="Y181" s="7">
        <v>2</v>
      </c>
      <c r="Z181" s="7">
        <v>0.39</v>
      </c>
      <c r="AA181" s="7">
        <v>4</v>
      </c>
      <c r="AB181" s="7">
        <v>0.44</v>
      </c>
      <c r="AC181" s="7">
        <v>4.7619047619047623E-2</v>
      </c>
      <c r="AD181" s="7">
        <v>0.40816326530612251</v>
      </c>
      <c r="AE181" s="7">
        <v>0.1020408163265306</v>
      </c>
      <c r="AF181" s="7">
        <v>3.4013605442176867E-2</v>
      </c>
      <c r="AG181" s="7">
        <v>3</v>
      </c>
      <c r="AH181" s="7">
        <v>2</v>
      </c>
      <c r="AI181" s="7">
        <v>2</v>
      </c>
      <c r="AJ181" s="7">
        <v>1</v>
      </c>
      <c r="AK181" s="7">
        <v>0</v>
      </c>
      <c r="AL181" s="7">
        <v>0</v>
      </c>
      <c r="AM181" s="7">
        <v>0.83</v>
      </c>
      <c r="AN181" s="7">
        <v>0</v>
      </c>
      <c r="AO181" s="7" t="s">
        <v>85</v>
      </c>
      <c r="AP181" s="7">
        <v>79.3</v>
      </c>
      <c r="AQ181" s="8">
        <v>0.57099999999999995</v>
      </c>
      <c r="AR181" s="8">
        <v>8.3000000000000004E-2</v>
      </c>
      <c r="AS181" s="8">
        <v>0.312</v>
      </c>
      <c r="AT181" s="7">
        <v>107</v>
      </c>
      <c r="AU181" s="8">
        <v>6.0999999999999999E-2</v>
      </c>
      <c r="AV181" s="7">
        <v>0.32988095238095239</v>
      </c>
      <c r="AW181" s="7">
        <v>42.025000000000013</v>
      </c>
      <c r="AX181" s="7">
        <v>7.0000000000000007E-2</v>
      </c>
      <c r="AY181" s="8">
        <v>0.184</v>
      </c>
      <c r="AZ181" s="7">
        <v>0.04</v>
      </c>
      <c r="BA181" s="7">
        <v>4.75</v>
      </c>
      <c r="BB181" s="7">
        <v>4</v>
      </c>
      <c r="BC181" s="7">
        <v>24</v>
      </c>
      <c r="BD181" s="7">
        <v>14</v>
      </c>
      <c r="BE181" s="7">
        <v>7</v>
      </c>
      <c r="BF181" s="7">
        <v>9</v>
      </c>
      <c r="BG181" s="7">
        <v>0</v>
      </c>
      <c r="BH181" s="7">
        <v>50</v>
      </c>
      <c r="BI181" s="8">
        <v>0.53800000000000003</v>
      </c>
      <c r="BJ181" s="7">
        <v>1.075</v>
      </c>
      <c r="BK181" s="7">
        <v>0.13</v>
      </c>
      <c r="BL181" s="7">
        <v>0.08</v>
      </c>
      <c r="BM181" s="7">
        <v>7.0000000000000007E-2</v>
      </c>
      <c r="BN181" s="8">
        <v>0.156</v>
      </c>
      <c r="BO181" s="7">
        <v>2.2000000000000002</v>
      </c>
      <c r="BP181" s="8">
        <v>0</v>
      </c>
      <c r="BQ181" s="7">
        <v>69</v>
      </c>
      <c r="BR181" s="7">
        <v>0</v>
      </c>
      <c r="BS181" s="8">
        <v>0</v>
      </c>
      <c r="BT181" s="7" t="s">
        <v>85</v>
      </c>
      <c r="BU181" s="7">
        <v>0.68</v>
      </c>
      <c r="BV181" s="7">
        <v>0.45</v>
      </c>
      <c r="BW181" s="7">
        <v>2.58</v>
      </c>
      <c r="BX181" s="8">
        <v>0.125</v>
      </c>
    </row>
    <row r="182" spans="2:76" ht="19.899999999999999" customHeight="1" x14ac:dyDescent="0.3">
      <c r="B182" s="7" t="s">
        <v>187</v>
      </c>
      <c r="C182" s="7">
        <v>5</v>
      </c>
      <c r="D182" s="7">
        <v>0.73</v>
      </c>
      <c r="E182" s="7">
        <v>127</v>
      </c>
      <c r="F182" s="7">
        <v>0.79</v>
      </c>
      <c r="G182" s="7">
        <v>0.67</v>
      </c>
      <c r="H182" s="8">
        <v>0.19700000000000001</v>
      </c>
      <c r="I182" s="8">
        <v>0.36</v>
      </c>
      <c r="J182" s="7">
        <v>0.81</v>
      </c>
      <c r="K182" s="7">
        <v>1.2</v>
      </c>
      <c r="L182" s="7">
        <v>0.74</v>
      </c>
      <c r="M182" s="7">
        <v>66.099999999999994</v>
      </c>
      <c r="N182" s="7">
        <v>-4.2</v>
      </c>
      <c r="O182" s="7">
        <v>61</v>
      </c>
      <c r="P182" s="7">
        <v>0.49</v>
      </c>
      <c r="Q182" s="7">
        <v>0.74</v>
      </c>
      <c r="R182" s="7">
        <v>65.099999999999994</v>
      </c>
      <c r="S182" s="7">
        <v>0.7</v>
      </c>
      <c r="T182" s="7">
        <v>61.7</v>
      </c>
      <c r="U182" s="7">
        <v>0.48</v>
      </c>
      <c r="V182" s="7">
        <v>-32</v>
      </c>
      <c r="W182" s="7">
        <v>0</v>
      </c>
      <c r="X182" s="7" t="s">
        <v>85</v>
      </c>
      <c r="Y182" s="7">
        <v>2</v>
      </c>
      <c r="Z182" s="7">
        <v>0.69</v>
      </c>
      <c r="AA182" s="7">
        <v>5</v>
      </c>
      <c r="AB182" s="7">
        <v>0.73</v>
      </c>
      <c r="AC182" s="7">
        <v>7.0866141732283464E-2</v>
      </c>
      <c r="AD182" s="7">
        <v>0.36220472440944879</v>
      </c>
      <c r="AE182" s="7">
        <v>9.4488188976377951E-2</v>
      </c>
      <c r="AF182" s="7">
        <v>3.1496062992125977E-2</v>
      </c>
      <c r="AG182" s="7">
        <v>1</v>
      </c>
      <c r="AH182" s="7">
        <v>0</v>
      </c>
      <c r="AI182" s="7">
        <v>0</v>
      </c>
      <c r="AJ182" s="7">
        <v>0</v>
      </c>
      <c r="AK182" s="7">
        <v>1</v>
      </c>
      <c r="AL182" s="7">
        <v>7.874015748031496E-3</v>
      </c>
      <c r="AM182" s="7">
        <v>0.79</v>
      </c>
      <c r="AN182" s="7">
        <v>0</v>
      </c>
      <c r="AO182" s="7" t="s">
        <v>85</v>
      </c>
      <c r="AP182" s="7">
        <v>84</v>
      </c>
      <c r="AQ182" s="8">
        <v>0.77800000000000002</v>
      </c>
      <c r="AR182" s="8">
        <v>1.4E-2</v>
      </c>
      <c r="AS182" s="8">
        <v>0.27400000000000002</v>
      </c>
      <c r="AT182" s="7">
        <v>125</v>
      </c>
      <c r="AU182" s="8">
        <v>5.5E-2</v>
      </c>
      <c r="AV182" s="7">
        <v>0.2501408450704225</v>
      </c>
      <c r="AW182" s="7">
        <v>42.859154929577457</v>
      </c>
      <c r="AX182" s="7">
        <v>0.12</v>
      </c>
      <c r="AY182" s="8">
        <v>0.20200000000000001</v>
      </c>
      <c r="AZ182" s="7">
        <v>0.02</v>
      </c>
      <c r="BA182" s="7">
        <v>4.26</v>
      </c>
      <c r="BB182" s="7">
        <v>3</v>
      </c>
      <c r="BC182" s="7">
        <v>70</v>
      </c>
      <c r="BD182" s="7">
        <v>55</v>
      </c>
      <c r="BE182" s="7">
        <v>28</v>
      </c>
      <c r="BF182" s="7">
        <v>24</v>
      </c>
      <c r="BG182" s="7">
        <v>0</v>
      </c>
      <c r="BH182" s="7">
        <v>64</v>
      </c>
      <c r="BI182" s="8">
        <v>0.48399999999999999</v>
      </c>
      <c r="BJ182" s="7">
        <v>0.95</v>
      </c>
      <c r="BK182" s="7">
        <v>0.15</v>
      </c>
      <c r="BL182" s="7">
        <v>0.11</v>
      </c>
      <c r="BM182" s="7">
        <v>0.13</v>
      </c>
      <c r="BN182" s="8">
        <v>0.23599999999999999</v>
      </c>
      <c r="BO182" s="7">
        <v>2.54</v>
      </c>
      <c r="BP182" s="8">
        <v>1</v>
      </c>
      <c r="BQ182" s="7">
        <v>68</v>
      </c>
      <c r="BR182" s="7">
        <v>0</v>
      </c>
      <c r="BS182" s="8">
        <v>0</v>
      </c>
      <c r="BT182" s="7" t="s">
        <v>85</v>
      </c>
      <c r="BU182" s="7">
        <v>2.36</v>
      </c>
      <c r="BV182" s="7">
        <v>0.76</v>
      </c>
      <c r="BW182" s="7">
        <v>2.09</v>
      </c>
      <c r="BX182" s="8">
        <v>0.24199999999999999</v>
      </c>
    </row>
    <row r="183" spans="2:76" ht="19.899999999999999" customHeight="1" x14ac:dyDescent="0.3">
      <c r="B183" s="7" t="s">
        <v>122</v>
      </c>
      <c r="C183" s="7">
        <v>2</v>
      </c>
      <c r="D183" s="7">
        <v>0.62</v>
      </c>
      <c r="E183" s="7">
        <v>41</v>
      </c>
      <c r="F183" s="7">
        <v>0.78</v>
      </c>
      <c r="G183" s="7">
        <v>0.5</v>
      </c>
      <c r="H183" s="8">
        <v>4.9000000000000002E-2</v>
      </c>
      <c r="I183" s="8">
        <v>0</v>
      </c>
      <c r="J183" s="7">
        <v>0.59</v>
      </c>
      <c r="K183" s="7">
        <v>0.11</v>
      </c>
      <c r="L183" s="7">
        <v>0.76</v>
      </c>
      <c r="M183" s="7">
        <v>53.7</v>
      </c>
      <c r="N183" s="7">
        <v>-4.76</v>
      </c>
      <c r="O183" s="7">
        <v>43.3</v>
      </c>
      <c r="P183" s="7">
        <v>0.34</v>
      </c>
      <c r="Q183" s="7">
        <v>0.75</v>
      </c>
      <c r="R183" s="7">
        <v>57.2</v>
      </c>
      <c r="S183" s="7">
        <v>0.66</v>
      </c>
      <c r="T183" s="7">
        <v>43.6</v>
      </c>
      <c r="U183" s="7">
        <v>0.33</v>
      </c>
      <c r="V183" s="7">
        <v>-17</v>
      </c>
      <c r="W183" s="7">
        <v>2</v>
      </c>
      <c r="X183" s="7">
        <v>0.62</v>
      </c>
      <c r="Y183" s="7">
        <v>2</v>
      </c>
      <c r="Z183" s="7">
        <v>0.62</v>
      </c>
      <c r="AA183" s="7">
        <v>2</v>
      </c>
      <c r="AB183" s="7">
        <v>0.62</v>
      </c>
      <c r="AC183" s="7">
        <v>0</v>
      </c>
      <c r="AD183" s="7">
        <v>0.26829268292682928</v>
      </c>
      <c r="AE183" s="7">
        <v>4.878048780487805E-2</v>
      </c>
      <c r="AF183" s="7">
        <v>2.4390243902439029E-2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0.47</v>
      </c>
      <c r="AN183" s="7">
        <v>0</v>
      </c>
      <c r="AO183" s="7" t="s">
        <v>85</v>
      </c>
      <c r="AP183" s="7">
        <v>65.3</v>
      </c>
      <c r="AQ183" s="7" t="s">
        <v>85</v>
      </c>
      <c r="AR183" s="8">
        <v>3.7999999999999999E-2</v>
      </c>
      <c r="AS183" s="8">
        <v>0.14299999999999999</v>
      </c>
      <c r="AT183" s="7">
        <v>127</v>
      </c>
      <c r="AU183" s="8">
        <v>7.2999999999999995E-2</v>
      </c>
      <c r="AV183" s="7">
        <v>0.2673076923076923</v>
      </c>
      <c r="AW183" s="7">
        <v>31.080769230769231</v>
      </c>
      <c r="AX183" s="7">
        <v>7.0000000000000007E-2</v>
      </c>
      <c r="AY183" s="8">
        <v>0.19400000000000001</v>
      </c>
      <c r="AZ183" s="7">
        <v>0.02</v>
      </c>
      <c r="BA183" s="7">
        <v>1.39</v>
      </c>
      <c r="BB183" s="7">
        <v>0</v>
      </c>
      <c r="BC183" s="7">
        <v>42</v>
      </c>
      <c r="BD183" s="7">
        <v>17</v>
      </c>
      <c r="BE183" s="7">
        <v>0</v>
      </c>
      <c r="BF183" s="7">
        <v>12</v>
      </c>
      <c r="BG183" s="7">
        <v>0</v>
      </c>
      <c r="BH183" s="7">
        <v>43</v>
      </c>
      <c r="BI183" s="8">
        <v>0.35699999999999998</v>
      </c>
      <c r="BJ183" s="7" t="s">
        <v>85</v>
      </c>
      <c r="BK183" s="7">
        <v>0.15</v>
      </c>
      <c r="BL183" s="7">
        <v>0.05</v>
      </c>
      <c r="BM183" s="7">
        <v>0.05</v>
      </c>
      <c r="BN183" s="8">
        <v>0.19500000000000001</v>
      </c>
      <c r="BO183" s="7">
        <v>1.41</v>
      </c>
      <c r="BP183" s="7" t="s">
        <v>85</v>
      </c>
      <c r="BQ183" s="7">
        <v>77</v>
      </c>
      <c r="BR183" s="7">
        <v>0</v>
      </c>
      <c r="BS183" s="8">
        <v>0</v>
      </c>
      <c r="BT183" s="7" t="s">
        <v>85</v>
      </c>
      <c r="BU183" s="7">
        <v>0</v>
      </c>
      <c r="BV183" s="7">
        <v>0.83</v>
      </c>
      <c r="BW183" s="7">
        <v>1.48</v>
      </c>
      <c r="BX183" s="8">
        <v>0.214</v>
      </c>
    </row>
  </sheetData>
  <sortState xmlns:xlrd2="http://schemas.microsoft.com/office/spreadsheetml/2017/richdata2" ref="B5:AP38">
    <sortCondition descending="1" ref="D5:D38"/>
    <sortCondition descending="1" ref="C5:C38"/>
  </sortState>
  <mergeCells count="43">
    <mergeCell ref="H3:H4"/>
    <mergeCell ref="AF3:AF4"/>
    <mergeCell ref="AI2:AJ2"/>
    <mergeCell ref="U3:U4"/>
    <mergeCell ref="V3:V4"/>
    <mergeCell ref="W3:W4"/>
    <mergeCell ref="X3:X4"/>
    <mergeCell ref="Y3:Y4"/>
    <mergeCell ref="E2:AA2"/>
    <mergeCell ref="K3:K4"/>
    <mergeCell ref="L3:L4"/>
    <mergeCell ref="M1:AJ1"/>
    <mergeCell ref="AB3:AB4"/>
    <mergeCell ref="AD3:AD4"/>
    <mergeCell ref="AE3:AE4"/>
    <mergeCell ref="A3:A4"/>
    <mergeCell ref="E3:E4"/>
    <mergeCell ref="M3:M4"/>
    <mergeCell ref="J3:J4"/>
    <mergeCell ref="O3:O4"/>
    <mergeCell ref="Q3:Q4"/>
    <mergeCell ref="P3:P4"/>
    <mergeCell ref="R3:R4"/>
    <mergeCell ref="S3:S4"/>
    <mergeCell ref="T3:T4"/>
    <mergeCell ref="F3:F4"/>
    <mergeCell ref="N3:N4"/>
    <mergeCell ref="A1:L1"/>
    <mergeCell ref="AO3:AP3"/>
    <mergeCell ref="Z3:Z4"/>
    <mergeCell ref="AC3:AC4"/>
    <mergeCell ref="AH3:AH4"/>
    <mergeCell ref="A2:D2"/>
    <mergeCell ref="AM3:AN3"/>
    <mergeCell ref="B3:B4"/>
    <mergeCell ref="C3:C4"/>
    <mergeCell ref="AI3:AJ3"/>
    <mergeCell ref="I3:I4"/>
    <mergeCell ref="G3:G4"/>
    <mergeCell ref="AG3:AG4"/>
    <mergeCell ref="D3:D4"/>
    <mergeCell ref="AA3:AA4"/>
    <mergeCell ref="AB2:AH2"/>
  </mergeCells>
  <phoneticPr fontId="2" type="noConversion"/>
  <conditionalFormatting sqref="C5:C85"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4:C1048576 C3:C85"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D85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E85"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2:E10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84:E1048576 E2 D3:D4 D5:E85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:E85"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4:F1048576 F3:F85"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G85"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4:G1048576 N3:N4 G5:G85"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0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84:H1048576 H3:H85"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4:I1048576 I3:I85"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:J85"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84:L1048576 G3:G4 J5:L85"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:K85"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:L85"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5:M85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84:M1048576 M3"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4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:N85"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84:N1048576"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5:O85"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4:O1048576 O3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P85"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84:P1048576 P3"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85"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84:Q1048576 Q3"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:R85"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84:R1048576"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:S85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85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U85"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:V85"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84:V1048576 V1:V101">
    <cfRule type="colorScale" priority="80">
      <colorScale>
        <cfvo type="min"/>
        <cfvo type="max"/>
        <color rgb="FFFCFCFF"/>
        <color rgb="FF63BE7B"/>
      </colorScale>
    </cfRule>
  </conditionalFormatting>
  <conditionalFormatting sqref="V102:W102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:W85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84:W1048576 W1:W101">
    <cfRule type="colorScale" priority="79">
      <colorScale>
        <cfvo type="min"/>
        <cfvo type="max"/>
        <color rgb="FFFCFCFF"/>
        <color rgb="FF63BE7B"/>
      </colorScale>
    </cfRule>
  </conditionalFormatting>
  <conditionalFormatting sqref="X5:X85"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84:X1048576 X1:X101">
    <cfRule type="colorScale" priority="78">
      <colorScale>
        <cfvo type="min"/>
        <cfvo type="max"/>
        <color rgb="FFFCFCFF"/>
        <color rgb="FF63BE7B"/>
      </colorScale>
    </cfRule>
  </conditionalFormatting>
  <conditionalFormatting sqref="X102:Y10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5:Y85"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4 Y184:Y1048576"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5:Z85"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84:Z1048576"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5:AA85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184:AA1048576"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102:AB10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5:AB85"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84:AB1048576"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C3 S184:T1048576 AB4"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5:AC85"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02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84:AC1048576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5:AD85"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02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84:AD1048576"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5:AE85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02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84:AE1048576 AI4"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3:AF4 U184:W1048576"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5:AF85"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02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84:AF1048576 AJ4"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:AG4 X184:X1048576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5:AG85"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0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84:AG1048576 AG1:AG101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max"/>
        <color rgb="FFFCFCFF"/>
        <color rgb="FF63BE7B"/>
      </colorScale>
    </cfRule>
  </conditionalFormatting>
  <conditionalFormatting sqref="AG184:AG1048576"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5:AH85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0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3 AM3 AH184:AK1048576 AO3 AK44:AK61 AM4:AO4"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5:AI84"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02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5:AJ84"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10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5:AK51"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10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5:AL47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0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84:AL1048576 AL44:AL61 AP4"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5:AM51"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0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84:AM1048576 AM44:AM61"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5:AN50"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84:AN1048576 AN44:AN61"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02:AO102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5:AO48"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5:AP4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10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10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R102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C9B2B-E8E5-4077-B624-3C408D2004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洪彬 张</dc:creator>
  <cp:lastModifiedBy>Viston</cp:lastModifiedBy>
  <dcterms:created xsi:type="dcterms:W3CDTF">2024-06-17T05:44:15Z</dcterms:created>
  <dcterms:modified xsi:type="dcterms:W3CDTF">2025-12-15T18:59:47Z</dcterms:modified>
</cp:coreProperties>
</file>