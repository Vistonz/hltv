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725\Desktop\hltv\hltv event\"/>
    </mc:Choice>
  </mc:AlternateContent>
  <xr:revisionPtr revIDLastSave="0" documentId="13_ncr:1_{E3D733AF-8D02-4944-BAAC-F7CD37F886DB}" xr6:coauthVersionLast="47" xr6:coauthVersionMax="47" xr10:uidLastSave="{00000000-0000-0000-0000-000000000000}"/>
  <bookViews>
    <workbookView xWindow="-110" yWindow="-110" windowWidth="25820" windowHeight="15500" xr2:uid="{D6D022B8-7FEA-4E40-97AB-9C5C4571D3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5" i="1" l="1"/>
  <c r="Z45" i="1"/>
  <c r="H46" i="1"/>
  <c r="AF46" i="1"/>
  <c r="N47" i="1"/>
  <c r="AL47" i="1"/>
  <c r="T48" i="1"/>
  <c r="B49" i="1"/>
  <c r="Z49" i="1"/>
  <c r="H50" i="1"/>
  <c r="AF50" i="1"/>
  <c r="N51" i="1"/>
  <c r="AL51" i="1"/>
  <c r="T52" i="1"/>
  <c r="B53" i="1"/>
  <c r="Z53" i="1"/>
  <c r="H54" i="1"/>
  <c r="AF54" i="1"/>
  <c r="N55" i="1"/>
  <c r="AL55" i="1"/>
  <c r="T56" i="1"/>
  <c r="B57" i="1"/>
  <c r="Z57" i="1"/>
  <c r="H58" i="1"/>
  <c r="AF58" i="1"/>
  <c r="N59" i="1"/>
  <c r="AL59" i="1"/>
  <c r="T60" i="1"/>
  <c r="B61" i="1"/>
  <c r="Z61" i="1"/>
  <c r="H62" i="1"/>
  <c r="AF62" i="1"/>
  <c r="N63" i="1"/>
  <c r="AL63" i="1"/>
  <c r="T64" i="1"/>
  <c r="B65" i="1"/>
  <c r="Z65" i="1"/>
  <c r="H66" i="1"/>
  <c r="AF66" i="1"/>
  <c r="N67" i="1"/>
  <c r="AL67" i="1"/>
  <c r="T68" i="1"/>
  <c r="B69" i="1"/>
  <c r="Z69" i="1"/>
  <c r="H70" i="1"/>
  <c r="AF70" i="1"/>
  <c r="N71" i="1"/>
  <c r="AL71" i="1"/>
  <c r="T72" i="1"/>
  <c r="B73" i="1"/>
  <c r="Z73" i="1"/>
  <c r="H74" i="1"/>
  <c r="AF74" i="1"/>
  <c r="N75" i="1"/>
  <c r="AL75" i="1"/>
  <c r="T76" i="1"/>
  <c r="B77" i="1"/>
  <c r="Z77" i="1"/>
  <c r="H78" i="1"/>
  <c r="AF78" i="1"/>
  <c r="N79" i="1"/>
  <c r="AL79" i="1"/>
  <c r="T80" i="1"/>
  <c r="B81" i="1"/>
  <c r="Z81" i="1"/>
  <c r="H82" i="1"/>
  <c r="AF82" i="1"/>
  <c r="N83" i="1"/>
  <c r="AL83" i="1"/>
  <c r="T84" i="1"/>
  <c r="O82" i="1"/>
  <c r="P74" i="1"/>
  <c r="AH81" i="1"/>
  <c r="AI57" i="1"/>
  <c r="AC60" i="1"/>
  <c r="E64" i="1"/>
  <c r="AI69" i="1"/>
  <c r="E76" i="1"/>
  <c r="AO82" i="1"/>
  <c r="X63" i="1"/>
  <c r="L69" i="1"/>
  <c r="AJ77" i="1"/>
  <c r="C45" i="1"/>
  <c r="AA45" i="1"/>
  <c r="I46" i="1"/>
  <c r="AG46" i="1"/>
  <c r="O47" i="1"/>
  <c r="AM47" i="1"/>
  <c r="U48" i="1"/>
  <c r="C49" i="1"/>
  <c r="AA49" i="1"/>
  <c r="I50" i="1"/>
  <c r="AG50" i="1"/>
  <c r="O51" i="1"/>
  <c r="AM51" i="1"/>
  <c r="U52" i="1"/>
  <c r="C53" i="1"/>
  <c r="AA53" i="1"/>
  <c r="I54" i="1"/>
  <c r="AG54" i="1"/>
  <c r="O55" i="1"/>
  <c r="AM55" i="1"/>
  <c r="U56" i="1"/>
  <c r="C57" i="1"/>
  <c r="AA57" i="1"/>
  <c r="I58" i="1"/>
  <c r="AG58" i="1"/>
  <c r="O59" i="1"/>
  <c r="AM59" i="1"/>
  <c r="U60" i="1"/>
  <c r="C61" i="1"/>
  <c r="AA61" i="1"/>
  <c r="I62" i="1"/>
  <c r="AG62" i="1"/>
  <c r="O63" i="1"/>
  <c r="AM63" i="1"/>
  <c r="U64" i="1"/>
  <c r="C65" i="1"/>
  <c r="AA65" i="1"/>
  <c r="I66" i="1"/>
  <c r="AG66" i="1"/>
  <c r="O67" i="1"/>
  <c r="AM67" i="1"/>
  <c r="U68" i="1"/>
  <c r="C69" i="1"/>
  <c r="AA69" i="1"/>
  <c r="I70" i="1"/>
  <c r="AG70" i="1"/>
  <c r="O71" i="1"/>
  <c r="AM71" i="1"/>
  <c r="U72" i="1"/>
  <c r="C73" i="1"/>
  <c r="AA73" i="1"/>
  <c r="I74" i="1"/>
  <c r="AG74" i="1"/>
  <c r="O75" i="1"/>
  <c r="AM75" i="1"/>
  <c r="U76" i="1"/>
  <c r="C77" i="1"/>
  <c r="AA77" i="1"/>
  <c r="I78" i="1"/>
  <c r="AG78" i="1"/>
  <c r="O79" i="1"/>
  <c r="AM79" i="1"/>
  <c r="U80" i="1"/>
  <c r="C81" i="1"/>
  <c r="AA81" i="1"/>
  <c r="I82" i="1"/>
  <c r="AG82" i="1"/>
  <c r="O83" i="1"/>
  <c r="AM83" i="1"/>
  <c r="U84" i="1"/>
  <c r="D57" i="1"/>
  <c r="P59" i="1"/>
  <c r="V60" i="1"/>
  <c r="AB61" i="1"/>
  <c r="AH62" i="1"/>
  <c r="P63" i="1"/>
  <c r="AN63" i="1"/>
  <c r="D65" i="1"/>
  <c r="J66" i="1"/>
  <c r="P67" i="1"/>
  <c r="V68" i="1"/>
  <c r="AB69" i="1"/>
  <c r="AH70" i="1"/>
  <c r="P71" i="1"/>
  <c r="V72" i="1"/>
  <c r="AB73" i="1"/>
  <c r="J74" i="1"/>
  <c r="P75" i="1"/>
  <c r="V76" i="1"/>
  <c r="D77" i="1"/>
  <c r="J78" i="1"/>
  <c r="AH78" i="1"/>
  <c r="AN79" i="1"/>
  <c r="D81" i="1"/>
  <c r="AB81" i="1"/>
  <c r="AH82" i="1"/>
  <c r="P83" i="1"/>
  <c r="V84" i="1"/>
  <c r="AP79" i="1"/>
  <c r="L82" i="1"/>
  <c r="AP83" i="1"/>
  <c r="N78" i="1"/>
  <c r="H81" i="1"/>
  <c r="Z84" i="1"/>
  <c r="I73" i="1"/>
  <c r="I77" i="1"/>
  <c r="I81" i="1"/>
  <c r="C84" i="1"/>
  <c r="D76" i="1"/>
  <c r="AN78" i="1"/>
  <c r="V83" i="1"/>
  <c r="AC56" i="1"/>
  <c r="E60" i="1"/>
  <c r="Q62" i="1"/>
  <c r="AI65" i="1"/>
  <c r="Q70" i="1"/>
  <c r="AC72" i="1"/>
  <c r="AC76" i="1"/>
  <c r="E80" i="1"/>
  <c r="W83" i="1"/>
  <c r="AC84" i="1"/>
  <c r="R62" i="1"/>
  <c r="X67" i="1"/>
  <c r="AJ69" i="1"/>
  <c r="X75" i="1"/>
  <c r="AP78" i="1"/>
  <c r="R82" i="1"/>
  <c r="D45" i="1"/>
  <c r="AB45" i="1"/>
  <c r="J46" i="1"/>
  <c r="AH46" i="1"/>
  <c r="P47" i="1"/>
  <c r="AN47" i="1"/>
  <c r="V48" i="1"/>
  <c r="D49" i="1"/>
  <c r="AB49" i="1"/>
  <c r="J50" i="1"/>
  <c r="AH50" i="1"/>
  <c r="P51" i="1"/>
  <c r="AN51" i="1"/>
  <c r="V52" i="1"/>
  <c r="D53" i="1"/>
  <c r="AB53" i="1"/>
  <c r="J54" i="1"/>
  <c r="AH54" i="1"/>
  <c r="P55" i="1"/>
  <c r="AN55" i="1"/>
  <c r="V56" i="1"/>
  <c r="AB57" i="1"/>
  <c r="J58" i="1"/>
  <c r="AH58" i="1"/>
  <c r="AN59" i="1"/>
  <c r="D61" i="1"/>
  <c r="J62" i="1"/>
  <c r="V64" i="1"/>
  <c r="AB65" i="1"/>
  <c r="AH66" i="1"/>
  <c r="AN67" i="1"/>
  <c r="D69" i="1"/>
  <c r="J70" i="1"/>
  <c r="AN71" i="1"/>
  <c r="D73" i="1"/>
  <c r="AH74" i="1"/>
  <c r="AN75" i="1"/>
  <c r="AB77" i="1"/>
  <c r="P79" i="1"/>
  <c r="V80" i="1"/>
  <c r="J82" i="1"/>
  <c r="AN83" i="1"/>
  <c r="X80" i="1"/>
  <c r="R83" i="1"/>
  <c r="B80" i="1"/>
  <c r="U75" i="1"/>
  <c r="AG81" i="1"/>
  <c r="J77" i="1"/>
  <c r="AN82" i="1"/>
  <c r="Q58" i="1"/>
  <c r="K61" i="1"/>
  <c r="K65" i="1"/>
  <c r="AO70" i="1"/>
  <c r="AI77" i="1"/>
  <c r="E84" i="1"/>
  <c r="R66" i="1"/>
  <c r="F72" i="1"/>
  <c r="L77" i="1"/>
  <c r="E45" i="1"/>
  <c r="AC45" i="1"/>
  <c r="K46" i="1"/>
  <c r="AI46" i="1"/>
  <c r="Q47" i="1"/>
  <c r="AO47" i="1"/>
  <c r="W48" i="1"/>
  <c r="E49" i="1"/>
  <c r="AC49" i="1"/>
  <c r="K50" i="1"/>
  <c r="AI50" i="1"/>
  <c r="Q51" i="1"/>
  <c r="AO51" i="1"/>
  <c r="W52" i="1"/>
  <c r="E53" i="1"/>
  <c r="AC53" i="1"/>
  <c r="K54" i="1"/>
  <c r="AI54" i="1"/>
  <c r="Q55" i="1"/>
  <c r="AO55" i="1"/>
  <c r="W56" i="1"/>
  <c r="E57" i="1"/>
  <c r="AC57" i="1"/>
  <c r="K58" i="1"/>
  <c r="AI58" i="1"/>
  <c r="Q59" i="1"/>
  <c r="AO59" i="1"/>
  <c r="W60" i="1"/>
  <c r="E61" i="1"/>
  <c r="AC61" i="1"/>
  <c r="K62" i="1"/>
  <c r="AI62" i="1"/>
  <c r="Q63" i="1"/>
  <c r="AO63" i="1"/>
  <c r="W64" i="1"/>
  <c r="E65" i="1"/>
  <c r="AC65" i="1"/>
  <c r="K66" i="1"/>
  <c r="AI66" i="1"/>
  <c r="Q67" i="1"/>
  <c r="AO67" i="1"/>
  <c r="W68" i="1"/>
  <c r="E69" i="1"/>
  <c r="AC69" i="1"/>
  <c r="K70" i="1"/>
  <c r="AI70" i="1"/>
  <c r="Q71" i="1"/>
  <c r="AO71" i="1"/>
  <c r="W72" i="1"/>
  <c r="E73" i="1"/>
  <c r="AC73" i="1"/>
  <c r="K74" i="1"/>
  <c r="AI74" i="1"/>
  <c r="Q75" i="1"/>
  <c r="AO75" i="1"/>
  <c r="W76" i="1"/>
  <c r="E77" i="1"/>
  <c r="AC77" i="1"/>
  <c r="K78" i="1"/>
  <c r="AI78" i="1"/>
  <c r="Q79" i="1"/>
  <c r="AO79" i="1"/>
  <c r="W80" i="1"/>
  <c r="E81" i="1"/>
  <c r="AC81" i="1"/>
  <c r="K82" i="1"/>
  <c r="AI82" i="1"/>
  <c r="Q83" i="1"/>
  <c r="AO83" i="1"/>
  <c r="W84" i="1"/>
  <c r="AD73" i="1"/>
  <c r="AP75" i="1"/>
  <c r="L78" i="1"/>
  <c r="AD81" i="1"/>
  <c r="X84" i="1"/>
  <c r="AL78" i="1"/>
  <c r="T83" i="1"/>
  <c r="O74" i="1"/>
  <c r="AA80" i="1"/>
  <c r="AH77" i="1"/>
  <c r="J81" i="1"/>
  <c r="K57" i="1"/>
  <c r="AI61" i="1"/>
  <c r="AO66" i="1"/>
  <c r="E72" i="1"/>
  <c r="AO78" i="1"/>
  <c r="AJ61" i="1"/>
  <c r="X71" i="1"/>
  <c r="AD80" i="1"/>
  <c r="F45" i="1"/>
  <c r="AD45" i="1"/>
  <c r="L46" i="1"/>
  <c r="AJ46" i="1"/>
  <c r="R47" i="1"/>
  <c r="AP47" i="1"/>
  <c r="X48" i="1"/>
  <c r="F49" i="1"/>
  <c r="AD49" i="1"/>
  <c r="L50" i="1"/>
  <c r="AJ50" i="1"/>
  <c r="R51" i="1"/>
  <c r="AP51" i="1"/>
  <c r="X52" i="1"/>
  <c r="F53" i="1"/>
  <c r="AD53" i="1"/>
  <c r="L54" i="1"/>
  <c r="AJ54" i="1"/>
  <c r="R55" i="1"/>
  <c r="AP55" i="1"/>
  <c r="X56" i="1"/>
  <c r="F57" i="1"/>
  <c r="AD57" i="1"/>
  <c r="L58" i="1"/>
  <c r="AJ58" i="1"/>
  <c r="R59" i="1"/>
  <c r="AP59" i="1"/>
  <c r="X60" i="1"/>
  <c r="F61" i="1"/>
  <c r="AD61" i="1"/>
  <c r="L62" i="1"/>
  <c r="AJ62" i="1"/>
  <c r="R63" i="1"/>
  <c r="AP63" i="1"/>
  <c r="X64" i="1"/>
  <c r="F65" i="1"/>
  <c r="AD65" i="1"/>
  <c r="L66" i="1"/>
  <c r="AJ66" i="1"/>
  <c r="R67" i="1"/>
  <c r="AP67" i="1"/>
  <c r="X68" i="1"/>
  <c r="F69" i="1"/>
  <c r="AD69" i="1"/>
  <c r="L70" i="1"/>
  <c r="AJ70" i="1"/>
  <c r="R71" i="1"/>
  <c r="AP71" i="1"/>
  <c r="X72" i="1"/>
  <c r="F73" i="1"/>
  <c r="L74" i="1"/>
  <c r="AJ74" i="1"/>
  <c r="R75" i="1"/>
  <c r="X76" i="1"/>
  <c r="F77" i="1"/>
  <c r="AD77" i="1"/>
  <c r="AJ78" i="1"/>
  <c r="R79" i="1"/>
  <c r="F81" i="1"/>
  <c r="AJ82" i="1"/>
  <c r="Z76" i="1"/>
  <c r="AL82" i="1"/>
  <c r="AG73" i="1"/>
  <c r="AM78" i="1"/>
  <c r="AH73" i="1"/>
  <c r="AB80" i="1"/>
  <c r="AO58" i="1"/>
  <c r="W67" i="1"/>
  <c r="AO74" i="1"/>
  <c r="AC80" i="1"/>
  <c r="AD60" i="1"/>
  <c r="AD68" i="1"/>
  <c r="AP74" i="1"/>
  <c r="X79" i="1"/>
  <c r="G45" i="1"/>
  <c r="AE45" i="1"/>
  <c r="M46" i="1"/>
  <c r="AK46" i="1"/>
  <c r="S47" i="1"/>
  <c r="AQ47" i="1"/>
  <c r="Y48" i="1"/>
  <c r="G49" i="1"/>
  <c r="AE49" i="1"/>
  <c r="M50" i="1"/>
  <c r="AK50" i="1"/>
  <c r="S51" i="1"/>
  <c r="AQ51" i="1"/>
  <c r="Y52" i="1"/>
  <c r="G53" i="1"/>
  <c r="AE53" i="1"/>
  <c r="M54" i="1"/>
  <c r="AK54" i="1"/>
  <c r="S55" i="1"/>
  <c r="AQ55" i="1"/>
  <c r="Y56" i="1"/>
  <c r="G57" i="1"/>
  <c r="AE57" i="1"/>
  <c r="M58" i="1"/>
  <c r="AK58" i="1"/>
  <c r="S59" i="1"/>
  <c r="AQ59" i="1"/>
  <c r="Y60" i="1"/>
  <c r="G61" i="1"/>
  <c r="AE61" i="1"/>
  <c r="M62" i="1"/>
  <c r="AK62" i="1"/>
  <c r="S63" i="1"/>
  <c r="AQ63" i="1"/>
  <c r="Y64" i="1"/>
  <c r="G65" i="1"/>
  <c r="AE65" i="1"/>
  <c r="M66" i="1"/>
  <c r="AK66" i="1"/>
  <c r="S67" i="1"/>
  <c r="AQ67" i="1"/>
  <c r="Y68" i="1"/>
  <c r="G69" i="1"/>
  <c r="AE69" i="1"/>
  <c r="M70" i="1"/>
  <c r="AK70" i="1"/>
  <c r="S71" i="1"/>
  <c r="AQ71" i="1"/>
  <c r="Y72" i="1"/>
  <c r="G73" i="1"/>
  <c r="AE73" i="1"/>
  <c r="M74" i="1"/>
  <c r="AK74" i="1"/>
  <c r="S75" i="1"/>
  <c r="AQ75" i="1"/>
  <c r="Y76" i="1"/>
  <c r="G77" i="1"/>
  <c r="AE77" i="1"/>
  <c r="M78" i="1"/>
  <c r="AK78" i="1"/>
  <c r="S79" i="1"/>
  <c r="AQ79" i="1"/>
  <c r="Y80" i="1"/>
  <c r="G81" i="1"/>
  <c r="AE81" i="1"/>
  <c r="M82" i="1"/>
  <c r="AK82" i="1"/>
  <c r="S83" i="1"/>
  <c r="AQ83" i="1"/>
  <c r="Y84" i="1"/>
  <c r="AL70" i="1"/>
  <c r="Z72" i="1"/>
  <c r="AF73" i="1"/>
  <c r="AL74" i="1"/>
  <c r="B76" i="1"/>
  <c r="AF77" i="1"/>
  <c r="Z80" i="1"/>
  <c r="N82" i="1"/>
  <c r="B84" i="1"/>
  <c r="C72" i="1"/>
  <c r="C76" i="1"/>
  <c r="O78" i="1"/>
  <c r="AM82" i="1"/>
  <c r="V75" i="1"/>
  <c r="V79" i="1"/>
  <c r="D84" i="1"/>
  <c r="AI53" i="1"/>
  <c r="E68" i="1"/>
  <c r="AI73" i="1"/>
  <c r="K77" i="1"/>
  <c r="Q82" i="1"/>
  <c r="F60" i="1"/>
  <c r="AP66" i="1"/>
  <c r="L73" i="1"/>
  <c r="F76" i="1"/>
  <c r="L81" i="1"/>
  <c r="AD84" i="1"/>
  <c r="H45" i="1"/>
  <c r="AF45" i="1"/>
  <c r="N46" i="1"/>
  <c r="AL46" i="1"/>
  <c r="T47" i="1"/>
  <c r="B48" i="1"/>
  <c r="Z48" i="1"/>
  <c r="H49" i="1"/>
  <c r="AF49" i="1"/>
  <c r="N50" i="1"/>
  <c r="AL50" i="1"/>
  <c r="T51" i="1"/>
  <c r="B52" i="1"/>
  <c r="Z52" i="1"/>
  <c r="H53" i="1"/>
  <c r="AF53" i="1"/>
  <c r="N54" i="1"/>
  <c r="AL54" i="1"/>
  <c r="T55" i="1"/>
  <c r="B56" i="1"/>
  <c r="Z56" i="1"/>
  <c r="H57" i="1"/>
  <c r="AF57" i="1"/>
  <c r="N58" i="1"/>
  <c r="AL58" i="1"/>
  <c r="T59" i="1"/>
  <c r="B60" i="1"/>
  <c r="Z60" i="1"/>
  <c r="H61" i="1"/>
  <c r="AF61" i="1"/>
  <c r="N62" i="1"/>
  <c r="AL62" i="1"/>
  <c r="T63" i="1"/>
  <c r="B64" i="1"/>
  <c r="Z64" i="1"/>
  <c r="H65" i="1"/>
  <c r="AF65" i="1"/>
  <c r="N66" i="1"/>
  <c r="AL66" i="1"/>
  <c r="T67" i="1"/>
  <c r="B68" i="1"/>
  <c r="Z68" i="1"/>
  <c r="H69" i="1"/>
  <c r="AF69" i="1"/>
  <c r="N70" i="1"/>
  <c r="T71" i="1"/>
  <c r="B72" i="1"/>
  <c r="H73" i="1"/>
  <c r="N74" i="1"/>
  <c r="T75" i="1"/>
  <c r="H77" i="1"/>
  <c r="T79" i="1"/>
  <c r="AF81" i="1"/>
  <c r="U71" i="1"/>
  <c r="AA76" i="1"/>
  <c r="U79" i="1"/>
  <c r="U83" i="1"/>
  <c r="AN74" i="1"/>
  <c r="W55" i="1"/>
  <c r="AC64" i="1"/>
  <c r="W71" i="1"/>
  <c r="Q78" i="1"/>
  <c r="L65" i="1"/>
  <c r="AD72" i="1"/>
  <c r="F80" i="1"/>
  <c r="I45" i="1"/>
  <c r="AG45" i="1"/>
  <c r="O46" i="1"/>
  <c r="AM46" i="1"/>
  <c r="U47" i="1"/>
  <c r="C48" i="1"/>
  <c r="AA48" i="1"/>
  <c r="I49" i="1"/>
  <c r="AG49" i="1"/>
  <c r="O50" i="1"/>
  <c r="AM50" i="1"/>
  <c r="U51" i="1"/>
  <c r="C52" i="1"/>
  <c r="AA52" i="1"/>
  <c r="I53" i="1"/>
  <c r="AG53" i="1"/>
  <c r="O54" i="1"/>
  <c r="AM54" i="1"/>
  <c r="U55" i="1"/>
  <c r="C56" i="1"/>
  <c r="AA56" i="1"/>
  <c r="I57" i="1"/>
  <c r="AG57" i="1"/>
  <c r="O58" i="1"/>
  <c r="AM58" i="1"/>
  <c r="U59" i="1"/>
  <c r="C60" i="1"/>
  <c r="AA60" i="1"/>
  <c r="I61" i="1"/>
  <c r="AG61" i="1"/>
  <c r="O62" i="1"/>
  <c r="AM62" i="1"/>
  <c r="U63" i="1"/>
  <c r="C64" i="1"/>
  <c r="AA64" i="1"/>
  <c r="I65" i="1"/>
  <c r="AG65" i="1"/>
  <c r="O66" i="1"/>
  <c r="AM66" i="1"/>
  <c r="U67" i="1"/>
  <c r="C68" i="1"/>
  <c r="AA68" i="1"/>
  <c r="I69" i="1"/>
  <c r="AG69" i="1"/>
  <c r="O70" i="1"/>
  <c r="AM70" i="1"/>
  <c r="AA72" i="1"/>
  <c r="AM74" i="1"/>
  <c r="AG77" i="1"/>
  <c r="C80" i="1"/>
  <c r="AA84" i="1"/>
  <c r="P78" i="1"/>
  <c r="P82" i="1"/>
  <c r="AO54" i="1"/>
  <c r="Q66" i="1"/>
  <c r="Q74" i="1"/>
  <c r="AI81" i="1"/>
  <c r="F64" i="1"/>
  <c r="AP70" i="1"/>
  <c r="AP82" i="1"/>
  <c r="J45" i="1"/>
  <c r="AH45" i="1"/>
  <c r="P46" i="1"/>
  <c r="AN46" i="1"/>
  <c r="V47" i="1"/>
  <c r="D48" i="1"/>
  <c r="AB48" i="1"/>
  <c r="J49" i="1"/>
  <c r="AH49" i="1"/>
  <c r="P50" i="1"/>
  <c r="AN50" i="1"/>
  <c r="V51" i="1"/>
  <c r="D52" i="1"/>
  <c r="AB52" i="1"/>
  <c r="J53" i="1"/>
  <c r="AH53" i="1"/>
  <c r="P54" i="1"/>
  <c r="AN54" i="1"/>
  <c r="V55" i="1"/>
  <c r="D56" i="1"/>
  <c r="AB56" i="1"/>
  <c r="J57" i="1"/>
  <c r="AH57" i="1"/>
  <c r="P58" i="1"/>
  <c r="AN58" i="1"/>
  <c r="V59" i="1"/>
  <c r="D60" i="1"/>
  <c r="AB60" i="1"/>
  <c r="J61" i="1"/>
  <c r="AH61" i="1"/>
  <c r="P62" i="1"/>
  <c r="AN62" i="1"/>
  <c r="V63" i="1"/>
  <c r="D64" i="1"/>
  <c r="AB64" i="1"/>
  <c r="J65" i="1"/>
  <c r="AH65" i="1"/>
  <c r="P66" i="1"/>
  <c r="AN66" i="1"/>
  <c r="V67" i="1"/>
  <c r="D68" i="1"/>
  <c r="AB68" i="1"/>
  <c r="J69" i="1"/>
  <c r="AH69" i="1"/>
  <c r="P70" i="1"/>
  <c r="AN70" i="1"/>
  <c r="V71" i="1"/>
  <c r="D72" i="1"/>
  <c r="AB72" i="1"/>
  <c r="J73" i="1"/>
  <c r="AB76" i="1"/>
  <c r="D80" i="1"/>
  <c r="AB84" i="1"/>
  <c r="E56" i="1"/>
  <c r="W63" i="1"/>
  <c r="AC68" i="1"/>
  <c r="K73" i="1"/>
  <c r="W79" i="1"/>
  <c r="AP62" i="1"/>
  <c r="R74" i="1"/>
  <c r="AJ81" i="1"/>
  <c r="K45" i="1"/>
  <c r="AI45" i="1"/>
  <c r="Q46" i="1"/>
  <c r="AO46" i="1"/>
  <c r="W47" i="1"/>
  <c r="E48" i="1"/>
  <c r="AC48" i="1"/>
  <c r="K49" i="1"/>
  <c r="AI49" i="1"/>
  <c r="Q50" i="1"/>
  <c r="AO50" i="1"/>
  <c r="W51" i="1"/>
  <c r="E52" i="1"/>
  <c r="AC52" i="1"/>
  <c r="K53" i="1"/>
  <c r="Q54" i="1"/>
  <c r="W59" i="1"/>
  <c r="AO62" i="1"/>
  <c r="K69" i="1"/>
  <c r="W75" i="1"/>
  <c r="K81" i="1"/>
  <c r="AD64" i="1"/>
  <c r="R70" i="1"/>
  <c r="AD76" i="1"/>
  <c r="X83" i="1"/>
  <c r="L45" i="1"/>
  <c r="AJ45" i="1"/>
  <c r="R46" i="1"/>
  <c r="AP46" i="1"/>
  <c r="X47" i="1"/>
  <c r="F48" i="1"/>
  <c r="AD48" i="1"/>
  <c r="L49" i="1"/>
  <c r="AJ49" i="1"/>
  <c r="R50" i="1"/>
  <c r="AP50" i="1"/>
  <c r="X51" i="1"/>
  <c r="F52" i="1"/>
  <c r="AD52" i="1"/>
  <c r="L53" i="1"/>
  <c r="AJ53" i="1"/>
  <c r="R54" i="1"/>
  <c r="AP54" i="1"/>
  <c r="X55" i="1"/>
  <c r="F56" i="1"/>
  <c r="AD56" i="1"/>
  <c r="L57" i="1"/>
  <c r="AJ57" i="1"/>
  <c r="R58" i="1"/>
  <c r="AP58" i="1"/>
  <c r="X59" i="1"/>
  <c r="L61" i="1"/>
  <c r="AJ65" i="1"/>
  <c r="F68" i="1"/>
  <c r="AJ73" i="1"/>
  <c r="R78" i="1"/>
  <c r="F84" i="1"/>
  <c r="M45" i="1"/>
  <c r="AK45" i="1"/>
  <c r="S46" i="1"/>
  <c r="AQ46" i="1"/>
  <c r="Y47" i="1"/>
  <c r="G48" i="1"/>
  <c r="AE48" i="1"/>
  <c r="M49" i="1"/>
  <c r="AK49" i="1"/>
  <c r="S50" i="1"/>
  <c r="AQ50" i="1"/>
  <c r="Y51" i="1"/>
  <c r="G52" i="1"/>
  <c r="AE52" i="1"/>
  <c r="M53" i="1"/>
  <c r="AK53" i="1"/>
  <c r="S54" i="1"/>
  <c r="AQ54" i="1"/>
  <c r="Y55" i="1"/>
  <c r="G56" i="1"/>
  <c r="AE56" i="1"/>
  <c r="M57" i="1"/>
  <c r="AK57" i="1"/>
  <c r="S58" i="1"/>
  <c r="AQ58" i="1"/>
  <c r="Y59" i="1"/>
  <c r="G60" i="1"/>
  <c r="AE60" i="1"/>
  <c r="M61" i="1"/>
  <c r="AK61" i="1"/>
  <c r="S62" i="1"/>
  <c r="AQ62" i="1"/>
  <c r="Y63" i="1"/>
  <c r="G64" i="1"/>
  <c r="AE64" i="1"/>
  <c r="M65" i="1"/>
  <c r="AK65" i="1"/>
  <c r="S66" i="1"/>
  <c r="AQ66" i="1"/>
  <c r="Y67" i="1"/>
  <c r="G68" i="1"/>
  <c r="AE68" i="1"/>
  <c r="M69" i="1"/>
  <c r="AK69" i="1"/>
  <c r="S70" i="1"/>
  <c r="AQ70" i="1"/>
  <c r="Y71" i="1"/>
  <c r="G72" i="1"/>
  <c r="AE72" i="1"/>
  <c r="M73" i="1"/>
  <c r="AK73" i="1"/>
  <c r="S74" i="1"/>
  <c r="AQ74" i="1"/>
  <c r="Y75" i="1"/>
  <c r="G76" i="1"/>
  <c r="AE76" i="1"/>
  <c r="M77" i="1"/>
  <c r="AK77" i="1"/>
  <c r="S78" i="1"/>
  <c r="AQ78" i="1"/>
  <c r="Y79" i="1"/>
  <c r="G80" i="1"/>
  <c r="AE80" i="1"/>
  <c r="M81" i="1"/>
  <c r="AK81" i="1"/>
  <c r="S82" i="1"/>
  <c r="AQ82" i="1"/>
  <c r="Y83" i="1"/>
  <c r="G84" i="1"/>
  <c r="AE84" i="1"/>
  <c r="AF64" i="1"/>
  <c r="B67" i="1"/>
  <c r="B71" i="1"/>
  <c r="N45" i="1"/>
  <c r="AL45" i="1"/>
  <c r="T46" i="1"/>
  <c r="B47" i="1"/>
  <c r="Z47" i="1"/>
  <c r="H48" i="1"/>
  <c r="AF48" i="1"/>
  <c r="N49" i="1"/>
  <c r="AL49" i="1"/>
  <c r="T50" i="1"/>
  <c r="B51" i="1"/>
  <c r="Z51" i="1"/>
  <c r="H52" i="1"/>
  <c r="AF52" i="1"/>
  <c r="N53" i="1"/>
  <c r="AL53" i="1"/>
  <c r="T54" i="1"/>
  <c r="B55" i="1"/>
  <c r="Z55" i="1"/>
  <c r="H56" i="1"/>
  <c r="AF56" i="1"/>
  <c r="N57" i="1"/>
  <c r="AL57" i="1"/>
  <c r="T58" i="1"/>
  <c r="B59" i="1"/>
  <c r="Z59" i="1"/>
  <c r="H60" i="1"/>
  <c r="AF60" i="1"/>
  <c r="N61" i="1"/>
  <c r="AL61" i="1"/>
  <c r="T62" i="1"/>
  <c r="B63" i="1"/>
  <c r="Z63" i="1"/>
  <c r="H64" i="1"/>
  <c r="N65" i="1"/>
  <c r="AL65" i="1"/>
  <c r="T66" i="1"/>
  <c r="O45" i="1"/>
  <c r="AM45" i="1"/>
  <c r="U46" i="1"/>
  <c r="C47" i="1"/>
  <c r="AA47" i="1"/>
  <c r="I48" i="1"/>
  <c r="AG48" i="1"/>
  <c r="O49" i="1"/>
  <c r="AM49" i="1"/>
  <c r="U50" i="1"/>
  <c r="C51" i="1"/>
  <c r="AA51" i="1"/>
  <c r="I52" i="1"/>
  <c r="AG52" i="1"/>
  <c r="O53" i="1"/>
  <c r="AM53" i="1"/>
  <c r="U54" i="1"/>
  <c r="C55" i="1"/>
  <c r="AA55" i="1"/>
  <c r="I56" i="1"/>
  <c r="AG56" i="1"/>
  <c r="O57" i="1"/>
  <c r="AM57" i="1"/>
  <c r="U58" i="1"/>
  <c r="C59" i="1"/>
  <c r="AA59" i="1"/>
  <c r="I60" i="1"/>
  <c r="AG60" i="1"/>
  <c r="O61" i="1"/>
  <c r="AM61" i="1"/>
  <c r="U62" i="1"/>
  <c r="C63" i="1"/>
  <c r="AA63" i="1"/>
  <c r="I64" i="1"/>
  <c r="AG64" i="1"/>
  <c r="O65" i="1"/>
  <c r="AM65" i="1"/>
  <c r="U66" i="1"/>
  <c r="P45" i="1"/>
  <c r="AN45" i="1"/>
  <c r="V46" i="1"/>
  <c r="D47" i="1"/>
  <c r="AB47" i="1"/>
  <c r="J48" i="1"/>
  <c r="AH48" i="1"/>
  <c r="P49" i="1"/>
  <c r="AN49" i="1"/>
  <c r="V50" i="1"/>
  <c r="D51" i="1"/>
  <c r="AB51" i="1"/>
  <c r="J52" i="1"/>
  <c r="AH52" i="1"/>
  <c r="P53" i="1"/>
  <c r="AN53" i="1"/>
  <c r="V54" i="1"/>
  <c r="D55" i="1"/>
  <c r="AB55" i="1"/>
  <c r="J56" i="1"/>
  <c r="AH56" i="1"/>
  <c r="P57" i="1"/>
  <c r="AN57" i="1"/>
  <c r="V58" i="1"/>
  <c r="D59" i="1"/>
  <c r="AB59" i="1"/>
  <c r="J60" i="1"/>
  <c r="AH60" i="1"/>
  <c r="P61" i="1"/>
  <c r="AN61" i="1"/>
  <c r="V62" i="1"/>
  <c r="D63" i="1"/>
  <c r="AB63" i="1"/>
  <c r="J64" i="1"/>
  <c r="AH64" i="1"/>
  <c r="P65" i="1"/>
  <c r="AN65" i="1"/>
  <c r="V66" i="1"/>
  <c r="D67" i="1"/>
  <c r="AB67" i="1"/>
  <c r="J68" i="1"/>
  <c r="AH68" i="1"/>
  <c r="P69" i="1"/>
  <c r="AN69" i="1"/>
  <c r="V70" i="1"/>
  <c r="D71" i="1"/>
  <c r="AB71" i="1"/>
  <c r="J72" i="1"/>
  <c r="AH72" i="1"/>
  <c r="P73" i="1"/>
  <c r="AN73" i="1"/>
  <c r="V74" i="1"/>
  <c r="D75" i="1"/>
  <c r="AB75" i="1"/>
  <c r="J76" i="1"/>
  <c r="AH76" i="1"/>
  <c r="P77" i="1"/>
  <c r="AN77" i="1"/>
  <c r="V78" i="1"/>
  <c r="D79" i="1"/>
  <c r="AB79" i="1"/>
  <c r="J80" i="1"/>
  <c r="AH80" i="1"/>
  <c r="Q45" i="1"/>
  <c r="AO45" i="1"/>
  <c r="W46" i="1"/>
  <c r="E47" i="1"/>
  <c r="AC47" i="1"/>
  <c r="K48" i="1"/>
  <c r="AI48" i="1"/>
  <c r="Q49" i="1"/>
  <c r="AO49" i="1"/>
  <c r="W50" i="1"/>
  <c r="E51" i="1"/>
  <c r="AC51" i="1"/>
  <c r="K52" i="1"/>
  <c r="AI52" i="1"/>
  <c r="Q53" i="1"/>
  <c r="AO53" i="1"/>
  <c r="W54" i="1"/>
  <c r="E55" i="1"/>
  <c r="AC55" i="1"/>
  <c r="K56" i="1"/>
  <c r="AI56" i="1"/>
  <c r="Q57" i="1"/>
  <c r="AO57" i="1"/>
  <c r="W58" i="1"/>
  <c r="E59" i="1"/>
  <c r="AC59" i="1"/>
  <c r="K60" i="1"/>
  <c r="AI60" i="1"/>
  <c r="R45" i="1"/>
  <c r="AP45" i="1"/>
  <c r="X46" i="1"/>
  <c r="F47" i="1"/>
  <c r="AD47" i="1"/>
  <c r="L48" i="1"/>
  <c r="AJ48" i="1"/>
  <c r="R49" i="1"/>
  <c r="AP49" i="1"/>
  <c r="X50" i="1"/>
  <c r="F51" i="1"/>
  <c r="AD51" i="1"/>
  <c r="L52" i="1"/>
  <c r="AJ52" i="1"/>
  <c r="R53" i="1"/>
  <c r="AP53" i="1"/>
  <c r="X54" i="1"/>
  <c r="F55" i="1"/>
  <c r="AD55" i="1"/>
  <c r="L56" i="1"/>
  <c r="S45" i="1"/>
  <c r="AQ45" i="1"/>
  <c r="Y46" i="1"/>
  <c r="G47" i="1"/>
  <c r="AE47" i="1"/>
  <c r="M48" i="1"/>
  <c r="AK48" i="1"/>
  <c r="S49" i="1"/>
  <c r="AQ49" i="1"/>
  <c r="Y50" i="1"/>
  <c r="G51" i="1"/>
  <c r="AE51" i="1"/>
  <c r="M52" i="1"/>
  <c r="AK52" i="1"/>
  <c r="S53" i="1"/>
  <c r="T45" i="1"/>
  <c r="B46" i="1"/>
  <c r="Z46" i="1"/>
  <c r="H47" i="1"/>
  <c r="AF47" i="1"/>
  <c r="N48" i="1"/>
  <c r="AL48" i="1"/>
  <c r="T49" i="1"/>
  <c r="B50" i="1"/>
  <c r="Z50" i="1"/>
  <c r="H51" i="1"/>
  <c r="AF51" i="1"/>
  <c r="N52" i="1"/>
  <c r="AL52" i="1"/>
  <c r="T53" i="1"/>
  <c r="B54" i="1"/>
  <c r="Z54" i="1"/>
  <c r="H55" i="1"/>
  <c r="AF55" i="1"/>
  <c r="U45" i="1"/>
  <c r="C46" i="1"/>
  <c r="AA46" i="1"/>
  <c r="I47" i="1"/>
  <c r="AG47" i="1"/>
  <c r="V45" i="1"/>
  <c r="W45" i="1"/>
  <c r="AM48" i="1"/>
  <c r="M51" i="1"/>
  <c r="E54" i="1"/>
  <c r="P56" i="1"/>
  <c r="D58" i="1"/>
  <c r="AH59" i="1"/>
  <c r="U61" i="1"/>
  <c r="F63" i="1"/>
  <c r="R64" i="1"/>
  <c r="C66" i="1"/>
  <c r="Z67" i="1"/>
  <c r="AI68" i="1"/>
  <c r="AQ69" i="1"/>
  <c r="J71" i="1"/>
  <c r="R72" i="1"/>
  <c r="AL73" i="1"/>
  <c r="E75" i="1"/>
  <c r="M76" i="1"/>
  <c r="U77" i="1"/>
  <c r="AC78" i="1"/>
  <c r="AK79" i="1"/>
  <c r="O81" i="1"/>
  <c r="U82" i="1"/>
  <c r="AA83" i="1"/>
  <c r="AG84" i="1"/>
  <c r="H75" i="1"/>
  <c r="R81" i="1"/>
  <c r="AJ84" i="1"/>
  <c r="S81" i="1"/>
  <c r="W66" i="1"/>
  <c r="B74" i="1"/>
  <c r="AG67" i="1"/>
  <c r="F79" i="1"/>
  <c r="AD71" i="1"/>
  <c r="AH83" i="1"/>
  <c r="AA66" i="1"/>
  <c r="AJ83" i="1"/>
  <c r="T74" i="1"/>
  <c r="AE75" i="1"/>
  <c r="E83" i="1"/>
  <c r="AC70" i="1"/>
  <c r="F83" i="1"/>
  <c r="U78" i="1"/>
  <c r="X57" i="1"/>
  <c r="P84" i="1"/>
  <c r="AO65" i="1"/>
  <c r="R48" i="1"/>
  <c r="S84" i="1"/>
  <c r="X45" i="1"/>
  <c r="AN48" i="1"/>
  <c r="AG51" i="1"/>
  <c r="F54" i="1"/>
  <c r="Q56" i="1"/>
  <c r="E58" i="1"/>
  <c r="AI59" i="1"/>
  <c r="V61" i="1"/>
  <c r="G63" i="1"/>
  <c r="S64" i="1"/>
  <c r="D66" i="1"/>
  <c r="AA67" i="1"/>
  <c r="AJ68" i="1"/>
  <c r="B70" i="1"/>
  <c r="K71" i="1"/>
  <c r="S72" i="1"/>
  <c r="AM73" i="1"/>
  <c r="F75" i="1"/>
  <c r="N76" i="1"/>
  <c r="V77" i="1"/>
  <c r="AD78" i="1"/>
  <c r="H80" i="1"/>
  <c r="P81" i="1"/>
  <c r="V82" i="1"/>
  <c r="AB83" i="1"/>
  <c r="AH84" i="1"/>
  <c r="AJ59" i="1"/>
  <c r="AI64" i="1"/>
  <c r="AC67" i="1"/>
  <c r="AK68" i="1"/>
  <c r="L71" i="1"/>
  <c r="AO73" i="1"/>
  <c r="G75" i="1"/>
  <c r="W77" i="1"/>
  <c r="AE78" i="1"/>
  <c r="Q81" i="1"/>
  <c r="W82" i="1"/>
  <c r="AI84" i="1"/>
  <c r="M71" i="1"/>
  <c r="X77" i="1"/>
  <c r="K80" i="1"/>
  <c r="X82" i="1"/>
  <c r="Y77" i="1"/>
  <c r="L80" i="1"/>
  <c r="AK84" i="1"/>
  <c r="AF67" i="1"/>
  <c r="J75" i="1"/>
  <c r="T81" i="1"/>
  <c r="AM64" i="1"/>
  <c r="C74" i="1"/>
  <c r="AA82" i="1"/>
  <c r="AL72" i="1"/>
  <c r="O80" i="1"/>
  <c r="W81" i="1"/>
  <c r="AF71" i="1"/>
  <c r="AQ77" i="1"/>
  <c r="AP84" i="1"/>
  <c r="B78" i="1"/>
  <c r="AK83" i="1"/>
  <c r="AL81" i="1"/>
  <c r="AD75" i="1"/>
  <c r="AJ71" i="1"/>
  <c r="AN81" i="1"/>
  <c r="K84" i="1"/>
  <c r="H72" i="1"/>
  <c r="G83" i="1"/>
  <c r="AE70" i="1"/>
  <c r="B82" i="1"/>
  <c r="L64" i="1"/>
  <c r="N77" i="1"/>
  <c r="M64" i="1"/>
  <c r="AC74" i="1"/>
  <c r="R68" i="1"/>
  <c r="AE59" i="1"/>
  <c r="F82" i="1"/>
  <c r="B75" i="1"/>
  <c r="AF84" i="1"/>
  <c r="Y45" i="1"/>
  <c r="AO48" i="1"/>
  <c r="AH51" i="1"/>
  <c r="G54" i="1"/>
  <c r="R56" i="1"/>
  <c r="F58" i="1"/>
  <c r="W61" i="1"/>
  <c r="H63" i="1"/>
  <c r="E66" i="1"/>
  <c r="C70" i="1"/>
  <c r="AF72" i="1"/>
  <c r="O76" i="1"/>
  <c r="I80" i="1"/>
  <c r="AC83" i="1"/>
  <c r="AG72" i="1"/>
  <c r="P76" i="1"/>
  <c r="B79" i="1"/>
  <c r="AD83" i="1"/>
  <c r="C79" i="1"/>
  <c r="AE83" i="1"/>
  <c r="AN68" i="1"/>
  <c r="R76" i="1"/>
  <c r="AF83" i="1"/>
  <c r="AO68" i="1"/>
  <c r="AK72" i="1"/>
  <c r="U81" i="1"/>
  <c r="L75" i="1"/>
  <c r="AD63" i="1"/>
  <c r="Q69" i="1"/>
  <c r="E78" i="1"/>
  <c r="AO81" i="1"/>
  <c r="AO76" i="1"/>
  <c r="AA74" i="1"/>
  <c r="L59" i="1"/>
  <c r="AK75" i="1"/>
  <c r="AO80" i="1"/>
  <c r="AM69" i="1"/>
  <c r="AO69" i="1"/>
  <c r="D46" i="1"/>
  <c r="AP48" i="1"/>
  <c r="AI51" i="1"/>
  <c r="Y54" i="1"/>
  <c r="S56" i="1"/>
  <c r="G58" i="1"/>
  <c r="AK59" i="1"/>
  <c r="X61" i="1"/>
  <c r="I63" i="1"/>
  <c r="AJ64" i="1"/>
  <c r="F66" i="1"/>
  <c r="AD67" i="1"/>
  <c r="AL68" i="1"/>
  <c r="D70" i="1"/>
  <c r="AP73" i="1"/>
  <c r="AA71" i="1"/>
  <c r="M80" i="1"/>
  <c r="AL84" i="1"/>
  <c r="X66" i="1"/>
  <c r="S76" i="1"/>
  <c r="AH67" i="1"/>
  <c r="AF76" i="1"/>
  <c r="AO84" i="1"/>
  <c r="W70" i="1"/>
  <c r="I79" i="1"/>
  <c r="G74" i="1"/>
  <c r="AE82" i="1"/>
  <c r="AK76" i="1"/>
  <c r="D78" i="1"/>
  <c r="K68" i="1"/>
  <c r="X62" i="1"/>
  <c r="AJ80" i="1"/>
  <c r="W69" i="1"/>
  <c r="AP60" i="1"/>
  <c r="I83" i="1"/>
  <c r="E71" i="1"/>
  <c r="Y78" i="1"/>
  <c r="AQ53" i="1"/>
  <c r="H71" i="1"/>
  <c r="T82" i="1"/>
  <c r="E46" i="1"/>
  <c r="AQ48" i="1"/>
  <c r="AJ51" i="1"/>
  <c r="AA54" i="1"/>
  <c r="AJ56" i="1"/>
  <c r="X58" i="1"/>
  <c r="L60" i="1"/>
  <c r="Y61" i="1"/>
  <c r="J63" i="1"/>
  <c r="AK64" i="1"/>
  <c r="G66" i="1"/>
  <c r="AE67" i="1"/>
  <c r="AM68" i="1"/>
  <c r="E70" i="1"/>
  <c r="Z71" i="1"/>
  <c r="AI72" i="1"/>
  <c r="AQ73" i="1"/>
  <c r="I75" i="1"/>
  <c r="Q76" i="1"/>
  <c r="Y82" i="1"/>
  <c r="AJ72" i="1"/>
  <c r="E79" i="1"/>
  <c r="Z82" i="1"/>
  <c r="L63" i="1"/>
  <c r="K75" i="1"/>
  <c r="AM84" i="1"/>
  <c r="D74" i="1"/>
  <c r="G79" i="1"/>
  <c r="AN84" i="1"/>
  <c r="AJ67" i="1"/>
  <c r="X81" i="1"/>
  <c r="AA75" i="1"/>
  <c r="AP72" i="1"/>
  <c r="L79" i="1"/>
  <c r="AE66" i="1"/>
  <c r="U57" i="1"/>
  <c r="AA79" i="1"/>
  <c r="O68" i="1"/>
  <c r="AA62" i="1"/>
  <c r="AJ75" i="1"/>
  <c r="X78" i="1"/>
  <c r="AL69" i="1"/>
  <c r="K67" i="1"/>
  <c r="S61" i="1"/>
  <c r="AQ80" i="1"/>
  <c r="F46" i="1"/>
  <c r="U49" i="1"/>
  <c r="AK51" i="1"/>
  <c r="AB54" i="1"/>
  <c r="AK56" i="1"/>
  <c r="Y58" i="1"/>
  <c r="M60" i="1"/>
  <c r="AO61" i="1"/>
  <c r="K63" i="1"/>
  <c r="AL64" i="1"/>
  <c r="F70" i="1"/>
  <c r="AL77" i="1"/>
  <c r="AC71" i="1"/>
  <c r="AM77" i="1"/>
  <c r="AG83" i="1"/>
  <c r="AP68" i="1"/>
  <c r="AB82" i="1"/>
  <c r="N69" i="1"/>
  <c r="Y81" i="1"/>
  <c r="C78" i="1"/>
  <c r="I84" i="1"/>
  <c r="AG80" i="1"/>
  <c r="AI80" i="1"/>
  <c r="AG75" i="1"/>
  <c r="S73" i="1"/>
  <c r="P68" i="1"/>
  <c r="Y69" i="1"/>
  <c r="Q48" i="1"/>
  <c r="G46" i="1"/>
  <c r="V49" i="1"/>
  <c r="O52" i="1"/>
  <c r="AC54" i="1"/>
  <c r="AL56" i="1"/>
  <c r="Z58" i="1"/>
  <c r="N60" i="1"/>
  <c r="AP61" i="1"/>
  <c r="G70" i="1"/>
  <c r="N80" i="1"/>
  <c r="V81" i="1"/>
  <c r="AI83" i="1"/>
  <c r="F74" i="1"/>
  <c r="J79" i="1"/>
  <c r="AC75" i="1"/>
  <c r="AH63" i="1"/>
  <c r="AP81" i="1"/>
  <c r="AO60" i="1"/>
  <c r="AQ60" i="1"/>
  <c r="J51" i="1"/>
  <c r="Z83" i="1"/>
  <c r="AB46" i="1"/>
  <c r="W49" i="1"/>
  <c r="P52" i="1"/>
  <c r="AD54" i="1"/>
  <c r="AM56" i="1"/>
  <c r="AA58" i="1"/>
  <c r="O60" i="1"/>
  <c r="AQ61" i="1"/>
  <c r="M63" i="1"/>
  <c r="AN64" i="1"/>
  <c r="Y66" i="1"/>
  <c r="T70" i="1"/>
  <c r="AO77" i="1"/>
  <c r="AN72" i="1"/>
  <c r="Q80" i="1"/>
  <c r="R80" i="1"/>
  <c r="S80" i="1"/>
  <c r="AM81" i="1"/>
  <c r="W74" i="1"/>
  <c r="M68" i="1"/>
  <c r="G67" i="1"/>
  <c r="C71" i="1"/>
  <c r="AN80" i="1"/>
  <c r="Q77" i="1"/>
  <c r="AE74" i="1"/>
  <c r="AE62" i="1"/>
  <c r="AC46" i="1"/>
  <c r="X49" i="1"/>
  <c r="Q52" i="1"/>
  <c r="AE54" i="1"/>
  <c r="AN56" i="1"/>
  <c r="AB58" i="1"/>
  <c r="P60" i="1"/>
  <c r="B62" i="1"/>
  <c r="AC63" i="1"/>
  <c r="AO64" i="1"/>
  <c r="Z66" i="1"/>
  <c r="AI67" i="1"/>
  <c r="AQ68" i="1"/>
  <c r="U70" i="1"/>
  <c r="AE71" i="1"/>
  <c r="AM72" i="1"/>
  <c r="E74" i="1"/>
  <c r="M75" i="1"/>
  <c r="AG76" i="1"/>
  <c r="AP77" i="1"/>
  <c r="H79" i="1"/>
  <c r="P80" i="1"/>
  <c r="AC82" i="1"/>
  <c r="Z75" i="1"/>
  <c r="AD82" i="1"/>
  <c r="AO72" i="1"/>
  <c r="K79" i="1"/>
  <c r="AL76" i="1"/>
  <c r="AA70" i="1"/>
  <c r="J84" i="1"/>
  <c r="I59" i="1"/>
  <c r="W65" i="1"/>
  <c r="X65" i="1"/>
  <c r="AB74" i="1"/>
  <c r="Y65" i="1"/>
  <c r="J83" i="1"/>
  <c r="AG79" i="1"/>
  <c r="O64" i="1"/>
  <c r="AH79" i="1"/>
  <c r="P64" i="1"/>
  <c r="S77" i="1"/>
  <c r="AD46" i="1"/>
  <c r="Y49" i="1"/>
  <c r="R52" i="1"/>
  <c r="G55" i="1"/>
  <c r="AO56" i="1"/>
  <c r="AC58" i="1"/>
  <c r="Q60" i="1"/>
  <c r="C62" i="1"/>
  <c r="AP64" i="1"/>
  <c r="AI76" i="1"/>
  <c r="AH71" i="1"/>
  <c r="N73" i="1"/>
  <c r="Q73" i="1"/>
  <c r="K59" i="1"/>
  <c r="AB62" i="1"/>
  <c r="K83" i="1"/>
  <c r="S68" i="1"/>
  <c r="AA78" i="1"/>
  <c r="AE46" i="1"/>
  <c r="C50" i="1"/>
  <c r="S52" i="1"/>
  <c r="I55" i="1"/>
  <c r="AP56" i="1"/>
  <c r="AD58" i="1"/>
  <c r="R60" i="1"/>
  <c r="D62" i="1"/>
  <c r="AE63" i="1"/>
  <c r="AQ64" i="1"/>
  <c r="AB66" i="1"/>
  <c r="AK67" i="1"/>
  <c r="O69" i="1"/>
  <c r="X70" i="1"/>
  <c r="AG71" i="1"/>
  <c r="AJ76" i="1"/>
  <c r="AQ84" i="1"/>
  <c r="B83" i="1"/>
  <c r="AF80" i="1"/>
  <c r="S69" i="1"/>
  <c r="AJ63" i="1"/>
  <c r="M84" i="1"/>
  <c r="AQ76" i="1"/>
  <c r="W53" i="1"/>
  <c r="C82" i="1"/>
  <c r="M72" i="1"/>
  <c r="H76" i="1"/>
  <c r="M56" i="1"/>
  <c r="AF68" i="1"/>
  <c r="J47" i="1"/>
  <c r="D50" i="1"/>
  <c r="AM52" i="1"/>
  <c r="J55" i="1"/>
  <c r="AQ56" i="1"/>
  <c r="AE58" i="1"/>
  <c r="S60" i="1"/>
  <c r="E62" i="1"/>
  <c r="AF63" i="1"/>
  <c r="Q65" i="1"/>
  <c r="AC66" i="1"/>
  <c r="H68" i="1"/>
  <c r="Y70" i="1"/>
  <c r="H84" i="1"/>
  <c r="S65" i="1"/>
  <c r="E67" i="1"/>
  <c r="W57" i="1"/>
  <c r="H67" i="1"/>
  <c r="AE79" i="1"/>
  <c r="AF79" i="1"/>
  <c r="N72" i="1"/>
  <c r="O72" i="1"/>
  <c r="AF59" i="1"/>
  <c r="AI79" i="1"/>
  <c r="K47" i="1"/>
  <c r="E50" i="1"/>
  <c r="AN52" i="1"/>
  <c r="K55" i="1"/>
  <c r="R57" i="1"/>
  <c r="F59" i="1"/>
  <c r="AJ60" i="1"/>
  <c r="F62" i="1"/>
  <c r="AG63" i="1"/>
  <c r="R65" i="1"/>
  <c r="AD66" i="1"/>
  <c r="I68" i="1"/>
  <c r="R69" i="1"/>
  <c r="Z70" i="1"/>
  <c r="AI71" i="1"/>
  <c r="AQ72" i="1"/>
  <c r="U74" i="1"/>
  <c r="C83" i="1"/>
  <c r="M79" i="1"/>
  <c r="D83" i="1"/>
  <c r="Z79" i="1"/>
  <c r="U69" i="1"/>
  <c r="G78" i="1"/>
  <c r="Z62" i="1"/>
  <c r="N84" i="1"/>
  <c r="X69" i="1"/>
  <c r="W78" i="1"/>
  <c r="O77" i="1"/>
  <c r="F71" i="1"/>
  <c r="AD62" i="1"/>
  <c r="AP80" i="1"/>
  <c r="L67" i="1"/>
  <c r="G82" i="1"/>
  <c r="L47" i="1"/>
  <c r="F50" i="1"/>
  <c r="AO52" i="1"/>
  <c r="L55" i="1"/>
  <c r="S57" i="1"/>
  <c r="G59" i="1"/>
  <c r="AK60" i="1"/>
  <c r="G62" i="1"/>
  <c r="AM76" i="1"/>
  <c r="U65" i="1"/>
  <c r="K64" i="1"/>
  <c r="T73" i="1"/>
  <c r="Q61" i="1"/>
  <c r="R77" i="1"/>
  <c r="C54" i="1"/>
  <c r="M47" i="1"/>
  <c r="G50" i="1"/>
  <c r="AP52" i="1"/>
  <c r="M55" i="1"/>
  <c r="T57" i="1"/>
  <c r="H59" i="1"/>
  <c r="AL60" i="1"/>
  <c r="W62" i="1"/>
  <c r="AI63" i="1"/>
  <c r="T65" i="1"/>
  <c r="C67" i="1"/>
  <c r="L68" i="1"/>
  <c r="T69" i="1"/>
  <c r="AB70" i="1"/>
  <c r="AK71" i="1"/>
  <c r="O73" i="1"/>
  <c r="X74" i="1"/>
  <c r="AF75" i="1"/>
  <c r="AN76" i="1"/>
  <c r="F78" i="1"/>
  <c r="AM60" i="1"/>
  <c r="L84" i="1"/>
  <c r="AD79" i="1"/>
  <c r="H83" i="1"/>
  <c r="AD50" i="1"/>
  <c r="U73" i="1"/>
  <c r="AD74" i="1"/>
  <c r="AQ57" i="1"/>
  <c r="L83" i="1"/>
  <c r="X73" i="1"/>
  <c r="AH47" i="1"/>
  <c r="AA50" i="1"/>
  <c r="AQ52" i="1"/>
  <c r="AE55" i="1"/>
  <c r="Y74" i="1"/>
  <c r="AI75" i="1"/>
  <c r="AK47" i="1"/>
  <c r="V73" i="1"/>
  <c r="I76" i="1"/>
  <c r="N56" i="1"/>
  <c r="AI47" i="1"/>
  <c r="AB50" i="1"/>
  <c r="U53" i="1"/>
  <c r="AG55" i="1"/>
  <c r="V57" i="1"/>
  <c r="J59" i="1"/>
  <c r="AN60" i="1"/>
  <c r="Y62" i="1"/>
  <c r="AK63" i="1"/>
  <c r="V65" i="1"/>
  <c r="F67" i="1"/>
  <c r="N68" i="1"/>
  <c r="V69" i="1"/>
  <c r="AD70" i="1"/>
  <c r="I72" i="1"/>
  <c r="R73" i="1"/>
  <c r="Z74" i="1"/>
  <c r="AH75" i="1"/>
  <c r="AP76" i="1"/>
  <c r="T78" i="1"/>
  <c r="AC79" i="1"/>
  <c r="AK80" i="1"/>
  <c r="AQ81" i="1"/>
  <c r="K72" i="1"/>
  <c r="AI55" i="1"/>
  <c r="AM80" i="1"/>
  <c r="D82" i="1"/>
  <c r="N64" i="1"/>
  <c r="Q84" i="1"/>
  <c r="G71" i="1"/>
  <c r="B58" i="1"/>
  <c r="K76" i="1"/>
  <c r="AJ47" i="1"/>
  <c r="AC50" i="1"/>
  <c r="V53" i="1"/>
  <c r="AH55" i="1"/>
  <c r="AL80" i="1"/>
  <c r="O84" i="1"/>
  <c r="Q68" i="1"/>
  <c r="W73" i="1"/>
  <c r="AQ65" i="1"/>
  <c r="L72" i="1"/>
  <c r="R61" i="1"/>
  <c r="AJ79" i="1"/>
  <c r="O48" i="1"/>
  <c r="AE50" i="1"/>
  <c r="X53" i="1"/>
  <c r="AJ55" i="1"/>
  <c r="Y57" i="1"/>
  <c r="M59" i="1"/>
  <c r="I67" i="1"/>
  <c r="E82" i="1"/>
  <c r="AP65" i="1"/>
  <c r="R84" i="1"/>
  <c r="P72" i="1"/>
  <c r="P48" i="1"/>
  <c r="I51" i="1"/>
  <c r="Y53" i="1"/>
  <c r="AK55" i="1"/>
  <c r="AP57" i="1"/>
  <c r="AD59" i="1"/>
  <c r="AC62" i="1"/>
  <c r="J67" i="1"/>
  <c r="Z78" i="1"/>
  <c r="K51" i="1"/>
  <c r="M83" i="1"/>
  <c r="S48" i="1"/>
  <c r="L51" i="1"/>
  <c r="D54" i="1"/>
  <c r="O56" i="1"/>
  <c r="C58" i="1"/>
  <c r="AG59" i="1"/>
  <c r="T61" i="1"/>
  <c r="E63" i="1"/>
  <c r="Q64" i="1"/>
  <c r="B66" i="1"/>
  <c r="M67" i="1"/>
  <c r="AG68" i="1"/>
  <c r="AP69" i="1"/>
  <c r="I71" i="1"/>
  <c r="Q72" i="1"/>
  <c r="Y73" i="1"/>
  <c r="C75" i="1"/>
  <c r="L76" i="1"/>
  <c r="T77" i="1"/>
  <c r="AB78" i="1"/>
  <c r="N81" i="1"/>
  <c r="L38" i="1"/>
  <c r="J37" i="1"/>
  <c r="P29" i="1"/>
  <c r="Q16" i="1"/>
  <c r="B33" i="1"/>
  <c r="V40" i="1"/>
  <c r="D33" i="1"/>
  <c r="AJ10" i="1"/>
  <c r="AF17" i="1"/>
  <c r="C28" i="1"/>
  <c r="E9" i="1"/>
  <c r="X27" i="1"/>
  <c r="K37" i="1"/>
  <c r="AE18" i="1"/>
  <c r="S33" i="1"/>
  <c r="AD32" i="1"/>
  <c r="D42" i="1"/>
  <c r="AE12" i="1"/>
  <c r="E7" i="1"/>
  <c r="I42" i="1"/>
  <c r="AG21" i="1"/>
  <c r="O36" i="1"/>
  <c r="B39" i="1"/>
  <c r="AC28" i="1"/>
  <c r="U36" i="1"/>
  <c r="K40" i="1"/>
  <c r="K22" i="1"/>
  <c r="J7" i="1"/>
  <c r="O23" i="1"/>
  <c r="J10" i="1"/>
  <c r="AL33" i="1"/>
  <c r="H34" i="1"/>
  <c r="O40" i="1"/>
  <c r="AE29" i="1"/>
  <c r="G18" i="1"/>
  <c r="W7" i="1"/>
  <c r="J11" i="1"/>
  <c r="K30" i="1"/>
  <c r="V37" i="1"/>
  <c r="Z7" i="1"/>
  <c r="R5" i="1"/>
  <c r="AH25" i="1"/>
  <c r="E44" i="1"/>
  <c r="O5" i="1"/>
  <c r="C12" i="1"/>
  <c r="AK18" i="1"/>
  <c r="Z30" i="1"/>
  <c r="H29" i="1"/>
  <c r="AJ14" i="1"/>
  <c r="J14" i="1"/>
  <c r="AM31" i="1"/>
  <c r="S9" i="1"/>
  <c r="P37" i="1"/>
  <c r="AQ33" i="1"/>
  <c r="B32" i="1"/>
  <c r="AH26" i="1"/>
  <c r="Q8" i="1"/>
  <c r="AA26" i="1"/>
  <c r="E28" i="1"/>
  <c r="AI23" i="1"/>
  <c r="G35" i="1"/>
  <c r="AH11" i="1"/>
  <c r="G27" i="1"/>
  <c r="B15" i="1"/>
  <c r="X16" i="1"/>
  <c r="AF42" i="1"/>
  <c r="Y27" i="1"/>
  <c r="AK15" i="1"/>
  <c r="P22" i="1"/>
  <c r="V5" i="1"/>
  <c r="AA6" i="1"/>
  <c r="AB11" i="1"/>
  <c r="AQ32" i="1"/>
  <c r="AG5" i="1"/>
  <c r="Y29" i="1"/>
  <c r="U43" i="1"/>
  <c r="O21" i="1"/>
  <c r="L15" i="1"/>
  <c r="Z9" i="1"/>
  <c r="B25" i="1"/>
  <c r="O16" i="1"/>
  <c r="J34" i="1"/>
  <c r="B16" i="1"/>
  <c r="V32" i="1"/>
  <c r="AQ11" i="1"/>
  <c r="AN9" i="1"/>
  <c r="O39" i="1"/>
  <c r="V29" i="1"/>
  <c r="F20" i="1"/>
  <c r="AP12" i="1"/>
  <c r="I34" i="1"/>
  <c r="AI19" i="1"/>
  <c r="M40" i="1"/>
  <c r="AJ30" i="1"/>
  <c r="C23" i="1"/>
  <c r="H20" i="1"/>
  <c r="E33" i="1"/>
  <c r="AN13" i="1"/>
  <c r="I5" i="1"/>
  <c r="E37" i="1"/>
  <c r="F23" i="1"/>
  <c r="G31" i="1"/>
  <c r="O44" i="1"/>
  <c r="M28" i="1"/>
  <c r="S5" i="1"/>
  <c r="AG8" i="1"/>
  <c r="U26" i="1"/>
  <c r="AB20" i="1"/>
  <c r="F9" i="1"/>
  <c r="AB22" i="1"/>
  <c r="AK19" i="1"/>
  <c r="AF6" i="1"/>
  <c r="AD22" i="1"/>
  <c r="N29" i="1"/>
  <c r="AH41" i="1"/>
  <c r="R28" i="1"/>
  <c r="AL34" i="1"/>
  <c r="I40" i="1"/>
  <c r="O14" i="1"/>
  <c r="S19" i="1"/>
  <c r="V10" i="1"/>
  <c r="X22" i="1"/>
  <c r="AG35" i="1"/>
  <c r="S30" i="1"/>
  <c r="AJ43" i="1"/>
  <c r="AM13" i="1"/>
  <c r="Z25" i="1"/>
  <c r="AM37" i="1"/>
  <c r="AB39" i="1"/>
  <c r="W11" i="1"/>
  <c r="W20" i="1"/>
  <c r="X36" i="1"/>
  <c r="D28" i="1"/>
  <c r="M15" i="1"/>
  <c r="P31" i="1"/>
  <c r="AN12" i="1"/>
  <c r="V8" i="1"/>
  <c r="AJ37" i="1"/>
  <c r="V15" i="1"/>
  <c r="L17" i="1"/>
  <c r="T26" i="1"/>
  <c r="Z11" i="1"/>
  <c r="I6" i="1"/>
  <c r="D20" i="1"/>
  <c r="Z34" i="1"/>
  <c r="U28" i="1"/>
  <c r="AO20" i="1"/>
  <c r="AM30" i="1"/>
  <c r="Z40" i="1"/>
  <c r="AH30" i="1"/>
  <c r="D25" i="1"/>
  <c r="G11" i="1"/>
  <c r="AK37" i="1"/>
  <c r="V20" i="1"/>
  <c r="AC26" i="1"/>
  <c r="F17" i="1"/>
  <c r="Y9" i="1"/>
  <c r="C40" i="1"/>
  <c r="AA12" i="1"/>
  <c r="K8" i="1"/>
  <c r="K15" i="1"/>
  <c r="E23" i="1"/>
  <c r="F11" i="1"/>
  <c r="AD34" i="1"/>
  <c r="AL32" i="1"/>
  <c r="W29" i="1"/>
  <c r="M16" i="1"/>
  <c r="AN18" i="1"/>
  <c r="Z32" i="1"/>
  <c r="AC12" i="1"/>
  <c r="D21" i="1"/>
  <c r="AK30" i="1"/>
  <c r="Z37" i="1"/>
  <c r="AL28" i="1"/>
  <c r="O24" i="1"/>
  <c r="AO43" i="1"/>
  <c r="O41" i="1"/>
  <c r="H8" i="1"/>
  <c r="AC9" i="1"/>
  <c r="B7" i="1"/>
  <c r="AI40" i="1"/>
  <c r="Q39" i="1"/>
  <c r="P18" i="1"/>
  <c r="B24" i="1"/>
  <c r="J25" i="1"/>
  <c r="Q9" i="1"/>
  <c r="AN14" i="1"/>
  <c r="AN32" i="1"/>
  <c r="I32" i="1"/>
  <c r="AI11" i="1"/>
  <c r="I12" i="1"/>
  <c r="R7" i="1"/>
  <c r="K6" i="1"/>
  <c r="AN44" i="1"/>
  <c r="AG28" i="1"/>
  <c r="AP31" i="1"/>
  <c r="AJ19" i="1"/>
  <c r="E18" i="1"/>
  <c r="J35" i="1"/>
  <c r="X30" i="1"/>
  <c r="E10" i="1"/>
  <c r="AA32" i="1"/>
  <c r="O38" i="1"/>
  <c r="J9" i="1"/>
  <c r="F12" i="1"/>
  <c r="M17" i="1"/>
  <c r="S27" i="1"/>
  <c r="AB14" i="1"/>
  <c r="AM24" i="1"/>
  <c r="F38" i="1"/>
  <c r="Z22" i="1"/>
  <c r="K18" i="1"/>
  <c r="AB18" i="1"/>
  <c r="M10" i="1"/>
  <c r="AN26" i="1"/>
  <c r="B10" i="1"/>
  <c r="AA27" i="1"/>
  <c r="AE16" i="1"/>
  <c r="Z29" i="1"/>
  <c r="AD11" i="1"/>
  <c r="T32" i="1"/>
  <c r="I22" i="1"/>
  <c r="AH20" i="1"/>
  <c r="K42" i="1"/>
  <c r="G36" i="1"/>
  <c r="T7" i="1"/>
  <c r="D31" i="1"/>
  <c r="AG30" i="1"/>
  <c r="Z6" i="1"/>
  <c r="AP44" i="1"/>
  <c r="AG34" i="1"/>
  <c r="AO23" i="1"/>
  <c r="T29" i="1"/>
  <c r="C25" i="1"/>
  <c r="AL20" i="1"/>
  <c r="AI25" i="1"/>
  <c r="AP38" i="1"/>
  <c r="Q27" i="1"/>
  <c r="AH18" i="1"/>
  <c r="I41" i="1"/>
  <c r="H10" i="1"/>
  <c r="O20" i="1"/>
  <c r="AJ9" i="1"/>
  <c r="X25" i="1"/>
  <c r="P21" i="1"/>
  <c r="N28" i="1"/>
  <c r="AP8" i="1"/>
  <c r="AG11" i="1"/>
  <c r="Y22" i="1"/>
  <c r="Y37" i="1"/>
  <c r="D22" i="1"/>
  <c r="AP32" i="1"/>
  <c r="F16" i="1"/>
  <c r="T37" i="1"/>
  <c r="I14" i="1"/>
  <c r="W21" i="1"/>
  <c r="AL30" i="1"/>
  <c r="AP35" i="1"/>
  <c r="R40" i="1"/>
  <c r="W28" i="1"/>
  <c r="AM9" i="1"/>
  <c r="M34" i="1"/>
  <c r="Z33" i="1"/>
  <c r="AI7" i="1"/>
  <c r="AG37" i="1"/>
  <c r="N40" i="1"/>
  <c r="F13" i="1"/>
  <c r="E11" i="1"/>
  <c r="AM39" i="1"/>
  <c r="AP39" i="1"/>
  <c r="AL22" i="1"/>
  <c r="M33" i="1"/>
  <c r="AB29" i="1"/>
  <c r="Z8" i="1"/>
  <c r="AN36" i="1"/>
  <c r="W13" i="1"/>
  <c r="P41" i="1"/>
  <c r="AL27" i="1"/>
  <c r="AC5" i="1"/>
  <c r="R36" i="1"/>
  <c r="L19" i="1"/>
  <c r="Z10" i="1"/>
  <c r="K36" i="1"/>
  <c r="F42" i="1"/>
  <c r="N9" i="1"/>
  <c r="K21" i="1"/>
  <c r="V28" i="1"/>
  <c r="AK40" i="1"/>
  <c r="I19" i="1"/>
  <c r="C31" i="1"/>
  <c r="M18" i="1"/>
  <c r="AH8" i="1"/>
  <c r="X11" i="1"/>
  <c r="F8" i="1"/>
  <c r="S24" i="1"/>
  <c r="U27" i="1"/>
  <c r="K5" i="1"/>
  <c r="U40" i="1"/>
  <c r="AM11" i="1"/>
  <c r="G43" i="1"/>
  <c r="AB35" i="1"/>
  <c r="AF21" i="1"/>
  <c r="K38" i="1"/>
  <c r="I33" i="1"/>
  <c r="Q28" i="1"/>
  <c r="AA41" i="1"/>
  <c r="AN33" i="1"/>
  <c r="AJ35" i="1"/>
  <c r="W23" i="1"/>
  <c r="AC29" i="1"/>
  <c r="AL42" i="1"/>
  <c r="G34" i="1"/>
  <c r="AI5" i="1"/>
  <c r="E25" i="1"/>
  <c r="AK38" i="1"/>
  <c r="U21" i="1"/>
  <c r="K43" i="1"/>
  <c r="T43" i="1"/>
  <c r="AP28" i="1"/>
  <c r="F43" i="1"/>
  <c r="AN35" i="1"/>
  <c r="O10" i="1"/>
  <c r="AK20" i="1"/>
  <c r="AE10" i="1"/>
  <c r="AO16" i="1"/>
  <c r="AC43" i="1"/>
  <c r="AP15" i="1"/>
  <c r="AP7" i="1"/>
  <c r="AB43" i="1"/>
  <c r="AB44" i="1"/>
  <c r="W41" i="1"/>
  <c r="AE40" i="1"/>
  <c r="AN38" i="1"/>
  <c r="AD26" i="1"/>
  <c r="AK25" i="1"/>
  <c r="AD43" i="1"/>
  <c r="R15" i="1"/>
  <c r="J6" i="1"/>
  <c r="F15" i="1"/>
  <c r="V23" i="1"/>
  <c r="B44" i="1"/>
  <c r="AC44" i="1"/>
  <c r="AN39" i="1"/>
  <c r="AC6" i="1"/>
  <c r="AF15" i="1"/>
  <c r="H39" i="1"/>
  <c r="AJ44" i="1"/>
  <c r="U32" i="1"/>
  <c r="H31" i="1"/>
  <c r="AQ41" i="1"/>
  <c r="E38" i="1"/>
  <c r="AJ15" i="1"/>
  <c r="Q17" i="1"/>
  <c r="B31" i="1"/>
  <c r="G26" i="1"/>
  <c r="O18" i="1"/>
  <c r="AP36" i="1"/>
  <c r="M9" i="1"/>
  <c r="AQ40" i="1"/>
  <c r="C44" i="1"/>
  <c r="T6" i="1"/>
  <c r="L37" i="1"/>
  <c r="AF44" i="1"/>
  <c r="M13" i="1"/>
  <c r="AG6" i="1"/>
  <c r="C19" i="1"/>
  <c r="D43" i="1"/>
  <c r="X28" i="1"/>
  <c r="W6" i="1"/>
  <c r="AO42" i="1"/>
  <c r="AI28" i="1"/>
  <c r="G10" i="1"/>
  <c r="AP16" i="1"/>
  <c r="Y14" i="1"/>
  <c r="W18" i="1"/>
  <c r="L8" i="1"/>
  <c r="G32" i="1"/>
  <c r="X24" i="1"/>
  <c r="Q36" i="1"/>
  <c r="P11" i="1"/>
  <c r="I16" i="1"/>
  <c r="D15" i="1"/>
  <c r="P27" i="1"/>
  <c r="AB41" i="1"/>
  <c r="AF11" i="1"/>
  <c r="L12" i="1"/>
  <c r="X17" i="1"/>
  <c r="L27" i="1"/>
  <c r="AI18" i="1"/>
  <c r="AH40" i="1"/>
  <c r="R8" i="1"/>
  <c r="AF28" i="1"/>
  <c r="AO5" i="1"/>
  <c r="AI15" i="1"/>
  <c r="AN5" i="1"/>
  <c r="P6" i="1"/>
  <c r="P12" i="1"/>
  <c r="N25" i="1"/>
  <c r="G8" i="1"/>
  <c r="N43" i="1"/>
  <c r="P7" i="1"/>
  <c r="O19" i="1"/>
  <c r="N30" i="1"/>
  <c r="AQ5" i="1"/>
  <c r="AF5" i="1"/>
  <c r="L7" i="1"/>
  <c r="U18" i="1"/>
  <c r="E6" i="1"/>
  <c r="AA22" i="1"/>
  <c r="AE32" i="1"/>
  <c r="H36" i="1"/>
  <c r="U39" i="1"/>
  <c r="N16" i="1"/>
  <c r="AK6" i="1"/>
  <c r="AJ36" i="1"/>
  <c r="S13" i="1"/>
  <c r="AK31" i="1"/>
  <c r="C35" i="1"/>
  <c r="Y23" i="1"/>
  <c r="G29" i="1"/>
  <c r="S43" i="1"/>
  <c r="S39" i="1"/>
  <c r="AF26" i="1"/>
  <c r="AA34" i="1"/>
  <c r="K31" i="1"/>
  <c r="AK28" i="1"/>
  <c r="AN7" i="1"/>
  <c r="E15" i="1"/>
  <c r="D17" i="1"/>
  <c r="K20" i="1"/>
  <c r="Q32" i="1"/>
  <c r="AD24" i="1"/>
  <c r="P10" i="1"/>
  <c r="E26" i="1"/>
  <c r="E13" i="1"/>
  <c r="W38" i="1"/>
  <c r="AK34" i="1"/>
  <c r="AC13" i="1"/>
  <c r="L28" i="1"/>
  <c r="I31" i="1"/>
  <c r="V36" i="1"/>
  <c r="I20" i="1"/>
  <c r="AD13" i="1"/>
  <c r="AQ20" i="1"/>
  <c r="T22" i="1"/>
  <c r="Q33" i="1"/>
  <c r="AC37" i="1"/>
  <c r="AJ18" i="1"/>
  <c r="I43" i="1"/>
  <c r="AN23" i="1"/>
  <c r="AC10" i="1"/>
  <c r="C24" i="1"/>
  <c r="AN20" i="1"/>
  <c r="AD27" i="1"/>
  <c r="U6" i="1"/>
  <c r="W26" i="1"/>
  <c r="I44" i="1"/>
  <c r="N11" i="1"/>
  <c r="M23" i="1"/>
  <c r="AF27" i="1"/>
  <c r="I23" i="1"/>
  <c r="AL8" i="1"/>
  <c r="L23" i="1"/>
  <c r="V14" i="1"/>
  <c r="AO40" i="1"/>
  <c r="O34" i="1"/>
  <c r="AJ21" i="1"/>
  <c r="M29" i="1"/>
  <c r="AA17" i="1"/>
  <c r="X38" i="1"/>
  <c r="AM21" i="1"/>
  <c r="G39" i="1"/>
  <c r="D39" i="1"/>
  <c r="O30" i="1"/>
  <c r="AH7" i="1"/>
  <c r="AM15" i="1"/>
  <c r="U23" i="1"/>
  <c r="O42" i="1"/>
  <c r="AH23" i="1"/>
  <c r="I24" i="1"/>
  <c r="AE22" i="1"/>
  <c r="AM40" i="1"/>
  <c r="T36" i="1"/>
  <c r="C9" i="1"/>
  <c r="AC34" i="1"/>
  <c r="U16" i="1"/>
  <c r="M11" i="1"/>
  <c r="AD30" i="1"/>
  <c r="D34" i="1"/>
  <c r="AK10" i="1"/>
  <c r="K7" i="1"/>
  <c r="AE34" i="1"/>
  <c r="N33" i="1"/>
  <c r="AL43" i="1"/>
  <c r="Z44" i="1"/>
  <c r="E42" i="1"/>
  <c r="Q34" i="1"/>
  <c r="AJ7" i="1"/>
  <c r="AJ5" i="1"/>
  <c r="AF36" i="1"/>
  <c r="AF23" i="1"/>
  <c r="AP41" i="1"/>
  <c r="D38" i="1"/>
  <c r="AN30" i="1"/>
  <c r="AH42" i="1"/>
  <c r="Y18" i="1"/>
  <c r="AD29" i="1"/>
  <c r="AO30" i="1"/>
  <c r="AK7" i="1"/>
  <c r="C29" i="1"/>
  <c r="AQ15" i="1"/>
  <c r="AE44" i="1"/>
  <c r="AB42" i="1"/>
  <c r="S7" i="1"/>
  <c r="AI14" i="1"/>
  <c r="AB19" i="1"/>
  <c r="AB15" i="1"/>
  <c r="T15" i="1"/>
  <c r="K16" i="1"/>
  <c r="R20" i="1"/>
  <c r="E32" i="1"/>
  <c r="AF39" i="1"/>
  <c r="U35" i="1"/>
  <c r="V31" i="1"/>
  <c r="Z41" i="1"/>
  <c r="Q20" i="1"/>
  <c r="Y20" i="1"/>
  <c r="G20" i="1"/>
  <c r="AH44" i="1"/>
  <c r="I38" i="1"/>
  <c r="AE14" i="1"/>
  <c r="N35" i="1"/>
  <c r="E27" i="1"/>
  <c r="AH28" i="1"/>
  <c r="AH38" i="1"/>
  <c r="X44" i="1"/>
  <c r="AD5" i="1"/>
  <c r="V39" i="1"/>
  <c r="N5" i="1"/>
  <c r="G22" i="1"/>
  <c r="S28" i="1"/>
  <c r="U19" i="1"/>
  <c r="AG13" i="1"/>
  <c r="Z20" i="1"/>
  <c r="F18" i="1"/>
  <c r="U12" i="1"/>
  <c r="I18" i="1"/>
  <c r="F14" i="1"/>
  <c r="L44" i="1"/>
  <c r="AA28" i="1"/>
  <c r="T30" i="1"/>
  <c r="Z19" i="1"/>
  <c r="U37" i="1"/>
  <c r="AJ23" i="1"/>
  <c r="J43" i="1"/>
  <c r="AL29" i="1"/>
  <c r="AP6" i="1"/>
  <c r="AC19" i="1"/>
  <c r="E43" i="1"/>
  <c r="C21" i="1"/>
  <c r="AO44" i="1"/>
  <c r="B29" i="1"/>
  <c r="V22" i="1"/>
  <c r="P19" i="1"/>
  <c r="F39" i="1"/>
  <c r="H33" i="1"/>
  <c r="Z23" i="1"/>
  <c r="AC27" i="1"/>
  <c r="B37" i="1"/>
  <c r="V11" i="1"/>
  <c r="W5" i="1"/>
  <c r="AO9" i="1"/>
  <c r="K9" i="1"/>
  <c r="AH12" i="1"/>
  <c r="AF16" i="1"/>
  <c r="AE24" i="1"/>
  <c r="E31" i="1"/>
  <c r="Q18" i="1"/>
  <c r="X42" i="1"/>
  <c r="O31" i="1"/>
  <c r="C11" i="1"/>
  <c r="AJ16" i="1"/>
  <c r="AD16" i="1"/>
  <c r="AE11" i="1"/>
  <c r="D30" i="1"/>
  <c r="F22" i="1"/>
  <c r="AI27" i="1"/>
  <c r="L29" i="1"/>
  <c r="AC24" i="1"/>
  <c r="Q37" i="1"/>
  <c r="J23" i="1"/>
  <c r="S16" i="1"/>
  <c r="AH24" i="1"/>
  <c r="W34" i="1"/>
  <c r="AK23" i="1"/>
  <c r="C17" i="1"/>
  <c r="AA10" i="1"/>
  <c r="AM42" i="1"/>
  <c r="W27" i="1"/>
  <c r="X7" i="1"/>
  <c r="AG14" i="1"/>
  <c r="X32" i="1"/>
  <c r="AE37" i="1"/>
  <c r="AQ6" i="1"/>
  <c r="AF41" i="1"/>
  <c r="B8" i="1"/>
  <c r="C16" i="1"/>
  <c r="P16" i="1"/>
  <c r="AE7" i="1"/>
  <c r="H40" i="1"/>
  <c r="AG44" i="1"/>
  <c r="V38" i="1"/>
  <c r="L31" i="1"/>
  <c r="I15" i="1"/>
  <c r="AL18" i="1"/>
  <c r="AO24" i="1"/>
  <c r="H15" i="1"/>
  <c r="AQ18" i="1"/>
  <c r="U13" i="1"/>
  <c r="AL13" i="1"/>
  <c r="P8" i="1"/>
  <c r="O8" i="1"/>
  <c r="AE8" i="1"/>
  <c r="AF38" i="1"/>
  <c r="AB31" i="1"/>
  <c r="L30" i="1"/>
  <c r="G6" i="1"/>
  <c r="AG32" i="1"/>
  <c r="R19" i="1"/>
  <c r="S40" i="1"/>
  <c r="I36" i="1"/>
  <c r="AC22" i="1"/>
  <c r="Q5" i="1"/>
  <c r="H23" i="1"/>
  <c r="AM29" i="1"/>
  <c r="Y7" i="1"/>
  <c r="F32" i="1"/>
  <c r="J27" i="1"/>
  <c r="AG41" i="1"/>
  <c r="E41" i="1"/>
  <c r="AM14" i="1"/>
  <c r="AL40" i="1"/>
  <c r="AN25" i="1"/>
  <c r="AN15" i="1"/>
  <c r="T41" i="1"/>
  <c r="AH19" i="1"/>
  <c r="AP34" i="1"/>
  <c r="W40" i="1"/>
  <c r="Y38" i="1"/>
  <c r="AQ17" i="1"/>
  <c r="AF34" i="1"/>
  <c r="AO6" i="1"/>
  <c r="S29" i="1"/>
  <c r="AF43" i="1"/>
  <c r="N15" i="1"/>
  <c r="T12" i="1"/>
  <c r="C13" i="1"/>
  <c r="AC35" i="1"/>
  <c r="J17" i="1"/>
  <c r="AI10" i="1"/>
  <c r="AK12" i="1"/>
  <c r="D7" i="1"/>
  <c r="AQ39" i="1"/>
  <c r="S21" i="1"/>
  <c r="G28" i="1"/>
  <c r="R11" i="1"/>
  <c r="AG9" i="1"/>
  <c r="J8" i="1"/>
  <c r="AK27" i="1"/>
  <c r="AF29" i="1"/>
  <c r="T5" i="1"/>
  <c r="AQ43" i="1"/>
  <c r="AK22" i="1"/>
  <c r="AJ38" i="1"/>
  <c r="S18" i="1"/>
  <c r="R9" i="1"/>
  <c r="AA43" i="1"/>
  <c r="I29" i="1"/>
  <c r="B36" i="1"/>
  <c r="S35" i="1"/>
  <c r="D12" i="1"/>
  <c r="AH9" i="1"/>
  <c r="B19" i="1"/>
  <c r="AG26" i="1"/>
  <c r="AJ17" i="1"/>
  <c r="AE19" i="1"/>
  <c r="AF8" i="1"/>
  <c r="R25" i="1"/>
  <c r="X43" i="1"/>
  <c r="AM6" i="1"/>
  <c r="AQ31" i="1"/>
  <c r="AL15" i="1"/>
  <c r="R37" i="1"/>
  <c r="U31" i="1"/>
  <c r="AH15" i="1"/>
  <c r="L22" i="1"/>
  <c r="Y33" i="1"/>
  <c r="AB6" i="1"/>
  <c r="AP21" i="1"/>
  <c r="X26" i="1"/>
  <c r="AA31" i="1"/>
  <c r="AF37" i="1"/>
  <c r="U30" i="1"/>
  <c r="W16" i="1"/>
  <c r="AE21" i="1"/>
  <c r="D6" i="1"/>
  <c r="AI42" i="1"/>
  <c r="AC39" i="1"/>
  <c r="AJ25" i="1"/>
  <c r="AH32" i="1"/>
  <c r="I17" i="1"/>
  <c r="B34" i="1"/>
  <c r="AO21" i="1"/>
  <c r="E8" i="1"/>
  <c r="O7" i="1"/>
  <c r="AP18" i="1"/>
  <c r="T17" i="1"/>
  <c r="AQ8" i="1"/>
  <c r="S42" i="1"/>
  <c r="Z24" i="1"/>
  <c r="Y28" i="1"/>
  <c r="AI17" i="1"/>
  <c r="AL7" i="1"/>
  <c r="AL26" i="1"/>
  <c r="J5" i="1"/>
  <c r="AM27" i="1"/>
  <c r="AM17" i="1"/>
  <c r="AP9" i="1"/>
  <c r="G15" i="1"/>
  <c r="N10" i="1"/>
  <c r="U14" i="1"/>
  <c r="L26" i="1"/>
  <c r="S31" i="1"/>
  <c r="AP5" i="1"/>
  <c r="T13" i="1"/>
  <c r="V16" i="1"/>
  <c r="F37" i="1"/>
  <c r="H11" i="1"/>
  <c r="AI32" i="1"/>
  <c r="V21" i="1"/>
  <c r="I9" i="1"/>
  <c r="AF25" i="1"/>
  <c r="H25" i="1"/>
  <c r="R10" i="1"/>
  <c r="AJ27" i="1"/>
  <c r="AK11" i="1"/>
  <c r="AO35" i="1"/>
  <c r="AH14" i="1"/>
  <c r="AQ30" i="1"/>
  <c r="P30" i="1"/>
  <c r="K13" i="1"/>
  <c r="H17" i="1"/>
  <c r="F27" i="1"/>
  <c r="W9" i="1"/>
  <c r="Q43" i="1"/>
  <c r="N19" i="1"/>
  <c r="AI8" i="1"/>
  <c r="V24" i="1"/>
  <c r="G42" i="1"/>
  <c r="AG7" i="1"/>
  <c r="AE28" i="1"/>
  <c r="C41" i="1"/>
  <c r="AD21" i="1"/>
  <c r="C8" i="1"/>
  <c r="L16" i="1"/>
  <c r="K25" i="1"/>
  <c r="T40" i="1"/>
  <c r="AH17" i="1"/>
  <c r="X19" i="1"/>
  <c r="L11" i="1"/>
  <c r="AC14" i="1"/>
  <c r="AC8" i="1"/>
  <c r="G14" i="1"/>
  <c r="N26" i="1"/>
  <c r="N17" i="1"/>
  <c r="AO36" i="1"/>
  <c r="AJ13" i="1"/>
  <c r="AH37" i="1"/>
  <c r="AH31" i="1"/>
  <c r="T33" i="1"/>
  <c r="AO7" i="1"/>
  <c r="I7" i="1"/>
  <c r="R26" i="1"/>
  <c r="AM8" i="1"/>
  <c r="O33" i="1"/>
  <c r="G17" i="1"/>
  <c r="Y26" i="1"/>
  <c r="AB37" i="1"/>
  <c r="J20" i="1"/>
  <c r="AQ27" i="1"/>
  <c r="AJ12" i="1"/>
  <c r="N12" i="1"/>
  <c r="AH13" i="1"/>
  <c r="AA11" i="1"/>
  <c r="AB26" i="1"/>
  <c r="G16" i="1"/>
  <c r="AE31" i="1"/>
  <c r="O6" i="1"/>
  <c r="AH22" i="1"/>
  <c r="G40" i="1"/>
  <c r="AP20" i="1"/>
  <c r="AI31" i="1"/>
  <c r="AE43" i="1"/>
  <c r="AL17" i="1"/>
  <c r="AG22" i="1"/>
  <c r="AB30" i="1"/>
  <c r="AA29" i="1"/>
  <c r="AL41" i="1"/>
  <c r="X15" i="1"/>
  <c r="K27" i="1"/>
  <c r="F33" i="1"/>
  <c r="AB36" i="1"/>
  <c r="N14" i="1"/>
  <c r="S6" i="1"/>
  <c r="C38" i="1"/>
  <c r="AK14" i="1"/>
  <c r="W30" i="1"/>
  <c r="F10" i="1"/>
  <c r="AK35" i="1"/>
  <c r="P9" i="1"/>
  <c r="R35" i="1"/>
  <c r="I13" i="1"/>
  <c r="AJ11" i="1"/>
  <c r="AG43" i="1"/>
  <c r="AB32" i="1"/>
  <c r="AC15" i="1"/>
  <c r="B26" i="1"/>
  <c r="AD40" i="1"/>
  <c r="Q15" i="1"/>
  <c r="V44" i="1"/>
  <c r="P14" i="1"/>
  <c r="K24" i="1"/>
  <c r="M32" i="1"/>
  <c r="AJ33" i="1"/>
  <c r="P40" i="1"/>
  <c r="AK24" i="1"/>
  <c r="H24" i="1"/>
  <c r="R17" i="1"/>
  <c r="AJ42" i="1"/>
  <c r="F24" i="1"/>
  <c r="K34" i="1"/>
  <c r="AA33" i="1"/>
  <c r="AB17" i="1"/>
  <c r="AO31" i="1"/>
  <c r="W25" i="1"/>
  <c r="G24" i="1"/>
  <c r="E5" i="1"/>
  <c r="AQ16" i="1"/>
  <c r="AF24" i="1"/>
  <c r="Y34" i="1"/>
  <c r="X23" i="1"/>
  <c r="S22" i="1"/>
  <c r="AA18" i="1"/>
  <c r="D44" i="1"/>
  <c r="L40" i="1"/>
  <c r="AC42" i="1"/>
  <c r="U22" i="1"/>
  <c r="X6" i="1"/>
  <c r="AH5" i="1"/>
  <c r="AG12" i="1"/>
  <c r="T18" i="1"/>
  <c r="AB28" i="1"/>
  <c r="Y40" i="1"/>
  <c r="AG40" i="1"/>
  <c r="V35" i="1"/>
  <c r="AB25" i="1"/>
  <c r="P15" i="1"/>
  <c r="V43" i="1"/>
  <c r="Z16" i="1"/>
  <c r="F34" i="1"/>
  <c r="AN24" i="1"/>
  <c r="P34" i="1"/>
  <c r="AG25" i="1"/>
  <c r="AL31" i="1"/>
  <c r="D16" i="1"/>
  <c r="H18" i="1"/>
  <c r="AH36" i="1"/>
  <c r="AD28" i="1"/>
  <c r="W24" i="1"/>
  <c r="E22" i="1"/>
  <c r="M43" i="1"/>
  <c r="O27" i="1"/>
  <c r="AE20" i="1"/>
  <c r="H6" i="1"/>
  <c r="T31" i="1"/>
  <c r="AP26" i="1"/>
  <c r="M19" i="1"/>
  <c r="E35" i="1"/>
  <c r="AI36" i="1"/>
  <c r="AO18" i="1"/>
  <c r="AB8" i="1"/>
  <c r="AF10" i="1"/>
  <c r="B23" i="1"/>
  <c r="X9" i="1"/>
  <c r="AI24" i="1"/>
  <c r="AO12" i="1"/>
  <c r="X18" i="1"/>
  <c r="AB24" i="1"/>
  <c r="AG17" i="1"/>
  <c r="W12" i="1"/>
  <c r="B35" i="1"/>
  <c r="Q41" i="1"/>
  <c r="Y36" i="1"/>
  <c r="M35" i="1"/>
  <c r="S11" i="1"/>
  <c r="L43" i="1"/>
  <c r="E14" i="1"/>
  <c r="AK36" i="1"/>
  <c r="AC7" i="1"/>
  <c r="AJ34" i="1"/>
  <c r="AO27" i="1"/>
  <c r="E19" i="1"/>
  <c r="AD12" i="1"/>
  <c r="AP43" i="1"/>
  <c r="X12" i="1"/>
  <c r="AQ36" i="1"/>
  <c r="AC16" i="1"/>
  <c r="AH39" i="1"/>
  <c r="B12" i="1"/>
  <c r="K10" i="1"/>
  <c r="AB33" i="1"/>
  <c r="T16" i="1"/>
  <c r="AE27" i="1"/>
  <c r="AM7" i="1"/>
  <c r="AL37" i="1"/>
  <c r="AC11" i="1"/>
  <c r="AQ10" i="1"/>
  <c r="C22" i="1"/>
  <c r="AF18" i="1"/>
  <c r="H26" i="1"/>
  <c r="AL39" i="1"/>
  <c r="Q44" i="1"/>
  <c r="AE35" i="1"/>
  <c r="J32" i="1"/>
  <c r="W10" i="1"/>
  <c r="AH10" i="1"/>
  <c r="F7" i="1"/>
  <c r="Z31" i="1"/>
  <c r="J44" i="1"/>
  <c r="AA24" i="1"/>
  <c r="AO33" i="1"/>
  <c r="R22" i="1"/>
  <c r="AK8" i="1"/>
  <c r="C7" i="1"/>
  <c r="AG39" i="1"/>
  <c r="R39" i="1"/>
  <c r="D19" i="1"/>
  <c r="AK29" i="1"/>
  <c r="V9" i="1"/>
  <c r="AD15" i="1"/>
  <c r="AA16" i="1"/>
  <c r="J41" i="1"/>
  <c r="P17" i="1"/>
  <c r="W39" i="1"/>
  <c r="F40" i="1"/>
  <c r="AC18" i="1"/>
  <c r="AO8" i="1"/>
  <c r="AL5" i="1"/>
  <c r="AC17" i="1"/>
  <c r="AF20" i="1"/>
  <c r="H30" i="1"/>
  <c r="AI38" i="1"/>
  <c r="S20" i="1"/>
  <c r="AP37" i="1"/>
  <c r="W32" i="1"/>
  <c r="E24" i="1"/>
  <c r="AO37" i="1"/>
  <c r="W36" i="1"/>
  <c r="U15" i="1"/>
  <c r="M8" i="1"/>
  <c r="AF7" i="1"/>
  <c r="D29" i="1"/>
  <c r="AF19" i="1"/>
  <c r="AB10" i="1"/>
  <c r="V33" i="1"/>
  <c r="T27" i="1"/>
  <c r="L35" i="1"/>
  <c r="C43" i="1"/>
  <c r="K41" i="1"/>
  <c r="I35" i="1"/>
  <c r="S8" i="1"/>
  <c r="AA30" i="1"/>
  <c r="AD37" i="1"/>
  <c r="P44" i="1"/>
  <c r="M14" i="1"/>
  <c r="K44" i="1"/>
  <c r="AB23" i="1"/>
  <c r="Z38" i="1"/>
  <c r="L39" i="1"/>
  <c r="AL12" i="1"/>
  <c r="AO13" i="1"/>
  <c r="H27" i="1"/>
  <c r="H37" i="1"/>
  <c r="AE26" i="1"/>
  <c r="J36" i="1"/>
  <c r="I25" i="1"/>
  <c r="T10" i="1"/>
  <c r="N31" i="1"/>
  <c r="AN22" i="1"/>
  <c r="J19" i="1"/>
  <c r="R6" i="1"/>
  <c r="C20" i="1"/>
  <c r="J42" i="1"/>
  <c r="AL38" i="1"/>
  <c r="AF22" i="1"/>
  <c r="X10" i="1"/>
  <c r="V30" i="1"/>
  <c r="AI12" i="1"/>
  <c r="B22" i="1"/>
  <c r="AN19" i="1"/>
  <c r="AO34" i="1"/>
  <c r="AM19" i="1"/>
  <c r="AG38" i="1"/>
  <c r="AG29" i="1"/>
  <c r="AB13" i="1"/>
  <c r="G30" i="1"/>
  <c r="AH27" i="1"/>
  <c r="X14" i="1"/>
  <c r="AE36" i="1"/>
  <c r="Y11" i="1"/>
  <c r="E12" i="1"/>
  <c r="N42" i="1"/>
  <c r="D40" i="1"/>
  <c r="AP27" i="1"/>
  <c r="AJ32" i="1"/>
  <c r="AF13" i="1"/>
  <c r="AN41" i="1"/>
  <c r="U41" i="1"/>
  <c r="AD6" i="1"/>
  <c r="H42" i="1"/>
  <c r="N27" i="1"/>
  <c r="C14" i="1"/>
  <c r="AP23" i="1"/>
  <c r="AM25" i="1"/>
  <c r="Q42" i="1"/>
  <c r="D11" i="1"/>
  <c r="N13" i="1"/>
  <c r="AL23" i="1"/>
  <c r="L34" i="1"/>
  <c r="X29" i="1"/>
  <c r="L32" i="1"/>
  <c r="AI34" i="1"/>
  <c r="AP10" i="1"/>
  <c r="W33" i="1"/>
  <c r="AQ34" i="1"/>
  <c r="E39" i="1"/>
  <c r="C39" i="1"/>
  <c r="P13" i="1"/>
  <c r="E29" i="1"/>
  <c r="U34" i="1"/>
  <c r="H43" i="1"/>
  <c r="R42" i="1"/>
  <c r="AA38" i="1"/>
  <c r="H14" i="1"/>
  <c r="U42" i="1"/>
  <c r="O12" i="1"/>
  <c r="Y13" i="1"/>
  <c r="AI26" i="1"/>
  <c r="AJ31" i="1"/>
  <c r="AQ12" i="1"/>
  <c r="AK13" i="1"/>
  <c r="P43" i="1"/>
  <c r="AM22" i="1"/>
  <c r="AN6" i="1"/>
  <c r="D27" i="1"/>
  <c r="H38" i="1"/>
  <c r="AM20" i="1"/>
  <c r="AD41" i="1"/>
  <c r="AO14" i="1"/>
  <c r="Z42" i="1"/>
  <c r="N18" i="1"/>
  <c r="AL24" i="1"/>
  <c r="AC21" i="1"/>
  <c r="J28" i="1"/>
  <c r="X39" i="1"/>
  <c r="AB38" i="1"/>
  <c r="AL25" i="1"/>
  <c r="AH33" i="1"/>
  <c r="P23" i="1"/>
  <c r="C34" i="1"/>
  <c r="L10" i="1"/>
  <c r="AQ29" i="1"/>
  <c r="AC31" i="1"/>
  <c r="B38" i="1"/>
  <c r="AH6" i="1"/>
  <c r="F5" i="1"/>
  <c r="AM41" i="1"/>
  <c r="I10" i="1"/>
  <c r="AO17" i="1"/>
  <c r="AG24" i="1"/>
  <c r="J26" i="1"/>
  <c r="AD44" i="1"/>
  <c r="O9" i="1"/>
  <c r="J21" i="1"/>
  <c r="F41" i="1"/>
  <c r="H44" i="1"/>
  <c r="P38" i="1"/>
  <c r="F36" i="1"/>
  <c r="P32" i="1"/>
  <c r="AD42" i="1"/>
  <c r="AC41" i="1"/>
  <c r="L18" i="1"/>
  <c r="AD17" i="1"/>
  <c r="AA35" i="1"/>
  <c r="K35" i="1"/>
  <c r="AI33" i="1"/>
  <c r="P33" i="1"/>
  <c r="AP25" i="1"/>
  <c r="O22" i="1"/>
  <c r="AG42" i="1"/>
  <c r="AI21" i="1"/>
  <c r="T24" i="1"/>
  <c r="M26" i="1"/>
  <c r="Y21" i="1"/>
  <c r="K12" i="1"/>
  <c r="AD25" i="1"/>
  <c r="J38" i="1"/>
  <c r="AI35" i="1"/>
  <c r="S34" i="1"/>
  <c r="E21" i="1"/>
  <c r="AK43" i="1"/>
  <c r="V7" i="1"/>
  <c r="D35" i="1"/>
  <c r="Q10" i="1"/>
  <c r="AB9" i="1"/>
  <c r="H7" i="1"/>
  <c r="Q24" i="1"/>
  <c r="S23" i="1"/>
  <c r="T42" i="1"/>
  <c r="T25" i="1"/>
  <c r="G38" i="1"/>
  <c r="AC38" i="1"/>
  <c r="AJ22" i="1"/>
  <c r="AB7" i="1"/>
  <c r="Q29" i="1"/>
  <c r="U25" i="1"/>
  <c r="AM36" i="1"/>
  <c r="AB5" i="1"/>
  <c r="AQ7" i="1"/>
  <c r="AE17" i="1"/>
  <c r="H5" i="1"/>
  <c r="G44" i="1"/>
  <c r="B18" i="1"/>
  <c r="R16" i="1"/>
  <c r="S38" i="1"/>
  <c r="J33" i="1"/>
  <c r="AD8" i="1"/>
  <c r="AA44" i="1"/>
  <c r="AM28" i="1"/>
  <c r="T28" i="1"/>
  <c r="AM12" i="1"/>
  <c r="AI9" i="1"/>
  <c r="P36" i="1"/>
  <c r="AM23" i="1"/>
  <c r="AI30" i="1"/>
  <c r="Z43" i="1"/>
  <c r="B28" i="1"/>
  <c r="B27" i="1"/>
  <c r="AD38" i="1"/>
  <c r="T11" i="1"/>
  <c r="AJ8" i="1"/>
  <c r="AE42" i="1"/>
  <c r="AB40" i="1"/>
  <c r="AN40" i="1"/>
  <c r="AO32" i="1"/>
  <c r="H19" i="1"/>
  <c r="M7" i="1"/>
  <c r="I21" i="1"/>
  <c r="U7" i="1"/>
  <c r="P28" i="1"/>
  <c r="C27" i="1"/>
  <c r="I11" i="1"/>
  <c r="O15" i="1"/>
  <c r="M6" i="1"/>
  <c r="E36" i="1"/>
  <c r="F35" i="1"/>
  <c r="G9" i="1"/>
  <c r="AQ26" i="1"/>
  <c r="V41" i="1"/>
  <c r="J12" i="1"/>
  <c r="F6" i="1"/>
  <c r="C33" i="1"/>
  <c r="C26" i="1"/>
  <c r="C32" i="1"/>
  <c r="AE38" i="1"/>
  <c r="AO28" i="1"/>
  <c r="D26" i="1"/>
  <c r="J29" i="1"/>
  <c r="C42" i="1"/>
  <c r="R38" i="1"/>
  <c r="AA39" i="1"/>
  <c r="Q7" i="1"/>
  <c r="X37" i="1"/>
  <c r="Z17" i="1"/>
  <c r="M39" i="1"/>
  <c r="V17" i="1"/>
  <c r="B11" i="1"/>
  <c r="K28" i="1"/>
  <c r="R44" i="1"/>
  <c r="AF12" i="1"/>
  <c r="Z26" i="1"/>
  <c r="AH35" i="1"/>
  <c r="P25" i="1"/>
  <c r="L33" i="1"/>
  <c r="O35" i="1"/>
  <c r="C37" i="1"/>
  <c r="AL21" i="1"/>
  <c r="U24" i="1"/>
  <c r="X41" i="1"/>
  <c r="AJ20" i="1"/>
  <c r="V27" i="1"/>
  <c r="D8" i="1"/>
  <c r="U11" i="1"/>
  <c r="S41" i="1"/>
  <c r="AM35" i="1"/>
  <c r="M5" i="1"/>
  <c r="V12" i="1"/>
  <c r="AQ28" i="1"/>
  <c r="M20" i="1"/>
  <c r="C18" i="1"/>
  <c r="H16" i="1"/>
  <c r="AD35" i="1"/>
  <c r="Z21" i="1"/>
  <c r="M44" i="1"/>
  <c r="AM34" i="1"/>
  <c r="B17" i="1"/>
  <c r="W37" i="1"/>
  <c r="Z35" i="1"/>
  <c r="D9" i="1"/>
  <c r="AK44" i="1"/>
  <c r="V6" i="1"/>
  <c r="M37" i="1"/>
  <c r="T14" i="1"/>
  <c r="D41" i="1"/>
  <c r="C30" i="1"/>
  <c r="M22" i="1"/>
  <c r="P39" i="1"/>
  <c r="S32" i="1"/>
  <c r="AN17" i="1"/>
  <c r="AG31" i="1"/>
  <c r="AH29" i="1"/>
  <c r="AQ14" i="1"/>
  <c r="W8" i="1"/>
  <c r="AQ44" i="1"/>
  <c r="AO41" i="1"/>
  <c r="W22" i="1"/>
  <c r="N7" i="1"/>
  <c r="AA14" i="1"/>
  <c r="Y19" i="1"/>
  <c r="AM26" i="1"/>
  <c r="B14" i="1"/>
  <c r="C5" i="1"/>
  <c r="J40" i="1"/>
  <c r="S37" i="1"/>
  <c r="N34" i="1"/>
  <c r="M24" i="1"/>
  <c r="AP22" i="1"/>
  <c r="T23" i="1"/>
  <c r="D13" i="1"/>
  <c r="AQ23" i="1"/>
  <c r="L5" i="1"/>
  <c r="Z28" i="1"/>
  <c r="AO15" i="1"/>
  <c r="AA5" i="1"/>
  <c r="M27" i="1"/>
  <c r="AA8" i="1"/>
  <c r="AI6" i="1"/>
  <c r="AO22" i="1"/>
  <c r="E16" i="1"/>
  <c r="Q23" i="1"/>
  <c r="AJ28" i="1"/>
  <c r="I28" i="1"/>
  <c r="F31" i="1"/>
  <c r="R34" i="1"/>
  <c r="AJ39" i="1"/>
  <c r="D14" i="1"/>
  <c r="AK26" i="1"/>
  <c r="B6" i="1"/>
  <c r="D36" i="1"/>
  <c r="AJ26" i="1"/>
  <c r="I37" i="1"/>
  <c r="AI13" i="1"/>
  <c r="AK41" i="1"/>
  <c r="J31" i="1"/>
  <c r="D32" i="1"/>
  <c r="AG18" i="1"/>
  <c r="F28" i="1"/>
  <c r="M12" i="1"/>
  <c r="X40" i="1"/>
  <c r="S36" i="1"/>
  <c r="R43" i="1"/>
  <c r="S14" i="1"/>
  <c r="AA15" i="1"/>
  <c r="AQ22" i="1"/>
  <c r="Y41" i="1"/>
  <c r="Y12" i="1"/>
  <c r="W43" i="1"/>
  <c r="W15" i="1"/>
  <c r="AD39" i="1"/>
  <c r="R18" i="1"/>
  <c r="AK32" i="1"/>
  <c r="AG19" i="1"/>
  <c r="Z13" i="1"/>
  <c r="B40" i="1"/>
  <c r="U20" i="1"/>
  <c r="AQ24" i="1"/>
  <c r="AE33" i="1"/>
  <c r="Y43" i="1"/>
  <c r="N8" i="1"/>
  <c r="T8" i="1"/>
  <c r="T39" i="1"/>
  <c r="Y31" i="1"/>
  <c r="AD31" i="1"/>
  <c r="AN21" i="1"/>
  <c r="Q22" i="1"/>
  <c r="H12" i="1"/>
  <c r="AC20" i="1"/>
  <c r="G41" i="1"/>
  <c r="M30" i="1"/>
  <c r="AQ19" i="1"/>
  <c r="G12" i="1"/>
  <c r="Y10" i="1"/>
  <c r="AN37" i="1"/>
  <c r="AI44" i="1"/>
  <c r="M41" i="1"/>
  <c r="N21" i="1"/>
  <c r="X31" i="1"/>
  <c r="H41" i="1"/>
  <c r="X5" i="1"/>
  <c r="R14" i="1"/>
  <c r="AP14" i="1"/>
  <c r="R27" i="1"/>
  <c r="AC30" i="1"/>
  <c r="AP11" i="1"/>
  <c r="Q26" i="1"/>
  <c r="AJ24" i="1"/>
  <c r="X21" i="1"/>
  <c r="AI22" i="1"/>
  <c r="S10" i="1"/>
  <c r="U38" i="1"/>
  <c r="AF9" i="1"/>
  <c r="B21" i="1"/>
  <c r="AO26" i="1"/>
  <c r="AO25" i="1"/>
  <c r="Y42" i="1"/>
  <c r="J15" i="1"/>
  <c r="AG20" i="1"/>
  <c r="AG36" i="1"/>
  <c r="Y32" i="1"/>
  <c r="AE30" i="1"/>
  <c r="AO39" i="1"/>
  <c r="P20" i="1"/>
  <c r="AI29" i="1"/>
  <c r="N23" i="1"/>
  <c r="AO19" i="1"/>
  <c r="AF14" i="1"/>
  <c r="AM16" i="1"/>
  <c r="AN31" i="1"/>
  <c r="G13" i="1"/>
  <c r="AN42" i="1"/>
  <c r="AL19" i="1"/>
  <c r="N36" i="1"/>
  <c r="Q30" i="1"/>
  <c r="AM44" i="1"/>
  <c r="D5" i="1"/>
  <c r="O37" i="1"/>
  <c r="M31" i="1"/>
  <c r="D37" i="1"/>
  <c r="T34" i="1"/>
  <c r="AI37" i="1"/>
  <c r="AK16" i="1"/>
  <c r="AA42" i="1"/>
  <c r="Z36" i="1"/>
  <c r="Q6" i="1"/>
  <c r="O43" i="1"/>
  <c r="O26" i="1"/>
  <c r="O11" i="1"/>
  <c r="T9" i="1"/>
  <c r="Q35" i="1"/>
  <c r="K32" i="1"/>
  <c r="G37" i="1"/>
  <c r="AA19" i="1"/>
  <c r="R31" i="1"/>
  <c r="Y6" i="1"/>
  <c r="O25" i="1"/>
  <c r="Q25" i="1"/>
  <c r="AA7" i="1"/>
  <c r="K33" i="1"/>
  <c r="AB12" i="1"/>
  <c r="AK42" i="1"/>
  <c r="C10" i="1"/>
  <c r="AA21" i="1"/>
  <c r="H32" i="1"/>
  <c r="C15" i="1"/>
  <c r="B13" i="1"/>
  <c r="P5" i="1"/>
  <c r="O29" i="1"/>
  <c r="X8" i="1"/>
  <c r="AM18" i="1"/>
  <c r="AQ37" i="1"/>
  <c r="W17" i="1"/>
  <c r="AN16" i="1"/>
  <c r="AP42" i="1"/>
  <c r="AL10" i="1"/>
  <c r="AC23" i="1"/>
  <c r="AI39" i="1"/>
  <c r="AB34" i="1"/>
  <c r="G25" i="1"/>
  <c r="O32" i="1"/>
  <c r="AB27" i="1"/>
  <c r="W42" i="1"/>
  <c r="AC25" i="1"/>
  <c r="AQ35" i="1"/>
  <c r="S44" i="1"/>
  <c r="Z12" i="1"/>
  <c r="AA40" i="1"/>
  <c r="AL11" i="1"/>
  <c r="AO10" i="1"/>
  <c r="M36" i="1"/>
  <c r="R29" i="1"/>
  <c r="U44" i="1"/>
  <c r="AK33" i="1"/>
  <c r="Q40" i="1"/>
  <c r="AP33" i="1"/>
  <c r="K17" i="1"/>
  <c r="Y8" i="1"/>
  <c r="AP40" i="1"/>
  <c r="V25" i="1"/>
  <c r="Q31" i="1"/>
  <c r="AK9" i="1"/>
  <c r="W31" i="1"/>
  <c r="AD9" i="1"/>
  <c r="Q19" i="1"/>
  <c r="Q21" i="1"/>
  <c r="V18" i="1"/>
  <c r="Y44" i="1"/>
  <c r="R13" i="1"/>
  <c r="AE6" i="1"/>
  <c r="K14" i="1"/>
  <c r="AP30" i="1"/>
  <c r="AO38" i="1"/>
  <c r="W44" i="1"/>
  <c r="AG23" i="1"/>
  <c r="F25" i="1"/>
  <c r="H21" i="1"/>
  <c r="AI41" i="1"/>
  <c r="AP29" i="1"/>
  <c r="AL44" i="1"/>
  <c r="C6" i="1"/>
  <c r="AA13" i="1"/>
  <c r="AP17" i="1"/>
  <c r="C36" i="1"/>
  <c r="M42" i="1"/>
  <c r="I30" i="1"/>
  <c r="K39" i="1"/>
  <c r="H35" i="1"/>
  <c r="E40" i="1"/>
  <c r="AA36" i="1"/>
  <c r="AJ40" i="1"/>
  <c r="AH43" i="1"/>
  <c r="AE25" i="1"/>
  <c r="AF30" i="1"/>
  <c r="K11" i="1"/>
  <c r="P24" i="1"/>
  <c r="AB16" i="1"/>
  <c r="AA23" i="1"/>
  <c r="AF32" i="1"/>
  <c r="AJ6" i="1"/>
  <c r="E34" i="1"/>
  <c r="AE5" i="1"/>
  <c r="AJ41" i="1"/>
  <c r="AD7" i="1"/>
  <c r="AP24" i="1"/>
  <c r="N6" i="1"/>
  <c r="AG10" i="1"/>
  <c r="AQ25" i="1"/>
  <c r="AP19" i="1"/>
  <c r="B9" i="1"/>
  <c r="E30" i="1"/>
  <c r="AD10" i="1"/>
  <c r="J18" i="1"/>
  <c r="M21" i="1"/>
  <c r="AA37" i="1"/>
  <c r="AL16" i="1"/>
  <c r="V19" i="1"/>
  <c r="J24" i="1"/>
  <c r="R33" i="1"/>
  <c r="R32" i="1"/>
  <c r="N32" i="1"/>
  <c r="AL9" i="1"/>
  <c r="AA20" i="1"/>
  <c r="Q13" i="1"/>
  <c r="AM32" i="1"/>
  <c r="U17" i="1"/>
  <c r="D23" i="1"/>
  <c r="AM5" i="1"/>
  <c r="D18" i="1"/>
  <c r="G23" i="1"/>
  <c r="J22" i="1"/>
  <c r="AQ9" i="1"/>
  <c r="B41" i="1"/>
  <c r="AM33" i="1"/>
  <c r="U29" i="1"/>
  <c r="R12" i="1"/>
  <c r="AE23" i="1"/>
  <c r="I27" i="1"/>
  <c r="AD23" i="1"/>
  <c r="AN27" i="1"/>
  <c r="J13" i="1"/>
  <c r="AC33" i="1"/>
  <c r="AF35" i="1"/>
  <c r="AG33" i="1"/>
  <c r="E20" i="1"/>
  <c r="Q12" i="1"/>
  <c r="N22" i="1"/>
  <c r="T19" i="1"/>
  <c r="AC40" i="1"/>
  <c r="W35" i="1"/>
  <c r="H9" i="1"/>
  <c r="AD19" i="1"/>
  <c r="L41" i="1"/>
  <c r="AE41" i="1"/>
  <c r="X35" i="1"/>
  <c r="F26" i="1"/>
  <c r="AI43" i="1"/>
  <c r="K23" i="1"/>
  <c r="T38" i="1"/>
  <c r="Y25" i="1"/>
  <c r="Z5" i="1"/>
  <c r="AJ29" i="1"/>
  <c r="U10" i="1"/>
  <c r="I8" i="1"/>
  <c r="AN11" i="1"/>
  <c r="N38" i="1"/>
  <c r="Y16" i="1"/>
  <c r="S26" i="1"/>
  <c r="Q11" i="1"/>
  <c r="L36" i="1"/>
  <c r="AQ42" i="1"/>
  <c r="R41" i="1"/>
  <c r="J39" i="1"/>
  <c r="U33" i="1"/>
  <c r="AA9" i="1"/>
  <c r="AO29" i="1"/>
  <c r="N39" i="1"/>
  <c r="Y15" i="1"/>
  <c r="I26" i="1"/>
  <c r="AP13" i="1"/>
  <c r="B30" i="1"/>
  <c r="L20" i="1"/>
  <c r="L24" i="1"/>
  <c r="AN43" i="1"/>
  <c r="AD14" i="1"/>
  <c r="O13" i="1"/>
  <c r="S12" i="1"/>
  <c r="S25" i="1"/>
  <c r="T21" i="1"/>
  <c r="X33" i="1"/>
  <c r="AB21" i="1"/>
  <c r="D10" i="1"/>
  <c r="V26" i="1"/>
  <c r="AG15" i="1"/>
  <c r="B5" i="1"/>
  <c r="J16" i="1"/>
  <c r="AE39" i="1"/>
  <c r="L9" i="1"/>
  <c r="L42" i="1"/>
  <c r="Z18" i="1"/>
  <c r="E17" i="1"/>
  <c r="N37" i="1"/>
  <c r="L14" i="1"/>
  <c r="AG27" i="1"/>
  <c r="Z14" i="1"/>
  <c r="Q38" i="1"/>
  <c r="R21" i="1"/>
  <c r="N44" i="1"/>
  <c r="Z27" i="1"/>
  <c r="S17" i="1"/>
  <c r="K29" i="1"/>
  <c r="H13" i="1"/>
  <c r="Z15" i="1"/>
  <c r="Y35" i="1"/>
  <c r="AQ38" i="1"/>
  <c r="F19" i="1"/>
  <c r="Y24" i="1"/>
  <c r="U5" i="1"/>
  <c r="N24" i="1"/>
  <c r="N41" i="1"/>
  <c r="AD33" i="1"/>
  <c r="F29" i="1"/>
  <c r="AK5" i="1"/>
  <c r="AD36" i="1"/>
  <c r="O28" i="1"/>
  <c r="P42" i="1"/>
  <c r="V13" i="1"/>
  <c r="B42" i="1"/>
  <c r="V34" i="1"/>
  <c r="G33" i="1"/>
  <c r="M38" i="1"/>
  <c r="AQ21" i="1"/>
  <c r="AF33" i="1"/>
  <c r="H28" i="1"/>
  <c r="AK39" i="1"/>
  <c r="Z39" i="1"/>
  <c r="K26" i="1"/>
  <c r="AO11" i="1"/>
  <c r="L13" i="1"/>
  <c r="L21" i="1"/>
  <c r="AE15" i="1"/>
  <c r="P35" i="1"/>
  <c r="W19" i="1"/>
  <c r="S15" i="1"/>
  <c r="M25" i="1"/>
  <c r="G5" i="1"/>
  <c r="AQ13" i="1"/>
  <c r="J30" i="1"/>
  <c r="T44" i="1"/>
  <c r="F21" i="1"/>
  <c r="V42" i="1"/>
  <c r="AN8" i="1"/>
  <c r="AE9" i="1"/>
  <c r="Y39" i="1"/>
  <c r="R30" i="1"/>
  <c r="AH34" i="1"/>
  <c r="D24" i="1"/>
  <c r="AN28" i="1"/>
  <c r="AL14" i="1"/>
  <c r="G19" i="1"/>
  <c r="X34" i="1"/>
  <c r="F30" i="1"/>
  <c r="T35" i="1"/>
  <c r="I39" i="1"/>
  <c r="Y17" i="1"/>
  <c r="AC32" i="1"/>
  <c r="AE13" i="1"/>
  <c r="AK21" i="1"/>
  <c r="AD20" i="1"/>
  <c r="AN34" i="1"/>
  <c r="R24" i="1"/>
  <c r="AD18" i="1"/>
  <c r="AL35" i="1"/>
  <c r="O17" i="1"/>
  <c r="B20" i="1"/>
  <c r="W14" i="1"/>
  <c r="AG16" i="1"/>
  <c r="B43" i="1"/>
  <c r="AK17" i="1"/>
  <c r="G21" i="1"/>
  <c r="AL36" i="1"/>
  <c r="T20" i="1"/>
  <c r="AC36" i="1"/>
  <c r="AI20" i="1"/>
  <c r="U8" i="1"/>
  <c r="AH21" i="1"/>
  <c r="Y5" i="1"/>
  <c r="K19" i="1"/>
  <c r="G7" i="1"/>
  <c r="AF40" i="1"/>
  <c r="X13" i="1"/>
  <c r="N20" i="1"/>
  <c r="AM43" i="1"/>
  <c r="X20" i="1"/>
  <c r="F44" i="1"/>
  <c r="AN29" i="1"/>
  <c r="Q14" i="1"/>
  <c r="R23" i="1"/>
  <c r="AM10" i="1"/>
  <c r="L6" i="1"/>
  <c r="H22" i="1"/>
  <c r="L25" i="1"/>
  <c r="P26" i="1"/>
  <c r="AA25" i="1"/>
  <c r="AH16" i="1"/>
  <c r="AI16" i="1"/>
  <c r="AF31" i="1"/>
  <c r="U9" i="1"/>
  <c r="AN10" i="1"/>
  <c r="Y30" i="1"/>
  <c r="AL6" i="1"/>
  <c r="AM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E53874-6319-4CB0-97D2-89F4A35A5C11}" keepAlive="1" name="查询 - 表1" description="与工作簿中“表1”查询的连接。" type="5" refreshedVersion="0" background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<sst xmlns="http://schemas.openxmlformats.org/spreadsheetml/2006/main" count="472" uniqueCount="207">
  <si>
    <t>选手</t>
    <phoneticPr fontId="2" type="noConversion"/>
  </si>
  <si>
    <t>图池数</t>
    <phoneticPr fontId="2" type="noConversion"/>
  </si>
  <si>
    <t>rating</t>
    <phoneticPr fontId="2" type="noConversion"/>
  </si>
  <si>
    <t>KPR</t>
    <phoneticPr fontId="2" type="noConversion"/>
  </si>
  <si>
    <t>DPR</t>
    <phoneticPr fontId="2" type="noConversion"/>
  </si>
  <si>
    <t>ADR</t>
    <phoneticPr fontId="2" type="noConversion"/>
  </si>
  <si>
    <t>VS Top5</t>
    <phoneticPr fontId="2" type="noConversion"/>
  </si>
  <si>
    <t>图池</t>
    <phoneticPr fontId="2" type="noConversion"/>
  </si>
  <si>
    <t>VS Top10</t>
    <phoneticPr fontId="2" type="noConversion"/>
  </si>
  <si>
    <t>手枪局rating</t>
    <phoneticPr fontId="2" type="noConversion"/>
  </si>
  <si>
    <t>首杀rating</t>
    <phoneticPr fontId="2" type="noConversion"/>
  </si>
  <si>
    <t>图池数</t>
  </si>
  <si>
    <t>rating</t>
  </si>
  <si>
    <t>rounds</t>
  </si>
  <si>
    <t>CTrating</t>
  </si>
  <si>
    <t>Trating</t>
  </si>
  <si>
    <t>首杀尝试</t>
  </si>
  <si>
    <t>首杀成功</t>
  </si>
  <si>
    <t>首杀rating</t>
  </si>
  <si>
    <t>手枪局rating</t>
  </si>
  <si>
    <t>DPR</t>
  </si>
  <si>
    <t>KAST</t>
  </si>
  <si>
    <t>ADR</t>
  </si>
  <si>
    <t>KPR</t>
  </si>
  <si>
    <t>map vs top5</t>
  </si>
  <si>
    <t>rating vs top5</t>
  </si>
  <si>
    <t>map vs top10</t>
  </si>
  <si>
    <t>rating vs top10</t>
  </si>
  <si>
    <t>0.85+</t>
  </si>
  <si>
    <t>1.00+</t>
  </si>
  <si>
    <t>1.15+</t>
  </si>
  <si>
    <t>1.30+</t>
  </si>
  <si>
    <t>排名</t>
    <phoneticPr fontId="2" type="noConversion"/>
  </si>
  <si>
    <t>基础数据</t>
    <phoneticPr fontId="2" type="noConversion"/>
  </si>
  <si>
    <t>对阵高水平队伍</t>
    <phoneticPr fontId="2" type="noConversion"/>
  </si>
  <si>
    <t>影响力数据</t>
    <phoneticPr fontId="2" type="noConversion"/>
  </si>
  <si>
    <t>稳定性与上下限</t>
    <phoneticPr fontId="2" type="noConversion"/>
  </si>
  <si>
    <t>获胜    回合  KPR</t>
    <phoneticPr fontId="2" type="noConversion"/>
  </si>
  <si>
    <t>获胜    回合ADR</t>
    <phoneticPr fontId="2" type="noConversion"/>
  </si>
  <si>
    <t>失败   回合   存活率</t>
    <phoneticPr fontId="2" type="noConversion"/>
  </si>
  <si>
    <t>kill per round win</t>
  </si>
  <si>
    <t>elimination rating</t>
  </si>
  <si>
    <t>adr win</t>
  </si>
  <si>
    <t>win after first kill</t>
  </si>
  <si>
    <t>save per round lose</t>
  </si>
  <si>
    <t>damage per kill</t>
  </si>
  <si>
    <t>last alive percentage</t>
  </si>
  <si>
    <t>kpr lose</t>
  </si>
  <si>
    <t>adr lose</t>
  </si>
  <si>
    <t>assist kill percentage</t>
  </si>
  <si>
    <t>左侧的排名非实际排名，仅供参考                                                                                           排名按照rating从高到低排序</t>
  </si>
  <si>
    <t>VS TOP20</t>
    <phoneticPr fontId="2" type="noConversion"/>
  </si>
  <si>
    <t>KD diff</t>
  </si>
  <si>
    <t>map vs top20</t>
  </si>
  <si>
    <t>rating vs top20</t>
  </si>
  <si>
    <t>回合首杀数</t>
  </si>
  <si>
    <t>Rounds with a kill</t>
  </si>
  <si>
    <t>ROunds with a multikill</t>
  </si>
  <si>
    <t>3+kill</t>
  </si>
  <si>
    <t>clutch win</t>
  </si>
  <si>
    <t>clutch point per round</t>
  </si>
  <si>
    <t>traded_kill</t>
  </si>
  <si>
    <t>traded_death</t>
  </si>
  <si>
    <t>flash_assist</t>
  </si>
  <si>
    <t>utility_damage</t>
  </si>
  <si>
    <t>firepower</t>
  </si>
  <si>
    <t>entrying</t>
  </si>
  <si>
    <t>trading</t>
  </si>
  <si>
    <t>opening</t>
  </si>
  <si>
    <t>clutching</t>
  </si>
  <si>
    <t>sniping</t>
  </si>
  <si>
    <t>utility</t>
  </si>
  <si>
    <t>KD差</t>
    <phoneticPr fontId="2" type="noConversion"/>
  </si>
  <si>
    <t>不同阵营数据</t>
    <phoneticPr fontId="2" type="noConversion"/>
  </si>
  <si>
    <t>CT rating</t>
    <phoneticPr fontId="2" type="noConversion"/>
  </si>
  <si>
    <t>traded_death_percentage</t>
  </si>
  <si>
    <t>HS%</t>
  </si>
  <si>
    <t>singlemapwinrating</t>
  </si>
  <si>
    <t>save_teammate</t>
  </si>
  <si>
    <t>saved_by_teammate</t>
  </si>
  <si>
    <t>support_round_percent</t>
  </si>
  <si>
    <t>attack_in_round</t>
  </si>
  <si>
    <t>winrate_1v1</t>
  </si>
  <si>
    <t>livetime_perround</t>
  </si>
  <si>
    <t>snipkill_perround</t>
  </si>
  <si>
    <t>snipkill_percent</t>
  </si>
  <si>
    <t>snipkillround_percent</t>
  </si>
  <si>
    <t>utlility_kill_round</t>
  </si>
  <si>
    <t>throw_flash_perround</t>
  </si>
  <si>
    <t>time_opponent_flashed</t>
  </si>
  <si>
    <t>elimination round</t>
  </si>
  <si>
    <t>-</t>
  </si>
  <si>
    <t>首杀   尝试率</t>
    <phoneticPr fontId="2" type="noConversion"/>
  </si>
  <si>
    <t>回合   首杀</t>
    <phoneticPr fontId="2" type="noConversion"/>
  </si>
  <si>
    <t>击杀   回合   占比</t>
    <phoneticPr fontId="2" type="noConversion"/>
  </si>
  <si>
    <t>多杀   回合   占比</t>
    <phoneticPr fontId="2" type="noConversion"/>
  </si>
  <si>
    <t>残局   胜利</t>
    <phoneticPr fontId="2" type="noConversion"/>
  </si>
  <si>
    <t>回合   补枪    击杀</t>
    <phoneticPr fontId="2" type="noConversion"/>
  </si>
  <si>
    <t>回合   被补   死亡</t>
    <phoneticPr fontId="2" type="noConversion"/>
  </si>
  <si>
    <t>被补   死亡   占比</t>
    <phoneticPr fontId="2" type="noConversion"/>
  </si>
  <si>
    <t>0.85+  地图  rating  占比</t>
    <phoneticPr fontId="2" type="noConversion"/>
  </si>
  <si>
    <t>1.00+  地图  rating  占比</t>
    <phoneticPr fontId="2" type="noConversion"/>
  </si>
  <si>
    <t>1.15+  地图  rating  占比</t>
    <phoneticPr fontId="2" type="noConversion"/>
  </si>
  <si>
    <t>1.30+  地图  rating  占比</t>
    <phoneticPr fontId="2" type="noConversion"/>
  </si>
  <si>
    <t>补枪  击杀  占比</t>
    <phoneticPr fontId="2" type="noConversion"/>
  </si>
  <si>
    <t>trade_kill_percentage</t>
  </si>
  <si>
    <t>RS%</t>
    <phoneticPr fontId="2" type="noConversion"/>
  </si>
  <si>
    <t>Kast%</t>
    <phoneticPr fontId="2" type="noConversion"/>
  </si>
  <si>
    <t>ea     多杀    Rating</t>
    <phoneticPr fontId="2" type="noConversion"/>
  </si>
  <si>
    <t>ea DPR</t>
    <phoneticPr fontId="2" type="noConversion"/>
  </si>
  <si>
    <t>ea ADR</t>
    <phoneticPr fontId="2" type="noConversion"/>
  </si>
  <si>
    <t>ea  KPR</t>
    <phoneticPr fontId="2" type="noConversion"/>
  </si>
  <si>
    <t>ea KAST%</t>
    <phoneticPr fontId="2" type="noConversion"/>
  </si>
  <si>
    <t>RS</t>
  </si>
  <si>
    <t>DPR_eco</t>
  </si>
  <si>
    <t>KAST_eco</t>
  </si>
  <si>
    <t>MULTIKILL_eco</t>
  </si>
  <si>
    <t>ADR_eco</t>
  </si>
  <si>
    <t>KPR_eco</t>
  </si>
  <si>
    <t>枪械调整版本的基础数据</t>
    <phoneticPr fontId="2" type="noConversion"/>
  </si>
  <si>
    <t>rating 3.0</t>
    <phoneticPr fontId="2" type="noConversion"/>
  </si>
  <si>
    <t>T    rating</t>
    <phoneticPr fontId="2" type="noConversion"/>
  </si>
  <si>
    <t>1.45+地图Rating占比</t>
    <phoneticPr fontId="2" type="noConversion"/>
  </si>
  <si>
    <t>首杀     成功率</t>
    <phoneticPr fontId="2" type="noConversion"/>
  </si>
  <si>
    <t>1.45+</t>
  </si>
  <si>
    <t>选手ID</t>
  </si>
  <si>
    <t>luchov</t>
  </si>
  <si>
    <t>Magnojez</t>
  </si>
  <si>
    <t>dgt</t>
  </si>
  <si>
    <t>Boombl4</t>
  </si>
  <si>
    <t>HUASOPEEK</t>
  </si>
  <si>
    <t>d1Ledez</t>
  </si>
  <si>
    <t>zorte</t>
  </si>
  <si>
    <t>meyern</t>
  </si>
  <si>
    <t>max</t>
  </si>
  <si>
    <t>frozen</t>
  </si>
  <si>
    <t>insani</t>
  </si>
  <si>
    <t>Jee</t>
  </si>
  <si>
    <t>Twistzz</t>
  </si>
  <si>
    <t>Sdaim</t>
  </si>
  <si>
    <t>Zero</t>
  </si>
  <si>
    <t>JBOEN</t>
  </si>
  <si>
    <t>sjuush</t>
  </si>
  <si>
    <t>KRIMZ</t>
  </si>
  <si>
    <t>zweih</t>
  </si>
  <si>
    <t>blameF</t>
  </si>
  <si>
    <t>lux</t>
  </si>
  <si>
    <t>bobeksde</t>
  </si>
  <si>
    <t>s1zzi</t>
  </si>
  <si>
    <t>r3salt</t>
  </si>
  <si>
    <t>xiELO</t>
  </si>
  <si>
    <t>maxster</t>
  </si>
  <si>
    <t>JDC</t>
  </si>
  <si>
    <t>Westmelon</t>
  </si>
  <si>
    <t>Mercury</t>
  </si>
  <si>
    <t>kensizor</t>
  </si>
  <si>
    <t>eraa</t>
  </si>
  <si>
    <t>Neityu</t>
  </si>
  <si>
    <t>avid</t>
  </si>
  <si>
    <t>nqz</t>
  </si>
  <si>
    <t>tex1y</t>
  </si>
  <si>
    <t>slaxejezzz</t>
  </si>
  <si>
    <t>z4KR</t>
  </si>
  <si>
    <t>Lucky</t>
  </si>
  <si>
    <t>MoDo</t>
  </si>
  <si>
    <t>JamYoung</t>
  </si>
  <si>
    <t>twist</t>
  </si>
  <si>
    <t>tabseN</t>
  </si>
  <si>
    <t>mag1k3Y</t>
  </si>
  <si>
    <t>upE</t>
  </si>
  <si>
    <t>venomzera</t>
  </si>
  <si>
    <t>esenthial</t>
  </si>
  <si>
    <t>jcobbb</t>
  </si>
  <si>
    <t>Moseyuh</t>
  </si>
  <si>
    <t>Starry</t>
  </si>
  <si>
    <t>gr1ks</t>
  </si>
  <si>
    <t>faveN</t>
  </si>
  <si>
    <t>Jame</t>
  </si>
  <si>
    <t>npl</t>
  </si>
  <si>
    <t>Rainwaker</t>
  </si>
  <si>
    <t>JW</t>
  </si>
  <si>
    <t>Kursy</t>
  </si>
  <si>
    <t>Snappi</t>
  </si>
  <si>
    <t>n0te</t>
  </si>
  <si>
    <t>brnz4n</t>
  </si>
  <si>
    <t>xKacpersky</t>
  </si>
  <si>
    <t>afro</t>
  </si>
  <si>
    <t>Ro1f</t>
  </si>
  <si>
    <t>stavn</t>
  </si>
  <si>
    <t>C4LLM3SU3</t>
  </si>
  <si>
    <t>HObbit</t>
  </si>
  <si>
    <t>LNZ</t>
  </si>
  <si>
    <t>Bymas</t>
  </si>
  <si>
    <t>AZUWU</t>
  </si>
  <si>
    <t>misutaaa</t>
  </si>
  <si>
    <t>S1ren</t>
  </si>
  <si>
    <t>dex</t>
  </si>
  <si>
    <t>alex666</t>
  </si>
  <si>
    <t>stressarN</t>
  </si>
  <si>
    <t>SELLTER</t>
  </si>
  <si>
    <t>EmiliaQAQ</t>
  </si>
  <si>
    <t>Maka</t>
  </si>
  <si>
    <t>SHOCK</t>
  </si>
  <si>
    <t>kisserek</t>
  </si>
  <si>
    <t>beastik</t>
  </si>
  <si>
    <t>Graviti</t>
  </si>
  <si>
    <t>XPL广州站 赛事数据  made by @Viston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</si>
</sst>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%"/>
    <numFmt numFmtId="177" formatCode="0.0"/>
    <numFmt numFmtId="178" formatCode="0.000"/>
    <numFmt numFmtId="179" formatCode="0.00_);[Red]\(0.00\)"/>
    <numFmt numFmtId="180" formatCode="0.0_);[Red]\(0.0\)"/>
  </numFmts>
  <fonts count="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6" fontId="0" fillId="0" borderId="0" xfId="1" applyNumberFormat="1" applyFont="1">
      <alignment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 wrapText="1"/>
    </xf>
    <xf numFmtId="0" fontId="0" fillId="0" borderId="0" xfId="0" applyAlignment="1"/>
    <xf numFmtId="10" fontId="0" fillId="0" borderId="0" xfId="0" applyNumberFormat="1" applyAlignment="1"/>
    <xf numFmtId="0" fontId="0" fillId="0" borderId="1" xfId="0" applyBorder="1">
      <alignment vertical="center"/>
    </xf>
    <xf numFmtId="2" fontId="0" fillId="0" borderId="1" xfId="0" applyNumberFormat="1" applyBorder="1" applyAlignment="1">
      <alignment horizontal="center" vertical="center"/>
    </xf>
    <xf numFmtId="176" fontId="0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>
      <alignment vertical="center"/>
    </xf>
    <xf numFmtId="178" fontId="0" fillId="0" borderId="1" xfId="0" applyNumberForma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179" fontId="6" fillId="0" borderId="1" xfId="1" applyNumberFormat="1" applyFont="1" applyBorder="1" applyAlignment="1">
      <alignment horizontal="center" vertical="center" wrapText="1"/>
    </xf>
    <xf numFmtId="180" fontId="6" fillId="0" borderId="1" xfId="1" applyNumberFormat="1" applyFont="1" applyBorder="1" applyAlignment="1">
      <alignment horizontal="center" vertical="center" wrapText="1"/>
    </xf>
    <xf numFmtId="180" fontId="0" fillId="0" borderId="0" xfId="1" applyNumberFormat="1" applyFont="1">
      <alignment vertical="center"/>
    </xf>
    <xf numFmtId="179" fontId="0" fillId="0" borderId="0" xfId="1" applyNumberFormat="1" applyFont="1" applyAlignment="1">
      <alignment vertical="center" wrapText="1"/>
    </xf>
    <xf numFmtId="180" fontId="0" fillId="0" borderId="0" xfId="1" applyNumberFormat="1" applyFont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80" fontId="3" fillId="0" borderId="1" xfId="1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76" fontId="3" fillId="0" borderId="1" xfId="1" applyNumberFormat="1" applyFont="1" applyBorder="1" applyAlignment="1">
      <alignment horizontal="center" vertical="center" wrapText="1"/>
    </xf>
    <xf numFmtId="179" fontId="0" fillId="0" borderId="1" xfId="0" applyNumberFormat="1" applyBorder="1" applyAlignment="1">
      <alignment horizontal="center" vertical="center" wrapText="1"/>
    </xf>
    <xf numFmtId="180" fontId="0" fillId="0" borderId="1" xfId="0" applyNumberForma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7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6" fontId="7" fillId="0" borderId="7" xfId="1" applyNumberFormat="1" applyFont="1" applyBorder="1" applyAlignment="1">
      <alignment horizontal="center" vertical="center" wrapText="1"/>
    </xf>
    <xf numFmtId="176" fontId="7" fillId="0" borderId="8" xfId="1" applyNumberFormat="1" applyFont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2CDC-A35B-46F5-9264-B306814308BE}">
  <dimension ref="A1:CL184"/>
  <sheetViews>
    <sheetView tabSelected="1" topLeftCell="A55" zoomScale="75" zoomScaleNormal="75" workbookViewId="0">
      <pane xSplit="1" topLeftCell="B1" activePane="topRight" state="frozen"/>
      <selection pane="topRight" activeCell="Q93" sqref="Q93"/>
    </sheetView>
  </sheetViews>
  <sheetFormatPr defaultColWidth="6.08203125" defaultRowHeight="19.899999999999999" customHeight="1" x14ac:dyDescent="0.3"/>
  <cols>
    <col min="2" max="2" width="11.83203125" customWidth="1"/>
    <col min="3" max="9" width="6.08203125" bestFit="1" customWidth="1"/>
    <col min="10" max="10" width="6.08203125" style="22" bestFit="1" customWidth="1"/>
    <col min="11" max="11" width="6.08203125" style="23" bestFit="1" customWidth="1"/>
    <col min="12" max="12" width="6.08203125" style="24" customWidth="1"/>
    <col min="13" max="13" width="6.08203125" style="23" customWidth="1"/>
    <col min="14" max="14" width="6.08203125" style="24" bestFit="1" customWidth="1"/>
    <col min="15" max="15" width="6.08203125" style="23" bestFit="1" customWidth="1"/>
    <col min="16" max="28" width="6.08203125" bestFit="1" customWidth="1"/>
    <col min="29" max="29" width="7" bestFit="1" customWidth="1"/>
    <col min="30" max="30" width="6.08203125" bestFit="1" customWidth="1"/>
    <col min="31" max="31" width="6.08203125" style="3" bestFit="1" customWidth="1"/>
    <col min="32" max="32" width="6.08203125" bestFit="1" customWidth="1"/>
    <col min="33" max="38" width="6.08203125" style="3" bestFit="1" customWidth="1"/>
    <col min="39" max="41" width="7" bestFit="1" customWidth="1"/>
    <col min="42" max="42" width="6.08203125" bestFit="1" customWidth="1"/>
    <col min="77" max="77" width="7" bestFit="1" customWidth="1"/>
  </cols>
  <sheetData>
    <row r="1" spans="1:50" ht="55.5" customHeight="1" x14ac:dyDescent="0.3">
      <c r="A1" s="29" t="s">
        <v>50</v>
      </c>
      <c r="B1" s="30"/>
      <c r="C1" s="30"/>
      <c r="D1" s="30"/>
      <c r="E1" s="30"/>
      <c r="F1" s="30"/>
      <c r="G1" s="30"/>
      <c r="H1" s="30"/>
      <c r="I1" s="30"/>
      <c r="J1" s="31"/>
      <c r="K1" s="43" t="s">
        <v>206</v>
      </c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18"/>
      <c r="AS1" s="18"/>
      <c r="AT1" s="18"/>
      <c r="AU1" s="18"/>
      <c r="AV1" s="18"/>
      <c r="AW1" s="18"/>
      <c r="AX1" s="19"/>
    </row>
    <row r="2" spans="1:50" ht="30.75" customHeight="1" x14ac:dyDescent="0.3">
      <c r="A2" s="4"/>
      <c r="B2" s="14"/>
      <c r="C2" s="33" t="s">
        <v>33</v>
      </c>
      <c r="D2" s="33"/>
      <c r="E2" s="33"/>
      <c r="F2" s="33"/>
      <c r="G2" s="33"/>
      <c r="H2" s="33"/>
      <c r="I2" s="33"/>
      <c r="J2" s="33"/>
      <c r="K2" s="33" t="s">
        <v>119</v>
      </c>
      <c r="L2" s="33"/>
      <c r="M2" s="33"/>
      <c r="N2" s="33"/>
      <c r="O2" s="33"/>
      <c r="P2" s="33" t="s">
        <v>34</v>
      </c>
      <c r="Q2" s="33"/>
      <c r="R2" s="33"/>
      <c r="S2" s="33"/>
      <c r="T2" s="33"/>
      <c r="U2" s="33"/>
      <c r="V2" s="33" t="s">
        <v>73</v>
      </c>
      <c r="W2" s="33"/>
      <c r="X2" s="33" t="s">
        <v>35</v>
      </c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 t="s">
        <v>36</v>
      </c>
      <c r="AN2" s="33"/>
      <c r="AO2" s="33"/>
      <c r="AP2" s="33"/>
      <c r="AQ2" s="33"/>
      <c r="AR2" s="27"/>
      <c r="AS2" s="27"/>
      <c r="AT2" s="27"/>
      <c r="AU2" s="27"/>
      <c r="AV2" s="27"/>
      <c r="AW2" s="27"/>
      <c r="AX2" s="28"/>
    </row>
    <row r="3" spans="1:50" ht="44.25" customHeight="1" x14ac:dyDescent="0.3">
      <c r="A3" s="32" t="s">
        <v>32</v>
      </c>
      <c r="B3" s="32" t="s">
        <v>0</v>
      </c>
      <c r="C3" s="32" t="s">
        <v>1</v>
      </c>
      <c r="D3" s="32" t="s">
        <v>120</v>
      </c>
      <c r="E3" s="34" t="s">
        <v>72</v>
      </c>
      <c r="F3" s="32" t="s">
        <v>3</v>
      </c>
      <c r="G3" s="32" t="s">
        <v>4</v>
      </c>
      <c r="H3" s="32" t="s">
        <v>5</v>
      </c>
      <c r="I3" s="32" t="s">
        <v>106</v>
      </c>
      <c r="J3" s="36" t="s">
        <v>107</v>
      </c>
      <c r="K3" s="39" t="s">
        <v>109</v>
      </c>
      <c r="L3" s="40" t="s">
        <v>112</v>
      </c>
      <c r="M3" s="39" t="s">
        <v>108</v>
      </c>
      <c r="N3" s="40" t="s">
        <v>110</v>
      </c>
      <c r="O3" s="39" t="s">
        <v>111</v>
      </c>
      <c r="P3" s="32" t="s">
        <v>6</v>
      </c>
      <c r="Q3" s="32"/>
      <c r="R3" s="32" t="s">
        <v>8</v>
      </c>
      <c r="S3" s="32"/>
      <c r="T3" s="37" t="s">
        <v>51</v>
      </c>
      <c r="U3" s="37"/>
      <c r="V3" s="41" t="s">
        <v>74</v>
      </c>
      <c r="W3" s="41" t="s">
        <v>121</v>
      </c>
      <c r="X3" s="37" t="s">
        <v>9</v>
      </c>
      <c r="Y3" s="37" t="s">
        <v>37</v>
      </c>
      <c r="Z3" s="32" t="s">
        <v>38</v>
      </c>
      <c r="AA3" s="32" t="s">
        <v>39</v>
      </c>
      <c r="AB3" s="37" t="s">
        <v>92</v>
      </c>
      <c r="AC3" s="37" t="s">
        <v>123</v>
      </c>
      <c r="AD3" s="32" t="s">
        <v>93</v>
      </c>
      <c r="AE3" s="37" t="s">
        <v>10</v>
      </c>
      <c r="AF3" s="32" t="s">
        <v>94</v>
      </c>
      <c r="AG3" s="38" t="s">
        <v>95</v>
      </c>
      <c r="AH3" s="32" t="s">
        <v>96</v>
      </c>
      <c r="AI3" s="44" t="s">
        <v>97</v>
      </c>
      <c r="AJ3" s="46" t="s">
        <v>104</v>
      </c>
      <c r="AK3" s="46" t="s">
        <v>98</v>
      </c>
      <c r="AL3" s="38" t="s">
        <v>99</v>
      </c>
      <c r="AM3" s="38" t="s">
        <v>100</v>
      </c>
      <c r="AN3" s="38" t="s">
        <v>101</v>
      </c>
      <c r="AO3" s="38" t="s">
        <v>102</v>
      </c>
      <c r="AP3" s="38" t="s">
        <v>103</v>
      </c>
      <c r="AQ3" s="32" t="s">
        <v>122</v>
      </c>
      <c r="AR3" s="25"/>
      <c r="AS3" s="32"/>
      <c r="AT3" s="32"/>
      <c r="AU3" s="32"/>
      <c r="AV3" s="32"/>
      <c r="AW3" s="32"/>
      <c r="AX3" s="32"/>
    </row>
    <row r="4" spans="1:50" ht="27" customHeight="1" x14ac:dyDescent="0.3">
      <c r="A4" s="32"/>
      <c r="B4" s="32"/>
      <c r="C4" s="32"/>
      <c r="D4" s="32"/>
      <c r="E4" s="35"/>
      <c r="F4" s="32"/>
      <c r="G4" s="32"/>
      <c r="H4" s="32"/>
      <c r="I4" s="32"/>
      <c r="J4" s="36"/>
      <c r="K4" s="39"/>
      <c r="L4" s="40"/>
      <c r="M4" s="39"/>
      <c r="N4" s="40"/>
      <c r="O4" s="39"/>
      <c r="P4" s="1" t="s">
        <v>7</v>
      </c>
      <c r="Q4" s="1" t="s">
        <v>2</v>
      </c>
      <c r="R4" s="1" t="s">
        <v>7</v>
      </c>
      <c r="S4" s="1" t="s">
        <v>2</v>
      </c>
      <c r="T4" s="13" t="s">
        <v>7</v>
      </c>
      <c r="U4" s="13" t="s">
        <v>2</v>
      </c>
      <c r="V4" s="42"/>
      <c r="W4" s="42"/>
      <c r="X4" s="37"/>
      <c r="Y4" s="37"/>
      <c r="Z4" s="32"/>
      <c r="AA4" s="32"/>
      <c r="AB4" s="37"/>
      <c r="AC4" s="37"/>
      <c r="AD4" s="32"/>
      <c r="AE4" s="37"/>
      <c r="AF4" s="45"/>
      <c r="AG4" s="38"/>
      <c r="AH4" s="32"/>
      <c r="AI4" s="38"/>
      <c r="AJ4" s="47"/>
      <c r="AK4" s="47"/>
      <c r="AL4" s="38"/>
      <c r="AM4" s="38"/>
      <c r="AN4" s="38"/>
      <c r="AO4" s="38"/>
      <c r="AP4" s="38"/>
      <c r="AQ4" s="32"/>
      <c r="AR4" s="26"/>
      <c r="AS4" s="1"/>
      <c r="AT4" s="1"/>
      <c r="AU4" s="1"/>
      <c r="AV4" s="1"/>
      <c r="AW4" s="1"/>
      <c r="AX4" s="1"/>
    </row>
    <row r="5" spans="1:50" ht="19.899999999999999" customHeight="1" x14ac:dyDescent="0.3">
      <c r="A5" s="2">
        <v>1</v>
      </c>
      <c r="B5" s="13" t="str">
        <f t="shared" ref="B5:D5" ca="1" si="0">INDIRECT(ADDRESS(ROW($B103),COLUMN()))</f>
        <v>Magnojez</v>
      </c>
      <c r="C5" s="5">
        <f t="shared" ca="1" si="0"/>
        <v>7</v>
      </c>
      <c r="D5" s="6">
        <f t="shared" ca="1" si="0"/>
        <v>1.44</v>
      </c>
      <c r="E5" s="15">
        <f t="shared" ref="E5:E68" ca="1" si="1">INDIRECT(ADDRESS(ROW($V103),COLUMN($V103)))</f>
        <v>19</v>
      </c>
      <c r="F5" s="6">
        <f t="shared" ref="F5:F68" ca="1" si="2">INDIRECT(ADDRESS(ROW($P103),COLUMN($P103)))</f>
        <v>0.88</v>
      </c>
      <c r="G5" s="6">
        <f t="shared" ref="G5:G68" ca="1" si="3">INDIRECT(ADDRESS(ROW($L103),COLUMN($L103)))</f>
        <v>0.75</v>
      </c>
      <c r="H5" s="7">
        <f t="shared" ref="H5:H68" ca="1" si="4">INDIRECT(ADDRESS(ROW($O103),COLUMN($O103)))</f>
        <v>97.8</v>
      </c>
      <c r="I5" s="6">
        <f t="shared" ref="I5:I68" ca="1" si="5">INDIRECT(ADDRESS(ROW($N103),COLUMN($N103)))</f>
        <v>4.9000000000000004</v>
      </c>
      <c r="J5" s="21">
        <f ca="1">INDIRECT(ADDRESS(ROW($M103),COLUMN($M103)))</f>
        <v>75.3</v>
      </c>
      <c r="K5" s="20">
        <f ca="1">INDIRECT(ADDRESS(ROW($Q103),COLUMN($Q103)))</f>
        <v>0.76</v>
      </c>
      <c r="L5" s="21">
        <f ca="1">INDIRECT(ADDRESS(ROW($R103),COLUMN($R103)))</f>
        <v>72.8</v>
      </c>
      <c r="M5" s="20">
        <f ca="1">INDIRECT(ADDRESS(ROW($S103),COLUMN($S103)))</f>
        <v>1.34</v>
      </c>
      <c r="N5" s="21">
        <f ca="1">INDIRECT(ADDRESS(ROW($T103),COLUMN($T103)))</f>
        <v>97.6</v>
      </c>
      <c r="O5" s="20">
        <f ca="1">INDIRECT(ADDRESS(ROW($U103),COLUMN($U103)))</f>
        <v>0.89</v>
      </c>
      <c r="P5" s="4">
        <f t="shared" ref="P5:P68" ca="1" si="6">INDIRECT(ADDRESS(ROW($W103),COLUMN($W103)))</f>
        <v>0</v>
      </c>
      <c r="Q5" s="11" t="str">
        <f t="shared" ref="Q5:Q68" ca="1" si="7">INDIRECT(ADDRESS(ROW($X103),COLUMN($X103)))</f>
        <v>-</v>
      </c>
      <c r="R5" s="4">
        <f t="shared" ref="R5:R68" ca="1" si="8">INDIRECT(ADDRESS(ROW($Y103),COLUMN($Y103)))</f>
        <v>0</v>
      </c>
      <c r="S5" s="11" t="str">
        <f t="shared" ref="S5:S68" ca="1" si="9">INDIRECT(ADDRESS(ROW($Z103),COLUMN($Z103)))</f>
        <v>-</v>
      </c>
      <c r="T5" s="4">
        <f t="shared" ref="T5:T68" ca="1" si="10">INDIRECT(ADDRESS(ROW($AA103),COLUMN($AA103)))</f>
        <v>2</v>
      </c>
      <c r="U5" s="11">
        <f t="shared" ref="U5:U68" ca="1" si="11">INDIRECT(ADDRESS(ROW($AB103),COLUMN($AB103)))</f>
        <v>1.1299999999999999</v>
      </c>
      <c r="V5" s="11">
        <f t="shared" ref="V5:V68" ca="1" si="12">INDIRECT(ADDRESS(ROW($F103),COLUMN($F103)))</f>
        <v>1.41</v>
      </c>
      <c r="W5" s="11">
        <f t="shared" ref="W5:W68" ca="1" si="13">INDIRECT(ADDRESS(ROW($G103),COLUMN($G103)))</f>
        <v>1.47</v>
      </c>
      <c r="X5" s="4">
        <f t="shared" ref="X5:X68" ca="1" si="14">INDIRECT(ADDRESS(ROW($K103),COLUMN($K103)))</f>
        <v>1.44</v>
      </c>
      <c r="Y5" s="11">
        <f t="shared" ref="Y5:Y68" ca="1" si="15">INDIRECT(ADDRESS(ROW($AN103),COLUMN($AN103)))</f>
        <v>1.25</v>
      </c>
      <c r="Z5" s="4">
        <f t="shared" ref="Z5:Z68" ca="1" si="16">INDIRECT(ADDRESS(ROW($AQ103),COLUMN($AQ103)))</f>
        <v>131</v>
      </c>
      <c r="AA5" s="12">
        <f t="shared" ref="AA5:AA68" ca="1" si="17">INDIRECT(ADDRESS(ROW($AS103),COLUMN($AS103)))</f>
        <v>2.7E-2</v>
      </c>
      <c r="AB5" s="12">
        <f t="shared" ref="AB5:AB68" ca="1" si="18">INDIRECT(ADDRESS(ROW($H103),COLUMN($H103)))</f>
        <v>0.28799999999999998</v>
      </c>
      <c r="AC5" s="12">
        <f t="shared" ref="AC5:AC68" ca="1" si="19">INDIRECT(ADDRESS(ROW($I103),COLUMN($I103)))</f>
        <v>0.47599999999999998</v>
      </c>
      <c r="AD5" s="17">
        <f t="shared" ref="AD5:AD68" ca="1" si="20">INDIRECT(ADDRESS(ROW($AC103),COLUMN($AC103)))</f>
        <v>0.13698630136986301</v>
      </c>
      <c r="AE5" s="11">
        <f t="shared" ref="AE5:AE68" ca="1" si="21">INDIRECT(ADDRESS(ROW($J103),COLUMN($J103)))</f>
        <v>1.1000000000000001</v>
      </c>
      <c r="AF5" s="12">
        <f t="shared" ref="AF5:AF68" ca="1" si="22">INDIRECT(ADDRESS(ROW($AD103),COLUMN($AD103)))</f>
        <v>0.53424657534246578</v>
      </c>
      <c r="AG5" s="12">
        <f t="shared" ref="AG5:AG68" ca="1" si="23">INDIRECT(ADDRESS(ROW($AE103),COLUMN($AE103)))</f>
        <v>0.23972602739726029</v>
      </c>
      <c r="AH5" s="4">
        <f t="shared" ref="AH5:AH68" ca="1" si="24">INDIRECT(ADDRESS(ROW($AL103),COLUMN($AL103)))</f>
        <v>2</v>
      </c>
      <c r="AI5" s="4">
        <f t="shared" ref="AI5:AI68" ca="1" si="25">INDIRECT(ADDRESS(ROW($AY103),COLUMN($AY103)))</f>
        <v>0.12</v>
      </c>
      <c r="AJ5" s="12">
        <f t="shared" ref="AJ5:AJ68" ca="1" si="26">INDIRECT(ADDRESS(ROW($BY103),COLUMN($BY103)))</f>
        <v>0.14099999999999999</v>
      </c>
      <c r="AK5" s="4">
        <f t="shared" ref="AK5:AK68" ca="1" si="27">INDIRECT(ADDRESS(ROW($BL103),COLUMN($BL103)))</f>
        <v>0.15</v>
      </c>
      <c r="AL5" s="12">
        <f t="shared" ref="AL5:AL68" ca="1" si="28">INDIRECT(ADDRESS(ROW($AZ103),COLUMN($AZ103)))</f>
        <v>0.20200000000000001</v>
      </c>
      <c r="AM5" s="12">
        <f t="shared" ref="AM5:AM68" ca="1" si="29">INDIRECT(ADDRESS(ROW($AG103),COLUMN($AG103)))/INDIRECT(ADDRESS(ROW($C103),COLUMN($C103)))</f>
        <v>0.8571428571428571</v>
      </c>
      <c r="AN5" s="12">
        <f t="shared" ref="AN5:AN68" ca="1" si="30">INDIRECT(ADDRESS(ROW($AH103),COLUMN($AH103)))/INDIRECT(ADDRESS(ROW($C103),COLUMN($C103)))</f>
        <v>0.8571428571428571</v>
      </c>
      <c r="AO5" s="12">
        <f t="shared" ref="AO5:AO68" ca="1" si="31">INDIRECT(ADDRESS(ROW($AI103),COLUMN($AI103)))/INDIRECT(ADDRESS(ROW($C103),COLUMN($C103)))</f>
        <v>0.8571428571428571</v>
      </c>
      <c r="AP5" s="12">
        <f ca="1">INDIRECT(ADDRESS(ROW($AJ103),COLUMN($AJ103)))/INDIRECT(ADDRESS(ROW($C103),COLUMN($C103)))</f>
        <v>0.8571428571428571</v>
      </c>
      <c r="AQ5" s="12">
        <f ca="1">INDIRECT(ADDRESS(ROW($AK103),COLUMN($AK103)))/INDIRECT(ADDRESS(ROW($C103),COLUMN($C103)))</f>
        <v>0.5714285714285714</v>
      </c>
      <c r="AR5" s="11"/>
      <c r="AS5" s="4"/>
      <c r="AT5" s="11"/>
      <c r="AU5" s="4"/>
      <c r="AV5" s="11"/>
      <c r="AW5" s="4"/>
      <c r="AX5" s="11"/>
    </row>
    <row r="6" spans="1:50" ht="19.899999999999999" customHeight="1" x14ac:dyDescent="0.3">
      <c r="A6" s="2">
        <v>2</v>
      </c>
      <c r="B6" s="13" t="str">
        <f t="shared" ref="B6:D6" ca="1" si="32">INDIRECT(ADDRESS(ROW($B104),COLUMN()))</f>
        <v>frozen</v>
      </c>
      <c r="C6" s="5">
        <f t="shared" ca="1" si="32"/>
        <v>14</v>
      </c>
      <c r="D6" s="6">
        <f t="shared" ca="1" si="32"/>
        <v>1.26</v>
      </c>
      <c r="E6" s="15">
        <f t="shared" ca="1" si="1"/>
        <v>66</v>
      </c>
      <c r="F6" s="6">
        <f t="shared" ca="1" si="2"/>
        <v>0.81</v>
      </c>
      <c r="G6" s="6">
        <f t="shared" ca="1" si="3"/>
        <v>0.6</v>
      </c>
      <c r="H6" s="7">
        <f t="shared" ca="1" si="4"/>
        <v>84.2</v>
      </c>
      <c r="I6" s="6">
        <f t="shared" ca="1" si="5"/>
        <v>2.23</v>
      </c>
      <c r="J6" s="21">
        <f t="shared" ref="J6:J69" ca="1" si="33">INDIRECT(ADDRESS(ROW($M104),COLUMN($M104)))</f>
        <v>74.900000000000006</v>
      </c>
      <c r="K6" s="20">
        <f t="shared" ref="K6:K69" ca="1" si="34">INDIRECT(ADDRESS(ROW($Q104),COLUMN($Q104)))</f>
        <v>0.63</v>
      </c>
      <c r="L6" s="21">
        <f t="shared" ref="L6:L69" ca="1" si="35">INDIRECT(ADDRESS(ROW($R104),COLUMN($R104)))</f>
        <v>73</v>
      </c>
      <c r="M6" s="20">
        <f t="shared" ref="M6:M69" ca="1" si="36">INDIRECT(ADDRESS(ROW($S104),COLUMN($S104)))</f>
        <v>1.29</v>
      </c>
      <c r="N6" s="21">
        <f t="shared" ref="N6:N69" ca="1" si="37">INDIRECT(ADDRESS(ROW($T104),COLUMN($T104)))</f>
        <v>83.2</v>
      </c>
      <c r="O6" s="20">
        <f t="shared" ref="O6:O69" ca="1" si="38">INDIRECT(ADDRESS(ROW($U104),COLUMN($U104)))</f>
        <v>0.81</v>
      </c>
      <c r="P6" s="4">
        <f t="shared" ca="1" si="6"/>
        <v>0</v>
      </c>
      <c r="Q6" s="11" t="str">
        <f t="shared" ca="1" si="7"/>
        <v>-</v>
      </c>
      <c r="R6" s="4">
        <f t="shared" ca="1" si="8"/>
        <v>2</v>
      </c>
      <c r="S6" s="11">
        <f t="shared" ca="1" si="9"/>
        <v>1.89</v>
      </c>
      <c r="T6" s="4">
        <f t="shared" ca="1" si="10"/>
        <v>5</v>
      </c>
      <c r="U6" s="11">
        <f t="shared" ca="1" si="11"/>
        <v>1.23</v>
      </c>
      <c r="V6" s="11">
        <f t="shared" ca="1" si="12"/>
        <v>1.27</v>
      </c>
      <c r="W6" s="11">
        <f t="shared" ca="1" si="13"/>
        <v>1.26</v>
      </c>
      <c r="X6" s="4">
        <f t="shared" ca="1" si="14"/>
        <v>1.59</v>
      </c>
      <c r="Y6" s="11">
        <f t="shared" ca="1" si="15"/>
        <v>1.06</v>
      </c>
      <c r="Z6" s="4">
        <f t="shared" ca="1" si="16"/>
        <v>113.2</v>
      </c>
      <c r="AA6" s="12">
        <f t="shared" ca="1" si="17"/>
        <v>8.8999999999999996E-2</v>
      </c>
      <c r="AB6" s="12">
        <f t="shared" ca="1" si="18"/>
        <v>0.192</v>
      </c>
      <c r="AC6" s="12">
        <f t="shared" ca="1" si="19"/>
        <v>0.53200000000000003</v>
      </c>
      <c r="AD6" s="17">
        <f t="shared" ca="1" si="20"/>
        <v>0.1021671826625387</v>
      </c>
      <c r="AE6" s="11">
        <f t="shared" ca="1" si="21"/>
        <v>1.03</v>
      </c>
      <c r="AF6" s="12">
        <f t="shared" ca="1" si="22"/>
        <v>0.50773993808049533</v>
      </c>
      <c r="AG6" s="12">
        <f t="shared" ca="1" si="23"/>
        <v>0.2198142414860681</v>
      </c>
      <c r="AH6" s="4">
        <f t="shared" ca="1" si="24"/>
        <v>6</v>
      </c>
      <c r="AI6" s="4">
        <f t="shared" ca="1" si="25"/>
        <v>0.18</v>
      </c>
      <c r="AJ6" s="12">
        <f t="shared" ca="1" si="26"/>
        <v>0.218</v>
      </c>
      <c r="AK6" s="4">
        <f t="shared" ca="1" si="27"/>
        <v>0.13</v>
      </c>
      <c r="AL6" s="12">
        <f t="shared" ca="1" si="28"/>
        <v>0.215</v>
      </c>
      <c r="AM6" s="12">
        <f t="shared" ca="1" si="29"/>
        <v>0.8571428571428571</v>
      </c>
      <c r="AN6" s="12">
        <f t="shared" ca="1" si="30"/>
        <v>0.7142857142857143</v>
      </c>
      <c r="AO6" s="12">
        <f t="shared" ca="1" si="31"/>
        <v>0.5714285714285714</v>
      </c>
      <c r="AP6" s="12">
        <f t="shared" ref="AP6:AP69" ca="1" si="39">INDIRECT(ADDRESS(ROW($AJ104),COLUMN($AJ104)))/INDIRECT(ADDRESS(ROW($C104),COLUMN($C104)))</f>
        <v>0.5</v>
      </c>
      <c r="AQ6" s="12">
        <f t="shared" ref="AQ6:AQ69" ca="1" si="40">INDIRECT(ADDRESS(ROW($AK104),COLUMN($AK104)))/INDIRECT(ADDRESS(ROW($C104),COLUMN($C104)))</f>
        <v>0.35714285714285715</v>
      </c>
      <c r="AR6" s="11"/>
      <c r="AS6" s="4"/>
      <c r="AT6" s="11"/>
      <c r="AU6" s="4"/>
      <c r="AV6" s="11"/>
      <c r="AW6" s="4"/>
      <c r="AX6" s="11"/>
    </row>
    <row r="7" spans="1:50" ht="19.899999999999999" customHeight="1" x14ac:dyDescent="0.3">
      <c r="A7" s="2">
        <v>3</v>
      </c>
      <c r="B7" s="13" t="str">
        <f t="shared" ref="B7:D7" ca="1" si="41">INDIRECT(ADDRESS(ROW($B105),COLUMN()))</f>
        <v>insani</v>
      </c>
      <c r="C7" s="5">
        <f t="shared" ca="1" si="41"/>
        <v>8</v>
      </c>
      <c r="D7" s="6">
        <f t="shared" ca="1" si="41"/>
        <v>1.24</v>
      </c>
      <c r="E7" s="15">
        <f t="shared" ca="1" si="1"/>
        <v>16</v>
      </c>
      <c r="F7" s="6">
        <f t="shared" ca="1" si="2"/>
        <v>0.78</v>
      </c>
      <c r="G7" s="6">
        <f t="shared" ca="1" si="3"/>
        <v>0.69</v>
      </c>
      <c r="H7" s="7">
        <f t="shared" ca="1" si="4"/>
        <v>87.4</v>
      </c>
      <c r="I7" s="6">
        <f t="shared" ca="1" si="5"/>
        <v>1.99</v>
      </c>
      <c r="J7" s="21">
        <f t="shared" ca="1" si="33"/>
        <v>69.8</v>
      </c>
      <c r="K7" s="20">
        <f t="shared" ca="1" si="34"/>
        <v>0.71</v>
      </c>
      <c r="L7" s="21">
        <f t="shared" ca="1" si="35"/>
        <v>67.599999999999994</v>
      </c>
      <c r="M7" s="20">
        <f t="shared" ca="1" si="36"/>
        <v>1.38</v>
      </c>
      <c r="N7" s="21">
        <f t="shared" ca="1" si="37"/>
        <v>86.5</v>
      </c>
      <c r="O7" s="20">
        <f t="shared" ca="1" si="38"/>
        <v>0.79</v>
      </c>
      <c r="P7" s="4">
        <f t="shared" ca="1" si="6"/>
        <v>0</v>
      </c>
      <c r="Q7" s="11" t="str">
        <f t="shared" ca="1" si="7"/>
        <v>-</v>
      </c>
      <c r="R7" s="4">
        <f t="shared" ca="1" si="8"/>
        <v>2</v>
      </c>
      <c r="S7" s="11">
        <f t="shared" ca="1" si="9"/>
        <v>1.41</v>
      </c>
      <c r="T7" s="4">
        <f t="shared" ca="1" si="10"/>
        <v>6</v>
      </c>
      <c r="U7" s="11">
        <f t="shared" ca="1" si="11"/>
        <v>1.1299999999999999</v>
      </c>
      <c r="V7" s="11">
        <f t="shared" ca="1" si="12"/>
        <v>1.17</v>
      </c>
      <c r="W7" s="11">
        <f t="shared" ca="1" si="13"/>
        <v>1.3</v>
      </c>
      <c r="X7" s="4">
        <f t="shared" ca="1" si="14"/>
        <v>0.9</v>
      </c>
      <c r="Y7" s="11">
        <f t="shared" ca="1" si="15"/>
        <v>1.24</v>
      </c>
      <c r="Z7" s="4">
        <f t="shared" ca="1" si="16"/>
        <v>122.8</v>
      </c>
      <c r="AA7" s="12">
        <f t="shared" ca="1" si="17"/>
        <v>6.5000000000000002E-2</v>
      </c>
      <c r="AB7" s="12">
        <f t="shared" ca="1" si="18"/>
        <v>0.251</v>
      </c>
      <c r="AC7" s="12">
        <f t="shared" ca="1" si="19"/>
        <v>0.53300000000000003</v>
      </c>
      <c r="AD7" s="17">
        <f t="shared" ca="1" si="20"/>
        <v>0.13407821229050279</v>
      </c>
      <c r="AE7" s="11">
        <f t="shared" ca="1" si="21"/>
        <v>1.1399999999999999</v>
      </c>
      <c r="AF7" s="12">
        <f t="shared" ca="1" si="22"/>
        <v>0.49162011173184361</v>
      </c>
      <c r="AG7" s="12">
        <f t="shared" ca="1" si="23"/>
        <v>0.1955307262569832</v>
      </c>
      <c r="AH7" s="4">
        <f t="shared" ca="1" si="24"/>
        <v>2</v>
      </c>
      <c r="AI7" s="4">
        <f t="shared" ca="1" si="25"/>
        <v>0.13</v>
      </c>
      <c r="AJ7" s="12">
        <f t="shared" ca="1" si="26"/>
        <v>0.17299999999999999</v>
      </c>
      <c r="AK7" s="4">
        <f t="shared" ca="1" si="27"/>
        <v>0.13</v>
      </c>
      <c r="AL7" s="12">
        <f t="shared" ca="1" si="28"/>
        <v>0.187</v>
      </c>
      <c r="AM7" s="12">
        <f t="shared" ca="1" si="29"/>
        <v>0.875</v>
      </c>
      <c r="AN7" s="12">
        <f t="shared" ca="1" si="30"/>
        <v>0.875</v>
      </c>
      <c r="AO7" s="12">
        <f t="shared" ca="1" si="31"/>
        <v>0.625</v>
      </c>
      <c r="AP7" s="12">
        <f t="shared" ca="1" si="39"/>
        <v>0.5</v>
      </c>
      <c r="AQ7" s="12">
        <f t="shared" ca="1" si="40"/>
        <v>0.375</v>
      </c>
      <c r="AR7" s="11"/>
      <c r="AS7" s="4"/>
      <c r="AT7" s="11"/>
      <c r="AU7" s="4"/>
      <c r="AV7" s="11"/>
      <c r="AW7" s="4"/>
      <c r="AX7" s="11"/>
    </row>
    <row r="8" spans="1:50" ht="19.899999999999999" customHeight="1" x14ac:dyDescent="0.3">
      <c r="A8" s="2">
        <v>4</v>
      </c>
      <c r="B8" s="13" t="str">
        <f t="shared" ref="B8:D8" ca="1" si="42">INDIRECT(ADDRESS(ROW($B106),COLUMN()))</f>
        <v>Jee</v>
      </c>
      <c r="C8" s="5">
        <f t="shared" ca="1" si="42"/>
        <v>7</v>
      </c>
      <c r="D8" s="6">
        <f t="shared" ca="1" si="42"/>
        <v>1.23</v>
      </c>
      <c r="E8" s="15">
        <f t="shared" ca="1" si="1"/>
        <v>39</v>
      </c>
      <c r="F8" s="6">
        <f t="shared" ca="1" si="2"/>
        <v>0.84</v>
      </c>
      <c r="G8" s="6">
        <f t="shared" ca="1" si="3"/>
        <v>0.56000000000000005</v>
      </c>
      <c r="H8" s="7">
        <f t="shared" ca="1" si="4"/>
        <v>80.5</v>
      </c>
      <c r="I8" s="6">
        <f t="shared" ca="1" si="5"/>
        <v>1.59</v>
      </c>
      <c r="J8" s="21">
        <f t="shared" ca="1" si="33"/>
        <v>79.7</v>
      </c>
      <c r="K8" s="20">
        <f t="shared" ca="1" si="34"/>
        <v>0.61</v>
      </c>
      <c r="L8" s="21">
        <f t="shared" ca="1" si="35"/>
        <v>78.7</v>
      </c>
      <c r="M8" s="20">
        <f t="shared" ca="1" si="36"/>
        <v>1.1200000000000001</v>
      </c>
      <c r="N8" s="21">
        <f ca="1">INDIRECT(ADDRESS(ROW($T106),COLUMN($T106)))</f>
        <v>75.599999999999994</v>
      </c>
      <c r="O8" s="20">
        <f t="shared" ca="1" si="38"/>
        <v>0.75</v>
      </c>
      <c r="P8" s="4">
        <f t="shared" ca="1" si="6"/>
        <v>0</v>
      </c>
      <c r="Q8" s="11" t="str">
        <f t="shared" ca="1" si="7"/>
        <v>-</v>
      </c>
      <c r="R8" s="4">
        <f t="shared" ca="1" si="8"/>
        <v>0</v>
      </c>
      <c r="S8" s="11" t="str">
        <f t="shared" ca="1" si="9"/>
        <v>-</v>
      </c>
      <c r="T8" s="4">
        <f t="shared" ca="1" si="10"/>
        <v>4</v>
      </c>
      <c r="U8" s="11">
        <f t="shared" ca="1" si="11"/>
        <v>1.2</v>
      </c>
      <c r="V8" s="11">
        <f t="shared" ca="1" si="12"/>
        <v>1.53</v>
      </c>
      <c r="W8" s="11">
        <f t="shared" ca="1" si="13"/>
        <v>0.95</v>
      </c>
      <c r="X8" s="4">
        <f t="shared" ca="1" si="14"/>
        <v>1.55</v>
      </c>
      <c r="Y8" s="11">
        <f t="shared" ca="1" si="15"/>
        <v>1.05</v>
      </c>
      <c r="Z8" s="4">
        <f t="shared" ca="1" si="16"/>
        <v>94.7</v>
      </c>
      <c r="AA8" s="12">
        <f t="shared" ca="1" si="17"/>
        <v>8.5000000000000006E-2</v>
      </c>
      <c r="AB8" s="12">
        <f t="shared" ca="1" si="18"/>
        <v>0.13</v>
      </c>
      <c r="AC8" s="12">
        <f t="shared" ca="1" si="19"/>
        <v>0.72199999999999998</v>
      </c>
      <c r="AD8" s="17">
        <f t="shared" ca="1" si="20"/>
        <v>9.420289855072464E-2</v>
      </c>
      <c r="AE8" s="11">
        <f t="shared" ca="1" si="21"/>
        <v>1.08</v>
      </c>
      <c r="AF8" s="12">
        <f t="shared" ca="1" si="22"/>
        <v>0.54347826086956519</v>
      </c>
      <c r="AG8" s="12">
        <f t="shared" ca="1" si="23"/>
        <v>0.2318840579710145</v>
      </c>
      <c r="AH8" s="4">
        <f t="shared" ca="1" si="24"/>
        <v>2</v>
      </c>
      <c r="AI8" s="4">
        <f t="shared" ca="1" si="25"/>
        <v>0.18</v>
      </c>
      <c r="AJ8" s="12">
        <f t="shared" ca="1" si="26"/>
        <v>0.216</v>
      </c>
      <c r="AK8" s="4">
        <f t="shared" ca="1" si="27"/>
        <v>0.12</v>
      </c>
      <c r="AL8" s="12">
        <f t="shared" ca="1" si="28"/>
        <v>0.221</v>
      </c>
      <c r="AM8" s="12">
        <f t="shared" ca="1" si="29"/>
        <v>1</v>
      </c>
      <c r="AN8" s="12">
        <f t="shared" ca="1" si="30"/>
        <v>0.7142857142857143</v>
      </c>
      <c r="AO8" s="12">
        <f t="shared" ca="1" si="31"/>
        <v>0.5714285714285714</v>
      </c>
      <c r="AP8" s="12">
        <f t="shared" ca="1" si="39"/>
        <v>0.5714285714285714</v>
      </c>
      <c r="AQ8" s="12">
        <f t="shared" ca="1" si="40"/>
        <v>0.42857142857142855</v>
      </c>
      <c r="AR8" s="11"/>
      <c r="AS8" s="4"/>
      <c r="AT8" s="11"/>
      <c r="AU8" s="4"/>
      <c r="AV8" s="11"/>
      <c r="AW8" s="4"/>
      <c r="AX8" s="11"/>
    </row>
    <row r="9" spans="1:50" ht="19.899999999999999" customHeight="1" x14ac:dyDescent="0.3">
      <c r="A9" s="2">
        <v>5</v>
      </c>
      <c r="B9" s="13" t="str">
        <f t="shared" ref="B9:D9" ca="1" si="43">INDIRECT(ADDRESS(ROW($B107),COLUMN()))</f>
        <v>Twistzz</v>
      </c>
      <c r="C9" s="5">
        <f t="shared" ca="1" si="43"/>
        <v>14</v>
      </c>
      <c r="D9" s="6">
        <f t="shared" ca="1" si="43"/>
        <v>1.19</v>
      </c>
      <c r="E9" s="15">
        <f t="shared" ca="1" si="1"/>
        <v>31</v>
      </c>
      <c r="F9" s="6">
        <f t="shared" ca="1" si="2"/>
        <v>0.67</v>
      </c>
      <c r="G9" s="6">
        <f t="shared" ca="1" si="3"/>
        <v>0.57999999999999996</v>
      </c>
      <c r="H9" s="7">
        <f t="shared" ca="1" si="4"/>
        <v>74.599999999999994</v>
      </c>
      <c r="I9" s="6">
        <f t="shared" ca="1" si="5"/>
        <v>1.94</v>
      </c>
      <c r="J9" s="21">
        <f t="shared" ca="1" si="33"/>
        <v>77.7</v>
      </c>
      <c r="K9" s="20">
        <f t="shared" ca="1" si="34"/>
        <v>0.57999999999999996</v>
      </c>
      <c r="L9" s="21">
        <f t="shared" ca="1" si="35"/>
        <v>74.8</v>
      </c>
      <c r="M9" s="20">
        <f t="shared" ca="1" si="36"/>
        <v>1.03</v>
      </c>
      <c r="N9" s="21">
        <f t="shared" ca="1" si="37"/>
        <v>75.900000000000006</v>
      </c>
      <c r="O9" s="20">
        <f t="shared" ca="1" si="38"/>
        <v>0.7</v>
      </c>
      <c r="P9" s="4">
        <f t="shared" ca="1" si="6"/>
        <v>0</v>
      </c>
      <c r="Q9" s="11" t="str">
        <f t="shared" ca="1" si="7"/>
        <v>-</v>
      </c>
      <c r="R9" s="4">
        <f t="shared" ca="1" si="8"/>
        <v>2</v>
      </c>
      <c r="S9" s="11">
        <f t="shared" ca="1" si="9"/>
        <v>1.47</v>
      </c>
      <c r="T9" s="4">
        <f t="shared" ca="1" si="10"/>
        <v>5</v>
      </c>
      <c r="U9" s="11">
        <f t="shared" ca="1" si="11"/>
        <v>1.1100000000000001</v>
      </c>
      <c r="V9" s="11">
        <f t="shared" ca="1" si="12"/>
        <v>1.1599999999999999</v>
      </c>
      <c r="W9" s="11">
        <f t="shared" ca="1" si="13"/>
        <v>1.22</v>
      </c>
      <c r="X9" s="4">
        <f t="shared" ca="1" si="14"/>
        <v>1.08</v>
      </c>
      <c r="Y9" s="11">
        <f t="shared" ca="1" si="15"/>
        <v>0.93</v>
      </c>
      <c r="Z9" s="4">
        <f t="shared" ca="1" si="16"/>
        <v>99.6</v>
      </c>
      <c r="AA9" s="12">
        <f t="shared" ca="1" si="17"/>
        <v>0.156</v>
      </c>
      <c r="AB9" s="12">
        <f t="shared" ca="1" si="18"/>
        <v>0.19500000000000001</v>
      </c>
      <c r="AC9" s="12">
        <f t="shared" ca="1" si="19"/>
        <v>0.50800000000000001</v>
      </c>
      <c r="AD9" s="17">
        <f t="shared" ca="1" si="20"/>
        <v>9.9071207430340563E-2</v>
      </c>
      <c r="AE9" s="11">
        <f t="shared" ca="1" si="21"/>
        <v>1</v>
      </c>
      <c r="AF9" s="12">
        <f t="shared" ca="1" si="22"/>
        <v>0.44272445820433443</v>
      </c>
      <c r="AG9" s="12">
        <f t="shared" ca="1" si="23"/>
        <v>0.1919504643962848</v>
      </c>
      <c r="AH9" s="4">
        <f t="shared" ca="1" si="24"/>
        <v>0</v>
      </c>
      <c r="AI9" s="4">
        <f t="shared" ca="1" si="25"/>
        <v>0.15</v>
      </c>
      <c r="AJ9" s="12">
        <f t="shared" ca="1" si="26"/>
        <v>0.22500000000000001</v>
      </c>
      <c r="AK9" s="4">
        <f t="shared" ca="1" si="27"/>
        <v>0.16</v>
      </c>
      <c r="AL9" s="12">
        <f t="shared" ca="1" si="28"/>
        <v>0.27300000000000002</v>
      </c>
      <c r="AM9" s="12">
        <f t="shared" ca="1" si="29"/>
        <v>0.8571428571428571</v>
      </c>
      <c r="AN9" s="12">
        <f t="shared" ca="1" si="30"/>
        <v>0.6428571428571429</v>
      </c>
      <c r="AO9" s="12">
        <f t="shared" ca="1" si="31"/>
        <v>0.6428571428571429</v>
      </c>
      <c r="AP9" s="12">
        <f t="shared" ca="1" si="39"/>
        <v>0.5714285714285714</v>
      </c>
      <c r="AQ9" s="12">
        <f t="shared" ca="1" si="40"/>
        <v>0.42857142857142855</v>
      </c>
      <c r="AR9" s="11"/>
      <c r="AS9" s="4"/>
      <c r="AT9" s="11"/>
      <c r="AU9" s="4"/>
      <c r="AV9" s="11"/>
      <c r="AW9" s="4"/>
      <c r="AX9" s="11"/>
    </row>
    <row r="10" spans="1:50" ht="19.899999999999999" customHeight="1" x14ac:dyDescent="0.3">
      <c r="A10" s="2">
        <v>6</v>
      </c>
      <c r="B10" s="13" t="str">
        <f t="shared" ref="B10:D10" ca="1" si="44">INDIRECT(ADDRESS(ROW($B108),COLUMN()))</f>
        <v>HUASOPEEK</v>
      </c>
      <c r="C10" s="5">
        <f t="shared" ca="1" si="44"/>
        <v>16</v>
      </c>
      <c r="D10" s="6">
        <f t="shared" ca="1" si="44"/>
        <v>1.19</v>
      </c>
      <c r="E10" s="15">
        <f t="shared" ca="1" si="1"/>
        <v>34</v>
      </c>
      <c r="F10" s="6">
        <f t="shared" ca="1" si="2"/>
        <v>0.73</v>
      </c>
      <c r="G10" s="6">
        <f t="shared" ca="1" si="3"/>
        <v>0.63</v>
      </c>
      <c r="H10" s="7">
        <f t="shared" ca="1" si="4"/>
        <v>80.900000000000006</v>
      </c>
      <c r="I10" s="6">
        <f t="shared" ca="1" si="5"/>
        <v>1.69</v>
      </c>
      <c r="J10" s="21">
        <f t="shared" ca="1" si="33"/>
        <v>75.400000000000006</v>
      </c>
      <c r="K10" s="20">
        <f t="shared" ca="1" si="34"/>
        <v>0.65</v>
      </c>
      <c r="L10" s="21">
        <f t="shared" ca="1" si="35"/>
        <v>71.599999999999994</v>
      </c>
      <c r="M10" s="20">
        <f t="shared" ca="1" si="36"/>
        <v>1.2</v>
      </c>
      <c r="N10" s="21">
        <f t="shared" ca="1" si="37"/>
        <v>80.599999999999994</v>
      </c>
      <c r="O10" s="20">
        <f t="shared" ca="1" si="38"/>
        <v>0.74</v>
      </c>
      <c r="P10" s="4">
        <f t="shared" ca="1" si="6"/>
        <v>0</v>
      </c>
      <c r="Q10" s="11" t="str">
        <f t="shared" ca="1" si="7"/>
        <v>-</v>
      </c>
      <c r="R10" s="4">
        <f t="shared" ca="1" si="8"/>
        <v>0</v>
      </c>
      <c r="S10" s="11" t="str">
        <f t="shared" ca="1" si="9"/>
        <v>-</v>
      </c>
      <c r="T10" s="4">
        <f t="shared" ca="1" si="10"/>
        <v>3</v>
      </c>
      <c r="U10" s="11">
        <f t="shared" ca="1" si="11"/>
        <v>1.36</v>
      </c>
      <c r="V10" s="11">
        <f t="shared" ca="1" si="12"/>
        <v>1.1399999999999999</v>
      </c>
      <c r="W10" s="11">
        <f t="shared" ca="1" si="13"/>
        <v>1.23</v>
      </c>
      <c r="X10" s="4">
        <f t="shared" ca="1" si="14"/>
        <v>1.37</v>
      </c>
      <c r="Y10" s="11">
        <f t="shared" ca="1" si="15"/>
        <v>1.03</v>
      </c>
      <c r="Z10" s="4">
        <f t="shared" ca="1" si="16"/>
        <v>109.6</v>
      </c>
      <c r="AA10" s="12">
        <f t="shared" ca="1" si="17"/>
        <v>0.10299999999999999</v>
      </c>
      <c r="AB10" s="12">
        <f t="shared" ca="1" si="18"/>
        <v>0.191</v>
      </c>
      <c r="AC10" s="12">
        <f t="shared" ca="1" si="19"/>
        <v>0.48599999999999999</v>
      </c>
      <c r="AD10" s="17">
        <f t="shared" ca="1" si="20"/>
        <v>9.2896174863387984E-2</v>
      </c>
      <c r="AE10" s="11">
        <f t="shared" ca="1" si="21"/>
        <v>0.97</v>
      </c>
      <c r="AF10" s="12">
        <f t="shared" ca="1" si="22"/>
        <v>0.47814207650273222</v>
      </c>
      <c r="AG10" s="12">
        <f t="shared" ca="1" si="23"/>
        <v>0.17759562841530049</v>
      </c>
      <c r="AH10" s="4">
        <f t="shared" ca="1" si="24"/>
        <v>3</v>
      </c>
      <c r="AI10" s="4">
        <f t="shared" ca="1" si="25"/>
        <v>0.14000000000000001</v>
      </c>
      <c r="AJ10" s="12">
        <f t="shared" ca="1" si="26"/>
        <v>0.19900000000000001</v>
      </c>
      <c r="AK10" s="4">
        <f t="shared" ca="1" si="27"/>
        <v>0.15</v>
      </c>
      <c r="AL10" s="12">
        <f t="shared" ca="1" si="28"/>
        <v>0.24099999999999999</v>
      </c>
      <c r="AM10" s="12">
        <f t="shared" ca="1" si="29"/>
        <v>0.875</v>
      </c>
      <c r="AN10" s="12">
        <f t="shared" ca="1" si="30"/>
        <v>0.75</v>
      </c>
      <c r="AO10" s="12">
        <f t="shared" ca="1" si="31"/>
        <v>0.625</v>
      </c>
      <c r="AP10" s="12">
        <f t="shared" ca="1" si="39"/>
        <v>0.4375</v>
      </c>
      <c r="AQ10" s="12">
        <f t="shared" ca="1" si="40"/>
        <v>0.25</v>
      </c>
      <c r="AR10" s="11"/>
      <c r="AS10" s="4"/>
      <c r="AT10" s="11"/>
      <c r="AU10" s="4"/>
      <c r="AV10" s="11"/>
      <c r="AW10" s="4"/>
      <c r="AX10" s="11"/>
    </row>
    <row r="11" spans="1:50" ht="19.899999999999999" customHeight="1" x14ac:dyDescent="0.3">
      <c r="A11" s="2">
        <v>7</v>
      </c>
      <c r="B11" s="13" t="str">
        <f t="shared" ref="B11:D11" ca="1" si="45">INDIRECT(ADDRESS(ROW($B109),COLUMN()))</f>
        <v>Sdaim</v>
      </c>
      <c r="C11" s="5">
        <f t="shared" ca="1" si="45"/>
        <v>11</v>
      </c>
      <c r="D11" s="6">
        <f t="shared" ca="1" si="45"/>
        <v>1.19</v>
      </c>
      <c r="E11" s="15">
        <f t="shared" ca="1" si="1"/>
        <v>10</v>
      </c>
      <c r="F11" s="6">
        <f t="shared" ca="1" si="2"/>
        <v>0.76</v>
      </c>
      <c r="G11" s="6">
        <f t="shared" ca="1" si="3"/>
        <v>0.72</v>
      </c>
      <c r="H11" s="7">
        <f t="shared" ca="1" si="4"/>
        <v>85.9</v>
      </c>
      <c r="I11" s="6">
        <f t="shared" ca="1" si="5"/>
        <v>1.32</v>
      </c>
      <c r="J11" s="21">
        <f t="shared" ca="1" si="33"/>
        <v>70.5</v>
      </c>
      <c r="K11" s="20">
        <f t="shared" ca="1" si="34"/>
        <v>0.73</v>
      </c>
      <c r="L11" s="21">
        <f t="shared" ca="1" si="35"/>
        <v>72</v>
      </c>
      <c r="M11" s="20">
        <f t="shared" ca="1" si="36"/>
        <v>1.34</v>
      </c>
      <c r="N11" s="21">
        <f t="shared" ca="1" si="37"/>
        <v>85.8</v>
      </c>
      <c r="O11" s="20">
        <f t="shared" ca="1" si="38"/>
        <v>0.75</v>
      </c>
      <c r="P11" s="4">
        <f t="shared" ca="1" si="6"/>
        <v>0</v>
      </c>
      <c r="Q11" s="11" t="str">
        <f t="shared" ca="1" si="7"/>
        <v>-</v>
      </c>
      <c r="R11" s="4">
        <f t="shared" ca="1" si="8"/>
        <v>3</v>
      </c>
      <c r="S11" s="11">
        <f t="shared" ca="1" si="9"/>
        <v>1.1499999999999999</v>
      </c>
      <c r="T11" s="4">
        <f t="shared" ca="1" si="10"/>
        <v>5</v>
      </c>
      <c r="U11" s="11">
        <f t="shared" ca="1" si="11"/>
        <v>1.23</v>
      </c>
      <c r="V11" s="11">
        <f t="shared" ca="1" si="12"/>
        <v>1.07</v>
      </c>
      <c r="W11" s="11">
        <f t="shared" ca="1" si="13"/>
        <v>1.3</v>
      </c>
      <c r="X11" s="4">
        <f t="shared" ca="1" si="14"/>
        <v>1.66</v>
      </c>
      <c r="Y11" s="11">
        <f t="shared" ca="1" si="15"/>
        <v>1.1000000000000001</v>
      </c>
      <c r="Z11" s="4">
        <f t="shared" ca="1" si="16"/>
        <v>119.8</v>
      </c>
      <c r="AA11" s="12">
        <f t="shared" ca="1" si="17"/>
        <v>0.03</v>
      </c>
      <c r="AB11" s="12">
        <f t="shared" ca="1" si="18"/>
        <v>0.189</v>
      </c>
      <c r="AC11" s="12">
        <f t="shared" ca="1" si="19"/>
        <v>0.64</v>
      </c>
      <c r="AD11" s="17">
        <f t="shared" ca="1" si="20"/>
        <v>0.1212121212121212</v>
      </c>
      <c r="AE11" s="11">
        <f t="shared" ca="1" si="21"/>
        <v>1.1599999999999999</v>
      </c>
      <c r="AF11" s="12">
        <f t="shared" ca="1" si="22"/>
        <v>0.49621212121212122</v>
      </c>
      <c r="AG11" s="12">
        <f t="shared" ca="1" si="23"/>
        <v>0.1553030303030303</v>
      </c>
      <c r="AH11" s="4">
        <f t="shared" ca="1" si="24"/>
        <v>6</v>
      </c>
      <c r="AI11" s="4">
        <f t="shared" ca="1" si="25"/>
        <v>0.16</v>
      </c>
      <c r="AJ11" s="12">
        <f t="shared" ca="1" si="26"/>
        <v>0.21</v>
      </c>
      <c r="AK11" s="4">
        <f t="shared" ca="1" si="27"/>
        <v>0.16</v>
      </c>
      <c r="AL11" s="12">
        <f t="shared" ca="1" si="28"/>
        <v>0.22600000000000001</v>
      </c>
      <c r="AM11" s="12">
        <f t="shared" ca="1" si="29"/>
        <v>0.81818181818181823</v>
      </c>
      <c r="AN11" s="12">
        <f t="shared" ca="1" si="30"/>
        <v>0.72727272727272729</v>
      </c>
      <c r="AO11" s="12">
        <f t="shared" ca="1" si="31"/>
        <v>0.54545454545454541</v>
      </c>
      <c r="AP11" s="12">
        <f t="shared" ca="1" si="39"/>
        <v>0.27272727272727271</v>
      </c>
      <c r="AQ11" s="12">
        <f t="shared" ca="1" si="40"/>
        <v>0.27272727272727271</v>
      </c>
      <c r="AR11" s="11"/>
      <c r="AS11" s="4"/>
      <c r="AT11" s="11"/>
      <c r="AU11" s="4"/>
      <c r="AV11" s="11"/>
      <c r="AW11" s="4"/>
      <c r="AX11" s="11"/>
    </row>
    <row r="12" spans="1:50" ht="19.899999999999999" customHeight="1" x14ac:dyDescent="0.3">
      <c r="A12" s="2">
        <v>8</v>
      </c>
      <c r="B12" s="13" t="str">
        <f t="shared" ref="B12:D12" ca="1" si="46">INDIRECT(ADDRESS(ROW($B110),COLUMN()))</f>
        <v>Zero</v>
      </c>
      <c r="C12" s="5">
        <f t="shared" ca="1" si="46"/>
        <v>7</v>
      </c>
      <c r="D12" s="6">
        <f t="shared" ca="1" si="46"/>
        <v>1.18</v>
      </c>
      <c r="E12" s="15">
        <f t="shared" ca="1" si="1"/>
        <v>11</v>
      </c>
      <c r="F12" s="6">
        <f t="shared" ca="1" si="2"/>
        <v>0.65</v>
      </c>
      <c r="G12" s="6">
        <f t="shared" ca="1" si="3"/>
        <v>0.56999999999999995</v>
      </c>
      <c r="H12" s="7">
        <f t="shared" ca="1" si="4"/>
        <v>71.8</v>
      </c>
      <c r="I12" s="6">
        <f t="shared" ca="1" si="5"/>
        <v>1.88</v>
      </c>
      <c r="J12" s="21">
        <f t="shared" ca="1" si="33"/>
        <v>77.5</v>
      </c>
      <c r="K12" s="20">
        <f t="shared" ca="1" si="34"/>
        <v>0.6</v>
      </c>
      <c r="L12" s="21">
        <f t="shared" ca="1" si="35"/>
        <v>76.5</v>
      </c>
      <c r="M12" s="20">
        <f t="shared" ca="1" si="36"/>
        <v>1.08</v>
      </c>
      <c r="N12" s="21">
        <f t="shared" ca="1" si="37"/>
        <v>73</v>
      </c>
      <c r="O12" s="20">
        <f t="shared" ca="1" si="38"/>
        <v>0.7</v>
      </c>
      <c r="P12" s="4">
        <f t="shared" ca="1" si="6"/>
        <v>0</v>
      </c>
      <c r="Q12" s="11" t="str">
        <f t="shared" ca="1" si="7"/>
        <v>-</v>
      </c>
      <c r="R12" s="4">
        <f t="shared" ca="1" si="8"/>
        <v>0</v>
      </c>
      <c r="S12" s="11" t="str">
        <f t="shared" ca="1" si="9"/>
        <v>-</v>
      </c>
      <c r="T12" s="4">
        <f t="shared" ca="1" si="10"/>
        <v>4</v>
      </c>
      <c r="U12" s="11">
        <f t="shared" ca="1" si="11"/>
        <v>1.17</v>
      </c>
      <c r="V12" s="11">
        <f t="shared" ca="1" si="12"/>
        <v>1.1100000000000001</v>
      </c>
      <c r="W12" s="11">
        <f t="shared" ca="1" si="13"/>
        <v>1.25</v>
      </c>
      <c r="X12" s="4">
        <f t="shared" ca="1" si="14"/>
        <v>1.1100000000000001</v>
      </c>
      <c r="Y12" s="11">
        <f t="shared" ca="1" si="15"/>
        <v>0.85</v>
      </c>
      <c r="Z12" s="4">
        <f t="shared" ca="1" si="16"/>
        <v>90.4</v>
      </c>
      <c r="AA12" s="12">
        <f t="shared" ca="1" si="17"/>
        <v>8.5000000000000006E-2</v>
      </c>
      <c r="AB12" s="12">
        <f t="shared" ca="1" si="18"/>
        <v>0.23899999999999999</v>
      </c>
      <c r="AC12" s="12">
        <f t="shared" ca="1" si="19"/>
        <v>0.36399999999999999</v>
      </c>
      <c r="AD12" s="17">
        <f t="shared" ca="1" si="20"/>
        <v>8.6956521739130432E-2</v>
      </c>
      <c r="AE12" s="11">
        <f t="shared" ca="1" si="21"/>
        <v>0.85</v>
      </c>
      <c r="AF12" s="12">
        <f t="shared" ca="1" si="22"/>
        <v>0.46376811594202899</v>
      </c>
      <c r="AG12" s="12">
        <f t="shared" ca="1" si="23"/>
        <v>0.1521739130434783</v>
      </c>
      <c r="AH12" s="4">
        <f t="shared" ca="1" si="24"/>
        <v>2</v>
      </c>
      <c r="AI12" s="4">
        <f t="shared" ca="1" si="25"/>
        <v>0.15</v>
      </c>
      <c r="AJ12" s="12">
        <f t="shared" ca="1" si="26"/>
        <v>0.23300000000000001</v>
      </c>
      <c r="AK12" s="4">
        <f t="shared" ca="1" si="27"/>
        <v>0.13</v>
      </c>
      <c r="AL12" s="12">
        <f t="shared" ca="1" si="28"/>
        <v>0.22800000000000001</v>
      </c>
      <c r="AM12" s="12">
        <f t="shared" ca="1" si="29"/>
        <v>0.8571428571428571</v>
      </c>
      <c r="AN12" s="12">
        <f t="shared" ca="1" si="30"/>
        <v>0.8571428571428571</v>
      </c>
      <c r="AO12" s="12">
        <f t="shared" ca="1" si="31"/>
        <v>0.5714285714285714</v>
      </c>
      <c r="AP12" s="12">
        <f t="shared" ca="1" si="39"/>
        <v>0.42857142857142855</v>
      </c>
      <c r="AQ12" s="12">
        <f t="shared" ca="1" si="40"/>
        <v>0.14285714285714285</v>
      </c>
      <c r="AR12" s="11"/>
      <c r="AS12" s="4"/>
      <c r="AT12" s="11"/>
      <c r="AU12" s="4"/>
      <c r="AV12" s="11"/>
      <c r="AW12" s="4"/>
      <c r="AX12" s="11"/>
    </row>
    <row r="13" spans="1:50" ht="19.899999999999999" customHeight="1" x14ac:dyDescent="0.3">
      <c r="A13" s="2">
        <v>9</v>
      </c>
      <c r="B13" s="13" t="str">
        <f t="shared" ref="B13:D13" ca="1" si="47">INDIRECT(ADDRESS(ROW($B111),COLUMN()))</f>
        <v>JBOEN</v>
      </c>
      <c r="C13" s="5">
        <f t="shared" ca="1" si="47"/>
        <v>14</v>
      </c>
      <c r="D13" s="6">
        <f t="shared" ca="1" si="47"/>
        <v>1.18</v>
      </c>
      <c r="E13" s="15">
        <f t="shared" ca="1" si="1"/>
        <v>74</v>
      </c>
      <c r="F13" s="6">
        <f t="shared" ca="1" si="2"/>
        <v>0.79</v>
      </c>
      <c r="G13" s="6">
        <f t="shared" ca="1" si="3"/>
        <v>0.56000000000000005</v>
      </c>
      <c r="H13" s="7">
        <f t="shared" ca="1" si="4"/>
        <v>73.900000000000006</v>
      </c>
      <c r="I13" s="6">
        <f t="shared" ca="1" si="5"/>
        <v>1.97</v>
      </c>
      <c r="J13" s="21">
        <f t="shared" ca="1" si="33"/>
        <v>77.400000000000006</v>
      </c>
      <c r="K13" s="20">
        <f t="shared" ca="1" si="34"/>
        <v>0.62</v>
      </c>
      <c r="L13" s="21">
        <f t="shared" ca="1" si="35"/>
        <v>74.099999999999994</v>
      </c>
      <c r="M13" s="20">
        <f t="shared" ca="1" si="36"/>
        <v>1.1200000000000001</v>
      </c>
      <c r="N13" s="21">
        <f t="shared" ca="1" si="37"/>
        <v>71.2</v>
      </c>
      <c r="O13" s="20">
        <f t="shared" ca="1" si="38"/>
        <v>0.73</v>
      </c>
      <c r="P13" s="4">
        <f t="shared" ca="1" si="6"/>
        <v>0</v>
      </c>
      <c r="Q13" s="11" t="str">
        <f t="shared" ca="1" si="7"/>
        <v>-</v>
      </c>
      <c r="R13" s="4">
        <f t="shared" ca="1" si="8"/>
        <v>2</v>
      </c>
      <c r="S13" s="11">
        <f t="shared" ca="1" si="9"/>
        <v>1.27</v>
      </c>
      <c r="T13" s="4">
        <f t="shared" ca="1" si="10"/>
        <v>5</v>
      </c>
      <c r="U13" s="11">
        <f t="shared" ca="1" si="11"/>
        <v>0.95</v>
      </c>
      <c r="V13" s="11">
        <f t="shared" ca="1" si="12"/>
        <v>1.07</v>
      </c>
      <c r="W13" s="11">
        <f t="shared" ca="1" si="13"/>
        <v>1.28</v>
      </c>
      <c r="X13" s="4">
        <f t="shared" ca="1" si="14"/>
        <v>1.43</v>
      </c>
      <c r="Y13" s="11">
        <f t="shared" ca="1" si="15"/>
        <v>0.99</v>
      </c>
      <c r="Z13" s="4">
        <f t="shared" ca="1" si="16"/>
        <v>99.5</v>
      </c>
      <c r="AA13" s="12">
        <f t="shared" ca="1" si="17"/>
        <v>0.156</v>
      </c>
      <c r="AB13" s="12">
        <f t="shared" ca="1" si="18"/>
        <v>0.17299999999999999</v>
      </c>
      <c r="AC13" s="12">
        <f t="shared" ca="1" si="19"/>
        <v>0.58899999999999997</v>
      </c>
      <c r="AD13" s="17">
        <f t="shared" ca="1" si="20"/>
        <v>0.1021671826625387</v>
      </c>
      <c r="AE13" s="11">
        <f t="shared" ca="1" si="21"/>
        <v>1.06</v>
      </c>
      <c r="AF13" s="12">
        <f t="shared" ca="1" si="22"/>
        <v>0.52321981424148611</v>
      </c>
      <c r="AG13" s="12">
        <f t="shared" ca="1" si="23"/>
        <v>0.20743034055727549</v>
      </c>
      <c r="AH13" s="4">
        <f t="shared" ca="1" si="24"/>
        <v>7</v>
      </c>
      <c r="AI13" s="4">
        <f t="shared" ca="1" si="25"/>
        <v>0.13</v>
      </c>
      <c r="AJ13" s="12">
        <f t="shared" ca="1" si="26"/>
        <v>0.161</v>
      </c>
      <c r="AK13" s="4">
        <f t="shared" ca="1" si="27"/>
        <v>0.11</v>
      </c>
      <c r="AL13" s="12">
        <f t="shared" ca="1" si="28"/>
        <v>0.19900000000000001</v>
      </c>
      <c r="AM13" s="12">
        <f t="shared" ca="1" si="29"/>
        <v>0.9285714285714286</v>
      </c>
      <c r="AN13" s="12">
        <f t="shared" ca="1" si="30"/>
        <v>0.7142857142857143</v>
      </c>
      <c r="AO13" s="12">
        <f t="shared" ca="1" si="31"/>
        <v>0.5714285714285714</v>
      </c>
      <c r="AP13" s="12">
        <f t="shared" ca="1" si="39"/>
        <v>0.35714285714285715</v>
      </c>
      <c r="AQ13" s="12">
        <f t="shared" ca="1" si="40"/>
        <v>0.35714285714285715</v>
      </c>
      <c r="AR13" s="11"/>
      <c r="AS13" s="4"/>
      <c r="AT13" s="11"/>
      <c r="AU13" s="4"/>
      <c r="AV13" s="11"/>
      <c r="AW13" s="4"/>
      <c r="AX13" s="11"/>
    </row>
    <row r="14" spans="1:50" ht="19.899999999999999" customHeight="1" x14ac:dyDescent="0.3">
      <c r="A14" s="2">
        <v>10</v>
      </c>
      <c r="B14" s="13" t="str">
        <f t="shared" ref="B14:D14" ca="1" si="48">INDIRECT(ADDRESS(ROW($B112),COLUMN()))</f>
        <v>sjuush</v>
      </c>
      <c r="C14" s="5">
        <f t="shared" ca="1" si="48"/>
        <v>8</v>
      </c>
      <c r="D14" s="6">
        <f t="shared" ca="1" si="48"/>
        <v>1.17</v>
      </c>
      <c r="E14" s="15">
        <f t="shared" ca="1" si="1"/>
        <v>16</v>
      </c>
      <c r="F14" s="6">
        <f t="shared" ca="1" si="2"/>
        <v>0.75</v>
      </c>
      <c r="G14" s="6">
        <f t="shared" ca="1" si="3"/>
        <v>0.66</v>
      </c>
      <c r="H14" s="7">
        <f t="shared" ca="1" si="4"/>
        <v>80.400000000000006</v>
      </c>
      <c r="I14" s="6">
        <f t="shared" ca="1" si="5"/>
        <v>1.49</v>
      </c>
      <c r="J14" s="21">
        <f t="shared" ca="1" si="33"/>
        <v>71.3</v>
      </c>
      <c r="K14" s="20">
        <f t="shared" ca="1" si="34"/>
        <v>0.67</v>
      </c>
      <c r="L14" s="21">
        <f t="shared" ca="1" si="35"/>
        <v>68.7</v>
      </c>
      <c r="M14" s="20">
        <f t="shared" ca="1" si="36"/>
        <v>1.38</v>
      </c>
      <c r="N14" s="21">
        <f t="shared" ca="1" si="37"/>
        <v>82.8</v>
      </c>
      <c r="O14" s="20">
        <f t="shared" ca="1" si="38"/>
        <v>0.78</v>
      </c>
      <c r="P14" s="4">
        <f t="shared" ca="1" si="6"/>
        <v>0</v>
      </c>
      <c r="Q14" s="11" t="str">
        <f t="shared" ca="1" si="7"/>
        <v>-</v>
      </c>
      <c r="R14" s="4">
        <f t="shared" ca="1" si="8"/>
        <v>0</v>
      </c>
      <c r="S14" s="11" t="str">
        <f t="shared" ca="1" si="9"/>
        <v>-</v>
      </c>
      <c r="T14" s="4">
        <f t="shared" ca="1" si="10"/>
        <v>3</v>
      </c>
      <c r="U14" s="11">
        <f t="shared" ca="1" si="11"/>
        <v>1.51</v>
      </c>
      <c r="V14" s="11">
        <f t="shared" ca="1" si="12"/>
        <v>1.24</v>
      </c>
      <c r="W14" s="11">
        <f t="shared" ca="1" si="13"/>
        <v>1.1200000000000001</v>
      </c>
      <c r="X14" s="4">
        <f t="shared" ca="1" si="14"/>
        <v>0.98</v>
      </c>
      <c r="Y14" s="11">
        <f t="shared" ca="1" si="15"/>
        <v>1.1499999999999999</v>
      </c>
      <c r="Z14" s="4">
        <f t="shared" ca="1" si="16"/>
        <v>109.2</v>
      </c>
      <c r="AA14" s="12">
        <f t="shared" ca="1" si="17"/>
        <v>7.3999999999999996E-2</v>
      </c>
      <c r="AB14" s="12">
        <f t="shared" ca="1" si="18"/>
        <v>0.19500000000000001</v>
      </c>
      <c r="AC14" s="12">
        <f t="shared" ca="1" si="19"/>
        <v>0.52900000000000003</v>
      </c>
      <c r="AD14" s="17">
        <f t="shared" ca="1" si="20"/>
        <v>0.10344827586206901</v>
      </c>
      <c r="AE14" s="11">
        <f t="shared" ca="1" si="21"/>
        <v>1.03</v>
      </c>
      <c r="AF14" s="12">
        <f t="shared" ca="1" si="22"/>
        <v>0.4885057471264368</v>
      </c>
      <c r="AG14" s="12">
        <f t="shared" ca="1" si="23"/>
        <v>0.18965517241379309</v>
      </c>
      <c r="AH14" s="4">
        <f t="shared" ca="1" si="24"/>
        <v>2</v>
      </c>
      <c r="AI14" s="4">
        <f t="shared" ca="1" si="25"/>
        <v>0.15</v>
      </c>
      <c r="AJ14" s="12">
        <f t="shared" ca="1" si="26"/>
        <v>0.2</v>
      </c>
      <c r="AK14" s="4">
        <f t="shared" ca="1" si="27"/>
        <v>0.08</v>
      </c>
      <c r="AL14" s="12">
        <f t="shared" ca="1" si="28"/>
        <v>0.123</v>
      </c>
      <c r="AM14" s="12">
        <f t="shared" ca="1" si="29"/>
        <v>0.75</v>
      </c>
      <c r="AN14" s="12">
        <f t="shared" ca="1" si="30"/>
        <v>0.625</v>
      </c>
      <c r="AO14" s="12">
        <f t="shared" ca="1" si="31"/>
        <v>0.625</v>
      </c>
      <c r="AP14" s="12">
        <f t="shared" ca="1" si="39"/>
        <v>0.5</v>
      </c>
      <c r="AQ14" s="12">
        <f t="shared" ca="1" si="40"/>
        <v>0.125</v>
      </c>
      <c r="AR14" s="11"/>
      <c r="AS14" s="4"/>
      <c r="AT14" s="11"/>
      <c r="AU14" s="4"/>
      <c r="AV14" s="11"/>
      <c r="AW14" s="4"/>
      <c r="AX14" s="11"/>
    </row>
    <row r="15" spans="1:50" ht="19.899999999999999" customHeight="1" x14ac:dyDescent="0.3">
      <c r="A15" s="2">
        <v>11</v>
      </c>
      <c r="B15" s="13" t="str">
        <f t="shared" ref="B15:D15" ca="1" si="49">INDIRECT(ADDRESS(ROW($B113),COLUMN()))</f>
        <v>luchov</v>
      </c>
      <c r="C15" s="5">
        <f t="shared" ca="1" si="49"/>
        <v>16</v>
      </c>
      <c r="D15" s="6">
        <f t="shared" ca="1" si="49"/>
        <v>1.1599999999999999</v>
      </c>
      <c r="E15" s="15">
        <f t="shared" ca="1" si="1"/>
        <v>19</v>
      </c>
      <c r="F15" s="6">
        <f t="shared" ca="1" si="2"/>
        <v>0.7</v>
      </c>
      <c r="G15" s="6">
        <f t="shared" ca="1" si="3"/>
        <v>0.65</v>
      </c>
      <c r="H15" s="7">
        <f t="shared" ca="1" si="4"/>
        <v>78.400000000000006</v>
      </c>
      <c r="I15" s="6">
        <f t="shared" ca="1" si="5"/>
        <v>1.4</v>
      </c>
      <c r="J15" s="21">
        <f t="shared" ca="1" si="33"/>
        <v>72.400000000000006</v>
      </c>
      <c r="K15" s="20">
        <f t="shared" ca="1" si="34"/>
        <v>0.68</v>
      </c>
      <c r="L15" s="21">
        <f t="shared" ca="1" si="35"/>
        <v>72.3</v>
      </c>
      <c r="M15" s="20">
        <f t="shared" ca="1" si="36"/>
        <v>1.2</v>
      </c>
      <c r="N15" s="21">
        <f t="shared" ca="1" si="37"/>
        <v>78.3</v>
      </c>
      <c r="O15" s="20">
        <f t="shared" ca="1" si="38"/>
        <v>0.73</v>
      </c>
      <c r="P15" s="4">
        <f t="shared" ca="1" si="6"/>
        <v>0</v>
      </c>
      <c r="Q15" s="11" t="str">
        <f t="shared" ca="1" si="7"/>
        <v>-</v>
      </c>
      <c r="R15" s="4">
        <f t="shared" ca="1" si="8"/>
        <v>0</v>
      </c>
      <c r="S15" s="11" t="str">
        <f t="shared" ca="1" si="9"/>
        <v>-</v>
      </c>
      <c r="T15" s="4">
        <f t="shared" ca="1" si="10"/>
        <v>3</v>
      </c>
      <c r="U15" s="11">
        <f t="shared" ca="1" si="11"/>
        <v>1.1599999999999999</v>
      </c>
      <c r="V15" s="11">
        <f t="shared" ca="1" si="12"/>
        <v>1.19</v>
      </c>
      <c r="W15" s="11">
        <f t="shared" ca="1" si="13"/>
        <v>1.1299999999999999</v>
      </c>
      <c r="X15" s="4">
        <f t="shared" ca="1" si="14"/>
        <v>0.98</v>
      </c>
      <c r="Y15" s="11">
        <f t="shared" ca="1" si="15"/>
        <v>0.94</v>
      </c>
      <c r="Z15" s="4">
        <f t="shared" ca="1" si="16"/>
        <v>100.5</v>
      </c>
      <c r="AA15" s="12">
        <f t="shared" ca="1" si="17"/>
        <v>5.5E-2</v>
      </c>
      <c r="AB15" s="12">
        <f t="shared" ca="1" si="18"/>
        <v>0.23200000000000001</v>
      </c>
      <c r="AC15" s="12">
        <f t="shared" ca="1" si="19"/>
        <v>0.51800000000000002</v>
      </c>
      <c r="AD15" s="17">
        <f t="shared" ca="1" si="20"/>
        <v>0.1202185792349727</v>
      </c>
      <c r="AE15" s="11">
        <f t="shared" ca="1" si="21"/>
        <v>1.08</v>
      </c>
      <c r="AF15" s="12">
        <f t="shared" ca="1" si="22"/>
        <v>0.46174863387978138</v>
      </c>
      <c r="AG15" s="12">
        <f t="shared" ca="1" si="23"/>
        <v>0.1721311475409836</v>
      </c>
      <c r="AH15" s="4">
        <f t="shared" ca="1" si="24"/>
        <v>4</v>
      </c>
      <c r="AI15" s="4">
        <f t="shared" ca="1" si="25"/>
        <v>0.14000000000000001</v>
      </c>
      <c r="AJ15" s="12">
        <f t="shared" ca="1" si="26"/>
        <v>0.19400000000000001</v>
      </c>
      <c r="AK15" s="4">
        <f t="shared" ca="1" si="27"/>
        <v>0.14000000000000001</v>
      </c>
      <c r="AL15" s="12">
        <f t="shared" ca="1" si="28"/>
        <v>0.222</v>
      </c>
      <c r="AM15" s="12">
        <f t="shared" ca="1" si="29"/>
        <v>0.8125</v>
      </c>
      <c r="AN15" s="12">
        <f t="shared" ca="1" si="30"/>
        <v>0.75</v>
      </c>
      <c r="AO15" s="12">
        <f t="shared" ca="1" si="31"/>
        <v>0.6875</v>
      </c>
      <c r="AP15" s="12">
        <f t="shared" ca="1" si="39"/>
        <v>0.4375</v>
      </c>
      <c r="AQ15" s="12">
        <f t="shared" ca="1" si="40"/>
        <v>0.25</v>
      </c>
      <c r="AR15" s="11"/>
      <c r="AS15" s="4"/>
      <c r="AT15" s="11"/>
      <c r="AU15" s="4"/>
      <c r="AV15" s="11"/>
      <c r="AW15" s="4"/>
      <c r="AX15" s="11"/>
    </row>
    <row r="16" spans="1:50" ht="19.899999999999999" customHeight="1" x14ac:dyDescent="0.3">
      <c r="A16" s="2">
        <v>12</v>
      </c>
      <c r="B16" s="13" t="str">
        <f t="shared" ref="B16:D16" ca="1" si="50">INDIRECT(ADDRESS(ROW($B114),COLUMN()))</f>
        <v>KRIMZ</v>
      </c>
      <c r="C16" s="5">
        <f t="shared" ca="1" si="50"/>
        <v>10</v>
      </c>
      <c r="D16" s="6">
        <f t="shared" ca="1" si="50"/>
        <v>1.1499999999999999</v>
      </c>
      <c r="E16" s="15">
        <f t="shared" ca="1" si="1"/>
        <v>18</v>
      </c>
      <c r="F16" s="6">
        <f t="shared" ca="1" si="2"/>
        <v>0.74</v>
      </c>
      <c r="G16" s="6">
        <f t="shared" ca="1" si="3"/>
        <v>0.67</v>
      </c>
      <c r="H16" s="7">
        <f t="shared" ca="1" si="4"/>
        <v>82.9</v>
      </c>
      <c r="I16" s="6">
        <f t="shared" ca="1" si="5"/>
        <v>0.63</v>
      </c>
      <c r="J16" s="21">
        <f t="shared" ca="1" si="33"/>
        <v>74.400000000000006</v>
      </c>
      <c r="K16" s="20">
        <f t="shared" ca="1" si="34"/>
        <v>0.69</v>
      </c>
      <c r="L16" s="21">
        <f t="shared" ca="1" si="35"/>
        <v>72.8</v>
      </c>
      <c r="M16" s="20">
        <f t="shared" ca="1" si="36"/>
        <v>1.1200000000000001</v>
      </c>
      <c r="N16" s="21">
        <f t="shared" ca="1" si="37"/>
        <v>84.3</v>
      </c>
      <c r="O16" s="20">
        <f t="shared" ca="1" si="38"/>
        <v>0.77</v>
      </c>
      <c r="P16" s="4">
        <f t="shared" ca="1" si="6"/>
        <v>0</v>
      </c>
      <c r="Q16" s="11" t="str">
        <f t="shared" ca="1" si="7"/>
        <v>-</v>
      </c>
      <c r="R16" s="4">
        <f t="shared" ca="1" si="8"/>
        <v>1</v>
      </c>
      <c r="S16" s="11">
        <f t="shared" ca="1" si="9"/>
        <v>1.02</v>
      </c>
      <c r="T16" s="4">
        <f t="shared" ca="1" si="10"/>
        <v>1</v>
      </c>
      <c r="U16" s="11">
        <f t="shared" ca="1" si="11"/>
        <v>1.02</v>
      </c>
      <c r="V16" s="11">
        <f t="shared" ca="1" si="12"/>
        <v>0.99</v>
      </c>
      <c r="W16" s="11">
        <f t="shared" ca="1" si="13"/>
        <v>1.33</v>
      </c>
      <c r="X16" s="4">
        <f t="shared" ca="1" si="14"/>
        <v>1.01</v>
      </c>
      <c r="Y16" s="11">
        <f t="shared" ca="1" si="15"/>
        <v>1.05</v>
      </c>
      <c r="Z16" s="4">
        <f t="shared" ca="1" si="16"/>
        <v>119.6</v>
      </c>
      <c r="AA16" s="12">
        <f t="shared" ca="1" si="17"/>
        <v>9.7000000000000003E-2</v>
      </c>
      <c r="AB16" s="12">
        <f t="shared" ca="1" si="18"/>
        <v>0.20899999999999999</v>
      </c>
      <c r="AC16" s="12">
        <f t="shared" ca="1" si="19"/>
        <v>0.377</v>
      </c>
      <c r="AD16" s="17">
        <f t="shared" ca="1" si="20"/>
        <v>7.874015748031496E-2</v>
      </c>
      <c r="AE16" s="11">
        <f t="shared" ca="1" si="21"/>
        <v>0.84</v>
      </c>
      <c r="AF16" s="12">
        <f t="shared" ca="1" si="22"/>
        <v>0.5</v>
      </c>
      <c r="AG16" s="12">
        <f t="shared" ca="1" si="23"/>
        <v>0.1889763779527559</v>
      </c>
      <c r="AH16" s="4">
        <f t="shared" ca="1" si="24"/>
        <v>3</v>
      </c>
      <c r="AI16" s="4">
        <f t="shared" ca="1" si="25"/>
        <v>0.13</v>
      </c>
      <c r="AJ16" s="12">
        <f t="shared" ca="1" si="26"/>
        <v>0.18099999999999999</v>
      </c>
      <c r="AK16" s="4">
        <f t="shared" ca="1" si="27"/>
        <v>0.13</v>
      </c>
      <c r="AL16" s="12">
        <f t="shared" ca="1" si="28"/>
        <v>0.19400000000000001</v>
      </c>
      <c r="AM16" s="12">
        <f t="shared" ca="1" si="29"/>
        <v>0.8</v>
      </c>
      <c r="AN16" s="12">
        <f t="shared" ca="1" si="30"/>
        <v>0.7</v>
      </c>
      <c r="AO16" s="12">
        <f t="shared" ca="1" si="31"/>
        <v>0.5</v>
      </c>
      <c r="AP16" s="12">
        <f t="shared" ca="1" si="39"/>
        <v>0.3</v>
      </c>
      <c r="AQ16" s="12">
        <f t="shared" ca="1" si="40"/>
        <v>0.3</v>
      </c>
      <c r="AR16" s="11"/>
      <c r="AS16" s="4"/>
      <c r="AT16" s="11"/>
      <c r="AU16" s="4"/>
      <c r="AV16" s="11"/>
      <c r="AW16" s="4"/>
      <c r="AX16" s="11"/>
    </row>
    <row r="17" spans="1:50" ht="19.899999999999999" customHeight="1" x14ac:dyDescent="0.3">
      <c r="A17" s="2">
        <v>13</v>
      </c>
      <c r="B17" s="13" t="str">
        <f t="shared" ref="B17:D17" ca="1" si="51">INDIRECT(ADDRESS(ROW($B115),COLUMN()))</f>
        <v>zweih</v>
      </c>
      <c r="C17" s="5">
        <f t="shared" ca="1" si="51"/>
        <v>15</v>
      </c>
      <c r="D17" s="6">
        <f t="shared" ca="1" si="51"/>
        <v>1.1499999999999999</v>
      </c>
      <c r="E17" s="15">
        <f t="shared" ca="1" si="1"/>
        <v>23</v>
      </c>
      <c r="F17" s="6">
        <f t="shared" ca="1" si="2"/>
        <v>0.7</v>
      </c>
      <c r="G17" s="6">
        <f t="shared" ca="1" si="3"/>
        <v>0.63</v>
      </c>
      <c r="H17" s="7">
        <f t="shared" ca="1" si="4"/>
        <v>70.400000000000006</v>
      </c>
      <c r="I17" s="6">
        <f t="shared" ca="1" si="5"/>
        <v>1.71</v>
      </c>
      <c r="J17" s="21">
        <f t="shared" ca="1" si="33"/>
        <v>73.599999999999994</v>
      </c>
      <c r="K17" s="20">
        <f t="shared" ca="1" si="34"/>
        <v>0.64</v>
      </c>
      <c r="L17" s="21">
        <f t="shared" ca="1" si="35"/>
        <v>69.900000000000006</v>
      </c>
      <c r="M17" s="20">
        <f t="shared" ca="1" si="36"/>
        <v>1.22</v>
      </c>
      <c r="N17" s="21">
        <f t="shared" ca="1" si="37"/>
        <v>71.7</v>
      </c>
      <c r="O17" s="20">
        <f t="shared" ca="1" si="38"/>
        <v>0.73</v>
      </c>
      <c r="P17" s="4">
        <f t="shared" ca="1" si="6"/>
        <v>0</v>
      </c>
      <c r="Q17" s="11" t="str">
        <f t="shared" ca="1" si="7"/>
        <v>-</v>
      </c>
      <c r="R17" s="4">
        <f t="shared" ca="1" si="8"/>
        <v>0</v>
      </c>
      <c r="S17" s="11" t="str">
        <f t="shared" ca="1" si="9"/>
        <v>-</v>
      </c>
      <c r="T17" s="4">
        <f t="shared" ca="1" si="10"/>
        <v>6</v>
      </c>
      <c r="U17" s="11">
        <f t="shared" ca="1" si="11"/>
        <v>0.96</v>
      </c>
      <c r="V17" s="11">
        <f t="shared" ca="1" si="12"/>
        <v>1.04</v>
      </c>
      <c r="W17" s="11">
        <f t="shared" ca="1" si="13"/>
        <v>1.25</v>
      </c>
      <c r="X17" s="4">
        <f t="shared" ca="1" si="14"/>
        <v>1.28</v>
      </c>
      <c r="Y17" s="11">
        <f t="shared" ca="1" si="15"/>
        <v>1.01</v>
      </c>
      <c r="Z17" s="4">
        <f t="shared" ca="1" si="16"/>
        <v>99.4</v>
      </c>
      <c r="AA17" s="12">
        <f t="shared" ca="1" si="17"/>
        <v>0.122</v>
      </c>
      <c r="AB17" s="12">
        <f t="shared" ca="1" si="18"/>
        <v>0.186</v>
      </c>
      <c r="AC17" s="12">
        <f t="shared" ca="1" si="19"/>
        <v>0.57799999999999996</v>
      </c>
      <c r="AD17" s="17">
        <f t="shared" ca="1" si="20"/>
        <v>0.1072463768115942</v>
      </c>
      <c r="AE17" s="11">
        <f t="shared" ca="1" si="21"/>
        <v>1.07</v>
      </c>
      <c r="AF17" s="12">
        <f t="shared" ca="1" si="22"/>
        <v>0.46666666666666667</v>
      </c>
      <c r="AG17" s="12">
        <f t="shared" ca="1" si="23"/>
        <v>0.16521739130434779</v>
      </c>
      <c r="AH17" s="4">
        <f t="shared" ca="1" si="24"/>
        <v>8</v>
      </c>
      <c r="AI17" s="4">
        <f t="shared" ca="1" si="25"/>
        <v>0.12</v>
      </c>
      <c r="AJ17" s="12">
        <f t="shared" ca="1" si="26"/>
        <v>0.17399999999999999</v>
      </c>
      <c r="AK17" s="4">
        <f t="shared" ca="1" si="27"/>
        <v>0.12</v>
      </c>
      <c r="AL17" s="12">
        <f t="shared" ca="1" si="28"/>
        <v>0.19600000000000001</v>
      </c>
      <c r="AM17" s="12">
        <f t="shared" ca="1" si="29"/>
        <v>0.93333333333333335</v>
      </c>
      <c r="AN17" s="12">
        <f t="shared" ca="1" si="30"/>
        <v>0.66666666666666663</v>
      </c>
      <c r="AO17" s="12">
        <f t="shared" ca="1" si="31"/>
        <v>0.46666666666666667</v>
      </c>
      <c r="AP17" s="12">
        <f t="shared" ca="1" si="39"/>
        <v>0.33333333333333331</v>
      </c>
      <c r="AQ17" s="12">
        <f t="shared" ca="1" si="40"/>
        <v>0.26666666666666666</v>
      </c>
      <c r="AR17" s="11"/>
      <c r="AS17" s="4"/>
      <c r="AT17" s="11"/>
      <c r="AU17" s="4"/>
      <c r="AV17" s="11"/>
      <c r="AW17" s="4"/>
      <c r="AX17" s="11"/>
    </row>
    <row r="18" spans="1:50" ht="19.5" customHeight="1" x14ac:dyDescent="0.3">
      <c r="A18" s="2">
        <v>14</v>
      </c>
      <c r="B18" s="13" t="str">
        <f t="shared" ref="B18:D18" ca="1" si="52">INDIRECT(ADDRESS(ROW($B116),COLUMN()))</f>
        <v>blameF</v>
      </c>
      <c r="C18" s="5">
        <f t="shared" ca="1" si="52"/>
        <v>11</v>
      </c>
      <c r="D18" s="6">
        <f t="shared" ca="1" si="52"/>
        <v>1.1399999999999999</v>
      </c>
      <c r="E18" s="15">
        <f t="shared" ca="1" si="1"/>
        <v>37</v>
      </c>
      <c r="F18" s="6">
        <f t="shared" ca="1" si="2"/>
        <v>0.73</v>
      </c>
      <c r="G18" s="6">
        <f t="shared" ca="1" si="3"/>
        <v>0.59</v>
      </c>
      <c r="H18" s="7">
        <f t="shared" ca="1" si="4"/>
        <v>82.3</v>
      </c>
      <c r="I18" s="6">
        <f t="shared" ca="1" si="5"/>
        <v>1.02</v>
      </c>
      <c r="J18" s="21">
        <f t="shared" ca="1" si="33"/>
        <v>80.8</v>
      </c>
      <c r="K18" s="20">
        <f t="shared" ca="1" si="34"/>
        <v>0.61</v>
      </c>
      <c r="L18" s="21">
        <f t="shared" ca="1" si="35"/>
        <v>76.2</v>
      </c>
      <c r="M18" s="20">
        <f t="shared" ca="1" si="36"/>
        <v>0.92</v>
      </c>
      <c r="N18" s="21">
        <f t="shared" ca="1" si="37"/>
        <v>80.7</v>
      </c>
      <c r="O18" s="20">
        <f t="shared" ca="1" si="38"/>
        <v>0.73</v>
      </c>
      <c r="P18" s="4">
        <f t="shared" ca="1" si="6"/>
        <v>0</v>
      </c>
      <c r="Q18" s="11" t="str">
        <f t="shared" ca="1" si="7"/>
        <v>-</v>
      </c>
      <c r="R18" s="4">
        <f t="shared" ca="1" si="8"/>
        <v>1</v>
      </c>
      <c r="S18" s="11">
        <f t="shared" ca="1" si="9"/>
        <v>1.76</v>
      </c>
      <c r="T18" s="4">
        <f t="shared" ca="1" si="10"/>
        <v>6</v>
      </c>
      <c r="U18" s="11">
        <f t="shared" ca="1" si="11"/>
        <v>1.1499999999999999</v>
      </c>
      <c r="V18" s="11">
        <f t="shared" ca="1" si="12"/>
        <v>1.19</v>
      </c>
      <c r="W18" s="11">
        <f t="shared" ca="1" si="13"/>
        <v>1.0900000000000001</v>
      </c>
      <c r="X18" s="4">
        <f t="shared" ca="1" si="14"/>
        <v>1.38</v>
      </c>
      <c r="Y18" s="11">
        <f t="shared" ca="1" si="15"/>
        <v>0.96</v>
      </c>
      <c r="Z18" s="4">
        <f t="shared" ca="1" si="16"/>
        <v>100.5</v>
      </c>
      <c r="AA18" s="12">
        <f t="shared" ca="1" si="17"/>
        <v>0.17799999999999999</v>
      </c>
      <c r="AB18" s="12">
        <f t="shared" ca="1" si="18"/>
        <v>0.17599999999999999</v>
      </c>
      <c r="AC18" s="12">
        <f t="shared" ca="1" si="19"/>
        <v>0.63</v>
      </c>
      <c r="AD18" s="17">
        <f t="shared" ca="1" si="20"/>
        <v>0.1111111111111111</v>
      </c>
      <c r="AE18" s="11">
        <f t="shared" ca="1" si="21"/>
        <v>1.1100000000000001</v>
      </c>
      <c r="AF18" s="12">
        <f t="shared" ca="1" si="22"/>
        <v>0.52873563218390807</v>
      </c>
      <c r="AG18" s="12">
        <f t="shared" ca="1" si="23"/>
        <v>0.15708812260536401</v>
      </c>
      <c r="AH18" s="4">
        <f t="shared" ca="1" si="24"/>
        <v>7</v>
      </c>
      <c r="AI18" s="4">
        <f t="shared" ca="1" si="25"/>
        <v>0.21</v>
      </c>
      <c r="AJ18" s="12">
        <f t="shared" ca="1" si="26"/>
        <v>0.28399999999999997</v>
      </c>
      <c r="AK18" s="4">
        <f t="shared" ca="1" si="27"/>
        <v>0.09</v>
      </c>
      <c r="AL18" s="12">
        <f t="shared" ca="1" si="28"/>
        <v>0.15</v>
      </c>
      <c r="AM18" s="12">
        <f t="shared" ca="1" si="29"/>
        <v>0.90909090909090906</v>
      </c>
      <c r="AN18" s="12">
        <f t="shared" ca="1" si="30"/>
        <v>0.72727272727272729</v>
      </c>
      <c r="AO18" s="12">
        <f t="shared" ca="1" si="31"/>
        <v>0.54545454545454541</v>
      </c>
      <c r="AP18" s="12">
        <f t="shared" ca="1" si="39"/>
        <v>0.27272727272727271</v>
      </c>
      <c r="AQ18" s="12">
        <f t="shared" ca="1" si="40"/>
        <v>9.0909090909090912E-2</v>
      </c>
      <c r="AR18" s="11"/>
      <c r="AS18" s="4"/>
      <c r="AT18" s="11"/>
      <c r="AU18" s="4"/>
      <c r="AV18" s="11"/>
      <c r="AW18" s="4"/>
      <c r="AX18" s="11"/>
    </row>
    <row r="19" spans="1:50" ht="19.899999999999999" customHeight="1" x14ac:dyDescent="0.3">
      <c r="A19" s="2">
        <v>15</v>
      </c>
      <c r="B19" s="13" t="str">
        <f t="shared" ref="B19:D19" ca="1" si="53">INDIRECT(ADDRESS(ROW($B117),COLUMN()))</f>
        <v>lux</v>
      </c>
      <c r="C19" s="5">
        <f t="shared" ca="1" si="53"/>
        <v>5</v>
      </c>
      <c r="D19" s="6">
        <f t="shared" ca="1" si="53"/>
        <v>1.1399999999999999</v>
      </c>
      <c r="E19" s="15">
        <f t="shared" ca="1" si="1"/>
        <v>-3</v>
      </c>
      <c r="F19" s="6">
        <f t="shared" ca="1" si="2"/>
        <v>0.7</v>
      </c>
      <c r="G19" s="6">
        <f t="shared" ca="1" si="3"/>
        <v>0.73</v>
      </c>
      <c r="H19" s="7">
        <f t="shared" ca="1" si="4"/>
        <v>82.6</v>
      </c>
      <c r="I19" s="6">
        <f t="shared" ca="1" si="5"/>
        <v>1.73</v>
      </c>
      <c r="J19" s="21">
        <f t="shared" ca="1" si="33"/>
        <v>72</v>
      </c>
      <c r="K19" s="20">
        <f t="shared" ca="1" si="34"/>
        <v>0.76</v>
      </c>
      <c r="L19" s="21">
        <f t="shared" ca="1" si="35"/>
        <v>70.5</v>
      </c>
      <c r="M19" s="20">
        <f t="shared" ca="1" si="36"/>
        <v>1.2</v>
      </c>
      <c r="N19" s="21">
        <f t="shared" ca="1" si="37"/>
        <v>85</v>
      </c>
      <c r="O19" s="20">
        <f t="shared" ca="1" si="38"/>
        <v>0.74</v>
      </c>
      <c r="P19" s="4">
        <f t="shared" ca="1" si="6"/>
        <v>0</v>
      </c>
      <c r="Q19" s="11" t="str">
        <f t="shared" ca="1" si="7"/>
        <v>-</v>
      </c>
      <c r="R19" s="4">
        <f t="shared" ca="1" si="8"/>
        <v>0</v>
      </c>
      <c r="S19" s="11" t="str">
        <f t="shared" ca="1" si="9"/>
        <v>-</v>
      </c>
      <c r="T19" s="4">
        <f t="shared" ca="1" si="10"/>
        <v>0</v>
      </c>
      <c r="U19" s="11" t="str">
        <f t="shared" ca="1" si="11"/>
        <v>-</v>
      </c>
      <c r="V19" s="11">
        <f t="shared" ca="1" si="12"/>
        <v>1.1200000000000001</v>
      </c>
      <c r="W19" s="11">
        <f t="shared" ca="1" si="13"/>
        <v>1.17</v>
      </c>
      <c r="X19" s="4">
        <f t="shared" ca="1" si="14"/>
        <v>0.73</v>
      </c>
      <c r="Y19" s="11">
        <f t="shared" ca="1" si="15"/>
        <v>1.06</v>
      </c>
      <c r="Z19" s="4">
        <f t="shared" ca="1" si="16"/>
        <v>114.2</v>
      </c>
      <c r="AA19" s="12">
        <f t="shared" ca="1" si="17"/>
        <v>6.8000000000000005E-2</v>
      </c>
      <c r="AB19" s="12">
        <f t="shared" ca="1" si="18"/>
        <v>0.16800000000000001</v>
      </c>
      <c r="AC19" s="12">
        <f t="shared" ca="1" si="19"/>
        <v>0.55600000000000005</v>
      </c>
      <c r="AD19" s="17">
        <f t="shared" ca="1" si="20"/>
        <v>9.3457943925233641E-2</v>
      </c>
      <c r="AE19" s="11">
        <f t="shared" ca="1" si="21"/>
        <v>1.01</v>
      </c>
      <c r="AF19" s="12">
        <f t="shared" ca="1" si="22"/>
        <v>0.45794392523364491</v>
      </c>
      <c r="AG19" s="12">
        <f t="shared" ca="1" si="23"/>
        <v>0.16822429906542061</v>
      </c>
      <c r="AH19" s="4">
        <f t="shared" ca="1" si="24"/>
        <v>0</v>
      </c>
      <c r="AI19" s="4">
        <f t="shared" ca="1" si="25"/>
        <v>0.17</v>
      </c>
      <c r="AJ19" s="12">
        <f t="shared" ca="1" si="26"/>
        <v>0.24</v>
      </c>
      <c r="AK19" s="4">
        <f t="shared" ca="1" si="27"/>
        <v>0.19</v>
      </c>
      <c r="AL19" s="12">
        <f t="shared" ca="1" si="28"/>
        <v>0.25600000000000001</v>
      </c>
      <c r="AM19" s="12">
        <f t="shared" ca="1" si="29"/>
        <v>1</v>
      </c>
      <c r="AN19" s="12">
        <f t="shared" ca="1" si="30"/>
        <v>0.6</v>
      </c>
      <c r="AO19" s="12">
        <f t="shared" ca="1" si="31"/>
        <v>0.4</v>
      </c>
      <c r="AP19" s="12">
        <f t="shared" ca="1" si="39"/>
        <v>0.4</v>
      </c>
      <c r="AQ19" s="12">
        <f t="shared" ca="1" si="40"/>
        <v>0.2</v>
      </c>
      <c r="AR19" s="11"/>
      <c r="AS19" s="4"/>
      <c r="AT19" s="11"/>
      <c r="AU19" s="4"/>
      <c r="AV19" s="11"/>
      <c r="AW19" s="4"/>
      <c r="AX19" s="11"/>
    </row>
    <row r="20" spans="1:50" ht="19.899999999999999" customHeight="1" x14ac:dyDescent="0.3">
      <c r="A20" s="2">
        <v>16</v>
      </c>
      <c r="B20" s="13" t="str">
        <f t="shared" ref="B20:D20" ca="1" si="54">INDIRECT(ADDRESS(ROW($B118),COLUMN()))</f>
        <v>bobeksde</v>
      </c>
      <c r="C20" s="5">
        <f t="shared" ca="1" si="54"/>
        <v>11</v>
      </c>
      <c r="D20" s="6">
        <f t="shared" ca="1" si="54"/>
        <v>1.1399999999999999</v>
      </c>
      <c r="E20" s="15">
        <f t="shared" ca="1" si="1"/>
        <v>10</v>
      </c>
      <c r="F20" s="6">
        <f t="shared" ca="1" si="2"/>
        <v>0.74</v>
      </c>
      <c r="G20" s="6">
        <f t="shared" ca="1" si="3"/>
        <v>0.7</v>
      </c>
      <c r="H20" s="7">
        <f t="shared" ca="1" si="4"/>
        <v>86</v>
      </c>
      <c r="I20" s="6">
        <f t="shared" ca="1" si="5"/>
        <v>1.07</v>
      </c>
      <c r="J20" s="21">
        <f t="shared" ca="1" si="33"/>
        <v>69.8</v>
      </c>
      <c r="K20" s="20">
        <f t="shared" ca="1" si="34"/>
        <v>0.73</v>
      </c>
      <c r="L20" s="21">
        <f t="shared" ca="1" si="35"/>
        <v>68.599999999999994</v>
      </c>
      <c r="M20" s="20">
        <f t="shared" ca="1" si="36"/>
        <v>1.06</v>
      </c>
      <c r="N20" s="21">
        <f t="shared" ca="1" si="37"/>
        <v>84.4</v>
      </c>
      <c r="O20" s="20">
        <f t="shared" ca="1" si="38"/>
        <v>0.74</v>
      </c>
      <c r="P20" s="4">
        <f t="shared" ca="1" si="6"/>
        <v>0</v>
      </c>
      <c r="Q20" s="11" t="str">
        <f t="shared" ca="1" si="7"/>
        <v>-</v>
      </c>
      <c r="R20" s="4">
        <f t="shared" ca="1" si="8"/>
        <v>2</v>
      </c>
      <c r="S20" s="11">
        <f t="shared" ca="1" si="9"/>
        <v>1.22</v>
      </c>
      <c r="T20" s="4">
        <f t="shared" ca="1" si="10"/>
        <v>7</v>
      </c>
      <c r="U20" s="11">
        <f t="shared" ca="1" si="11"/>
        <v>0.92</v>
      </c>
      <c r="V20" s="11">
        <f t="shared" ca="1" si="12"/>
        <v>1.1200000000000001</v>
      </c>
      <c r="W20" s="11">
        <f t="shared" ca="1" si="13"/>
        <v>1.1599999999999999</v>
      </c>
      <c r="X20" s="4">
        <f t="shared" ca="1" si="14"/>
        <v>1.1499999999999999</v>
      </c>
      <c r="Y20" s="11">
        <f t="shared" ca="1" si="15"/>
        <v>1.0900000000000001</v>
      </c>
      <c r="Z20" s="4">
        <f t="shared" ca="1" si="16"/>
        <v>120.7</v>
      </c>
      <c r="AA20" s="12">
        <f t="shared" ca="1" si="17"/>
        <v>4.3999999999999997E-2</v>
      </c>
      <c r="AB20" s="12">
        <f t="shared" ca="1" si="18"/>
        <v>0.30199999999999999</v>
      </c>
      <c r="AC20" s="12">
        <f t="shared" ca="1" si="19"/>
        <v>0.53400000000000003</v>
      </c>
      <c r="AD20" s="17">
        <f t="shared" ca="1" si="20"/>
        <v>0.16115702479338839</v>
      </c>
      <c r="AE20" s="11">
        <f t="shared" ca="1" si="21"/>
        <v>1.24</v>
      </c>
      <c r="AF20" s="12">
        <f t="shared" ca="1" si="22"/>
        <v>0.5</v>
      </c>
      <c r="AG20" s="12">
        <f t="shared" ca="1" si="23"/>
        <v>0.18595041322314049</v>
      </c>
      <c r="AH20" s="4">
        <f t="shared" ca="1" si="24"/>
        <v>1</v>
      </c>
      <c r="AI20" s="4">
        <f t="shared" ca="1" si="25"/>
        <v>0.12</v>
      </c>
      <c r="AJ20" s="12">
        <f t="shared" ca="1" si="26"/>
        <v>0.161</v>
      </c>
      <c r="AK20" s="4">
        <f t="shared" ca="1" si="27"/>
        <v>0.12</v>
      </c>
      <c r="AL20" s="12">
        <f t="shared" ca="1" si="28"/>
        <v>0.17599999999999999</v>
      </c>
      <c r="AM20" s="12">
        <f t="shared" ca="1" si="29"/>
        <v>0.81818181818181823</v>
      </c>
      <c r="AN20" s="12">
        <f t="shared" ca="1" si="30"/>
        <v>0.72727272727272729</v>
      </c>
      <c r="AO20" s="12">
        <f t="shared" ca="1" si="31"/>
        <v>0.63636363636363635</v>
      </c>
      <c r="AP20" s="12">
        <f t="shared" ca="1" si="39"/>
        <v>0.27272727272727271</v>
      </c>
      <c r="AQ20" s="12">
        <f t="shared" ca="1" si="40"/>
        <v>0.18181818181818182</v>
      </c>
      <c r="AR20" s="11"/>
      <c r="AS20" s="4"/>
      <c r="AT20" s="11"/>
      <c r="AU20" s="4"/>
      <c r="AV20" s="11"/>
      <c r="AW20" s="4"/>
      <c r="AX20" s="11"/>
    </row>
    <row r="21" spans="1:50" ht="19.899999999999999" customHeight="1" x14ac:dyDescent="0.3">
      <c r="A21" s="2">
        <v>17</v>
      </c>
      <c r="B21" s="13" t="str">
        <f t="shared" ref="B21:D21" ca="1" si="55">INDIRECT(ADDRESS(ROW($B119),COLUMN()))</f>
        <v>s1zzi</v>
      </c>
      <c r="C21" s="5">
        <f t="shared" ca="1" si="55"/>
        <v>7</v>
      </c>
      <c r="D21" s="6">
        <f t="shared" ca="1" si="55"/>
        <v>1.1200000000000001</v>
      </c>
      <c r="E21" s="15">
        <f t="shared" ca="1" si="1"/>
        <v>14</v>
      </c>
      <c r="F21" s="6">
        <f t="shared" ca="1" si="2"/>
        <v>0.76</v>
      </c>
      <c r="G21" s="6">
        <f t="shared" ca="1" si="3"/>
        <v>0.68</v>
      </c>
      <c r="H21" s="7">
        <f t="shared" ca="1" si="4"/>
        <v>67.599999999999994</v>
      </c>
      <c r="I21" s="6">
        <f t="shared" ca="1" si="5"/>
        <v>2.09</v>
      </c>
      <c r="J21" s="21">
        <f t="shared" ca="1" si="33"/>
        <v>67.599999999999994</v>
      </c>
      <c r="K21" s="20">
        <f t="shared" ca="1" si="34"/>
        <v>0.73</v>
      </c>
      <c r="L21" s="21">
        <f t="shared" ca="1" si="35"/>
        <v>67.2</v>
      </c>
      <c r="M21" s="20">
        <f t="shared" ca="1" si="36"/>
        <v>1.17</v>
      </c>
      <c r="N21" s="21">
        <f t="shared" ca="1" si="37"/>
        <v>66.3</v>
      </c>
      <c r="O21" s="20">
        <f t="shared" ca="1" si="38"/>
        <v>0.73</v>
      </c>
      <c r="P21" s="4">
        <f t="shared" ca="1" si="6"/>
        <v>0</v>
      </c>
      <c r="Q21" s="11" t="str">
        <f t="shared" ca="1" si="7"/>
        <v>-</v>
      </c>
      <c r="R21" s="4">
        <f t="shared" ca="1" si="8"/>
        <v>0</v>
      </c>
      <c r="S21" s="11" t="str">
        <f t="shared" ca="1" si="9"/>
        <v>-</v>
      </c>
      <c r="T21" s="4">
        <f t="shared" ca="1" si="10"/>
        <v>0</v>
      </c>
      <c r="U21" s="11" t="str">
        <f t="shared" ca="1" si="11"/>
        <v>-</v>
      </c>
      <c r="V21" s="11">
        <f t="shared" ca="1" si="12"/>
        <v>1.4</v>
      </c>
      <c r="W21" s="11">
        <f t="shared" ca="1" si="13"/>
        <v>0.85</v>
      </c>
      <c r="X21" s="4">
        <f t="shared" ca="1" si="14"/>
        <v>1.28</v>
      </c>
      <c r="Y21" s="11">
        <f t="shared" ca="1" si="15"/>
        <v>1.08</v>
      </c>
      <c r="Z21" s="4">
        <f t="shared" ca="1" si="16"/>
        <v>94</v>
      </c>
      <c r="AA21" s="12">
        <f t="shared" ca="1" si="17"/>
        <v>1.0999999999999999E-2</v>
      </c>
      <c r="AB21" s="12">
        <f t="shared" ca="1" si="18"/>
        <v>0.214</v>
      </c>
      <c r="AC21" s="12">
        <f t="shared" ca="1" si="19"/>
        <v>0.59499999999999997</v>
      </c>
      <c r="AD21" s="17">
        <f t="shared" ca="1" si="20"/>
        <v>0.12716763005780349</v>
      </c>
      <c r="AE21" s="11">
        <f t="shared" ca="1" si="21"/>
        <v>1.1599999999999999</v>
      </c>
      <c r="AF21" s="12">
        <f t="shared" ca="1" si="22"/>
        <v>0.49710982658959529</v>
      </c>
      <c r="AG21" s="12">
        <f t="shared" ca="1" si="23"/>
        <v>0.19653179190751449</v>
      </c>
      <c r="AH21" s="4">
        <f t="shared" ca="1" si="24"/>
        <v>1</v>
      </c>
      <c r="AI21" s="4">
        <f t="shared" ca="1" si="25"/>
        <v>0.13</v>
      </c>
      <c r="AJ21" s="12">
        <f t="shared" ca="1" si="26"/>
        <v>0.16700000000000001</v>
      </c>
      <c r="AK21" s="4">
        <f t="shared" ca="1" si="27"/>
        <v>0.14000000000000001</v>
      </c>
      <c r="AL21" s="12">
        <f t="shared" ca="1" si="28"/>
        <v>0.20300000000000001</v>
      </c>
      <c r="AM21" s="12">
        <f t="shared" ca="1" si="29"/>
        <v>1</v>
      </c>
      <c r="AN21" s="12">
        <f t="shared" ca="1" si="30"/>
        <v>0.8571428571428571</v>
      </c>
      <c r="AO21" s="12">
        <f t="shared" ca="1" si="31"/>
        <v>0.2857142857142857</v>
      </c>
      <c r="AP21" s="12">
        <f t="shared" ca="1" si="39"/>
        <v>0.2857142857142857</v>
      </c>
      <c r="AQ21" s="12">
        <f t="shared" ca="1" si="40"/>
        <v>0</v>
      </c>
      <c r="AR21" s="11"/>
      <c r="AS21" s="4"/>
      <c r="AT21" s="11"/>
      <c r="AU21" s="4"/>
      <c r="AV21" s="11"/>
      <c r="AW21" s="4"/>
      <c r="AX21" s="11"/>
    </row>
    <row r="22" spans="1:50" ht="19.899999999999999" customHeight="1" x14ac:dyDescent="0.3">
      <c r="A22" s="2">
        <v>18</v>
      </c>
      <c r="B22" s="13" t="str">
        <f t="shared" ref="B22:D22" ca="1" si="56">INDIRECT(ADDRESS(ROW($B120),COLUMN()))</f>
        <v>zorte</v>
      </c>
      <c r="C22" s="5">
        <f t="shared" ca="1" si="56"/>
        <v>7</v>
      </c>
      <c r="D22" s="6">
        <f t="shared" ca="1" si="56"/>
        <v>1.1200000000000001</v>
      </c>
      <c r="E22" s="15">
        <f t="shared" ca="1" si="1"/>
        <v>20</v>
      </c>
      <c r="F22" s="6">
        <f t="shared" ca="1" si="2"/>
        <v>0.75</v>
      </c>
      <c r="G22" s="6">
        <f t="shared" ca="1" si="3"/>
        <v>0.62</v>
      </c>
      <c r="H22" s="7">
        <f t="shared" ca="1" si="4"/>
        <v>67.8</v>
      </c>
      <c r="I22" s="6">
        <f t="shared" ca="1" si="5"/>
        <v>2.86</v>
      </c>
      <c r="J22" s="21">
        <f t="shared" ca="1" si="33"/>
        <v>74</v>
      </c>
      <c r="K22" s="20">
        <f t="shared" ca="1" si="34"/>
        <v>0.68</v>
      </c>
      <c r="L22" s="21">
        <f t="shared" ca="1" si="35"/>
        <v>70.8</v>
      </c>
      <c r="M22" s="20">
        <f t="shared" ca="1" si="36"/>
        <v>1.03</v>
      </c>
      <c r="N22" s="21">
        <f t="shared" ca="1" si="37"/>
        <v>64.5</v>
      </c>
      <c r="O22" s="20">
        <f t="shared" ca="1" si="38"/>
        <v>0.71</v>
      </c>
      <c r="P22" s="4">
        <f t="shared" ca="1" si="6"/>
        <v>0</v>
      </c>
      <c r="Q22" s="11" t="str">
        <f t="shared" ca="1" si="7"/>
        <v>-</v>
      </c>
      <c r="R22" s="4">
        <f t="shared" ca="1" si="8"/>
        <v>0</v>
      </c>
      <c r="S22" s="11" t="str">
        <f t="shared" ca="1" si="9"/>
        <v>-</v>
      </c>
      <c r="T22" s="4">
        <f t="shared" ca="1" si="10"/>
        <v>2</v>
      </c>
      <c r="U22" s="11">
        <f t="shared" ca="1" si="11"/>
        <v>0.69</v>
      </c>
      <c r="V22" s="11">
        <f t="shared" ca="1" si="12"/>
        <v>1.0900000000000001</v>
      </c>
      <c r="W22" s="11">
        <f t="shared" ca="1" si="13"/>
        <v>1.1499999999999999</v>
      </c>
      <c r="X22" s="4">
        <f t="shared" ca="1" si="14"/>
        <v>1.1100000000000001</v>
      </c>
      <c r="Y22" s="11">
        <f t="shared" ca="1" si="15"/>
        <v>0.99</v>
      </c>
      <c r="Z22" s="4">
        <f t="shared" ca="1" si="16"/>
        <v>87.6</v>
      </c>
      <c r="AA22" s="12">
        <f t="shared" ca="1" si="17"/>
        <v>0.11</v>
      </c>
      <c r="AB22" s="12">
        <f t="shared" ca="1" si="18"/>
        <v>0.20499999999999999</v>
      </c>
      <c r="AC22" s="12">
        <f t="shared" ca="1" si="19"/>
        <v>0.56699999999999995</v>
      </c>
      <c r="AD22" s="17">
        <f t="shared" ca="1" si="20"/>
        <v>0.1164383561643836</v>
      </c>
      <c r="AE22" s="11">
        <f t="shared" ca="1" si="21"/>
        <v>1.1000000000000001</v>
      </c>
      <c r="AF22" s="12">
        <f t="shared" ca="1" si="22"/>
        <v>0.53424657534246578</v>
      </c>
      <c r="AG22" s="12">
        <f t="shared" ca="1" si="23"/>
        <v>0.16438356164383561</v>
      </c>
      <c r="AH22" s="4">
        <f t="shared" ca="1" si="24"/>
        <v>5</v>
      </c>
      <c r="AI22" s="4">
        <f t="shared" ca="1" si="25"/>
        <v>0.14000000000000001</v>
      </c>
      <c r="AJ22" s="12">
        <f t="shared" ca="1" si="26"/>
        <v>0.191</v>
      </c>
      <c r="AK22" s="4">
        <f t="shared" ca="1" si="27"/>
        <v>0.14000000000000001</v>
      </c>
      <c r="AL22" s="12">
        <f t="shared" ca="1" si="28"/>
        <v>0.23300000000000001</v>
      </c>
      <c r="AM22" s="12">
        <f t="shared" ca="1" si="29"/>
        <v>0.7142857142857143</v>
      </c>
      <c r="AN22" s="12">
        <f t="shared" ca="1" si="30"/>
        <v>0.42857142857142855</v>
      </c>
      <c r="AO22" s="12">
        <f t="shared" ca="1" si="31"/>
        <v>0.42857142857142855</v>
      </c>
      <c r="AP22" s="12">
        <f t="shared" ca="1" si="39"/>
        <v>0.42857142857142855</v>
      </c>
      <c r="AQ22" s="12">
        <f t="shared" ca="1" si="40"/>
        <v>0.2857142857142857</v>
      </c>
      <c r="AR22" s="11"/>
      <c r="AS22" s="4"/>
      <c r="AT22" s="11"/>
      <c r="AU22" s="4"/>
      <c r="AV22" s="11"/>
      <c r="AW22" s="4"/>
      <c r="AX22" s="11"/>
    </row>
    <row r="23" spans="1:50" ht="19.899999999999999" customHeight="1" x14ac:dyDescent="0.3">
      <c r="A23" s="2">
        <v>19</v>
      </c>
      <c r="B23" s="13" t="str">
        <f t="shared" ref="B23:D23" ca="1" si="57">INDIRECT(ADDRESS(ROW($B121),COLUMN()))</f>
        <v>r3salt</v>
      </c>
      <c r="C23" s="5">
        <f t="shared" ca="1" si="57"/>
        <v>11</v>
      </c>
      <c r="D23" s="6">
        <f t="shared" ca="1" si="57"/>
        <v>1.1100000000000001</v>
      </c>
      <c r="E23" s="15">
        <f t="shared" ca="1" si="1"/>
        <v>6</v>
      </c>
      <c r="F23" s="6">
        <f t="shared" ca="1" si="2"/>
        <v>0.66</v>
      </c>
      <c r="G23" s="6">
        <f t="shared" ca="1" si="3"/>
        <v>0.64</v>
      </c>
      <c r="H23" s="7">
        <f t="shared" ca="1" si="4"/>
        <v>76.599999999999994</v>
      </c>
      <c r="I23" s="6">
        <f t="shared" ca="1" si="5"/>
        <v>0.68</v>
      </c>
      <c r="J23" s="21">
        <f t="shared" ca="1" si="33"/>
        <v>75.400000000000006</v>
      </c>
      <c r="K23" s="20">
        <f t="shared" ca="1" si="34"/>
        <v>0.66</v>
      </c>
      <c r="L23" s="21">
        <f t="shared" ca="1" si="35"/>
        <v>73.5</v>
      </c>
      <c r="M23" s="20">
        <f t="shared" ca="1" si="36"/>
        <v>1.06</v>
      </c>
      <c r="N23" s="21">
        <f t="shared" ca="1" si="37"/>
        <v>77.400000000000006</v>
      </c>
      <c r="O23" s="20">
        <f t="shared" ca="1" si="38"/>
        <v>0.69</v>
      </c>
      <c r="P23" s="4">
        <f t="shared" ca="1" si="6"/>
        <v>0</v>
      </c>
      <c r="Q23" s="11" t="str">
        <f t="shared" ca="1" si="7"/>
        <v>-</v>
      </c>
      <c r="R23" s="4">
        <f t="shared" ca="1" si="8"/>
        <v>3</v>
      </c>
      <c r="S23" s="11">
        <f t="shared" ca="1" si="9"/>
        <v>1.1599999999999999</v>
      </c>
      <c r="T23" s="4">
        <f t="shared" ca="1" si="10"/>
        <v>5</v>
      </c>
      <c r="U23" s="11">
        <f t="shared" ca="1" si="11"/>
        <v>1.18</v>
      </c>
      <c r="V23" s="11">
        <f t="shared" ca="1" si="12"/>
        <v>1.23</v>
      </c>
      <c r="W23" s="11">
        <f t="shared" ca="1" si="13"/>
        <v>0.99</v>
      </c>
      <c r="X23" s="4">
        <f t="shared" ca="1" si="14"/>
        <v>1.17</v>
      </c>
      <c r="Y23" s="11">
        <f t="shared" ca="1" si="15"/>
        <v>0.85</v>
      </c>
      <c r="Z23" s="4">
        <f t="shared" ca="1" si="16"/>
        <v>98.8</v>
      </c>
      <c r="AA23" s="12">
        <f t="shared" ca="1" si="17"/>
        <v>8.8999999999999996E-2</v>
      </c>
      <c r="AB23" s="12">
        <f t="shared" ca="1" si="18"/>
        <v>0.21199999999999999</v>
      </c>
      <c r="AC23" s="12">
        <f t="shared" ca="1" si="19"/>
        <v>0.48199999999999998</v>
      </c>
      <c r="AD23" s="17">
        <f t="shared" ca="1" si="20"/>
        <v>0.10227272727272731</v>
      </c>
      <c r="AE23" s="11">
        <f t="shared" ca="1" si="21"/>
        <v>0.99</v>
      </c>
      <c r="AF23" s="12">
        <f t="shared" ca="1" si="22"/>
        <v>0.45833333333333331</v>
      </c>
      <c r="AG23" s="12">
        <f t="shared" ca="1" si="23"/>
        <v>0.1553030303030303</v>
      </c>
      <c r="AH23" s="4">
        <f t="shared" ca="1" si="24"/>
        <v>6</v>
      </c>
      <c r="AI23" s="4">
        <f t="shared" ca="1" si="25"/>
        <v>0.16</v>
      </c>
      <c r="AJ23" s="12">
        <f t="shared" ca="1" si="26"/>
        <v>0.24</v>
      </c>
      <c r="AK23" s="4">
        <f t="shared" ca="1" si="27"/>
        <v>0.12</v>
      </c>
      <c r="AL23" s="12">
        <f t="shared" ca="1" si="28"/>
        <v>0.189</v>
      </c>
      <c r="AM23" s="12">
        <f t="shared" ca="1" si="29"/>
        <v>0.81818181818181823</v>
      </c>
      <c r="AN23" s="12">
        <f t="shared" ca="1" si="30"/>
        <v>0.72727272727272729</v>
      </c>
      <c r="AO23" s="12">
        <f t="shared" ca="1" si="31"/>
        <v>0.63636363636363635</v>
      </c>
      <c r="AP23" s="12">
        <f t="shared" ca="1" si="39"/>
        <v>9.0909090909090912E-2</v>
      </c>
      <c r="AQ23" s="12">
        <f t="shared" ca="1" si="40"/>
        <v>9.0909090909090912E-2</v>
      </c>
      <c r="AR23" s="11"/>
      <c r="AS23" s="4"/>
      <c r="AT23" s="11"/>
      <c r="AU23" s="4"/>
      <c r="AV23" s="11"/>
      <c r="AW23" s="4"/>
      <c r="AX23" s="11"/>
    </row>
    <row r="24" spans="1:50" ht="19.899999999999999" customHeight="1" x14ac:dyDescent="0.3">
      <c r="A24" s="2">
        <v>20</v>
      </c>
      <c r="B24" s="13" t="str">
        <f t="shared" ref="B24:D24" ca="1" si="58">INDIRECT(ADDRESS(ROW($B122),COLUMN()))</f>
        <v>xiELO</v>
      </c>
      <c r="C24" s="5">
        <f t="shared" ca="1" si="58"/>
        <v>15</v>
      </c>
      <c r="D24" s="6">
        <f t="shared" ca="1" si="58"/>
        <v>1.1100000000000001</v>
      </c>
      <c r="E24" s="15">
        <f t="shared" ca="1" si="1"/>
        <v>26</v>
      </c>
      <c r="F24" s="6">
        <f t="shared" ca="1" si="2"/>
        <v>0.72</v>
      </c>
      <c r="G24" s="6">
        <f t="shared" ca="1" si="3"/>
        <v>0.65</v>
      </c>
      <c r="H24" s="7">
        <f t="shared" ca="1" si="4"/>
        <v>77.900000000000006</v>
      </c>
      <c r="I24" s="6">
        <f t="shared" ca="1" si="5"/>
        <v>0.52</v>
      </c>
      <c r="J24" s="21">
        <f t="shared" ca="1" si="33"/>
        <v>72.8</v>
      </c>
      <c r="K24" s="20">
        <f t="shared" ca="1" si="34"/>
        <v>0.68</v>
      </c>
      <c r="L24" s="21">
        <f t="shared" ca="1" si="35"/>
        <v>68.8</v>
      </c>
      <c r="M24" s="20">
        <f t="shared" ca="1" si="36"/>
        <v>1.21</v>
      </c>
      <c r="N24" s="21">
        <f t="shared" ca="1" si="37"/>
        <v>77.7</v>
      </c>
      <c r="O24" s="20">
        <f t="shared" ca="1" si="38"/>
        <v>0.74</v>
      </c>
      <c r="P24" s="4">
        <f t="shared" ca="1" si="6"/>
        <v>0</v>
      </c>
      <c r="Q24" s="11" t="str">
        <f t="shared" ca="1" si="7"/>
        <v>-</v>
      </c>
      <c r="R24" s="4">
        <f t="shared" ca="1" si="8"/>
        <v>0</v>
      </c>
      <c r="S24" s="11" t="str">
        <f t="shared" ca="1" si="9"/>
        <v>-</v>
      </c>
      <c r="T24" s="4">
        <f t="shared" ca="1" si="10"/>
        <v>6</v>
      </c>
      <c r="U24" s="11">
        <f t="shared" ca="1" si="11"/>
        <v>1.04</v>
      </c>
      <c r="V24" s="11">
        <f t="shared" ca="1" si="12"/>
        <v>1.0900000000000001</v>
      </c>
      <c r="W24" s="11">
        <f t="shared" ca="1" si="13"/>
        <v>1.1200000000000001</v>
      </c>
      <c r="X24" s="4">
        <f t="shared" ca="1" si="14"/>
        <v>1.07</v>
      </c>
      <c r="Y24" s="11">
        <f t="shared" ca="1" si="15"/>
        <v>0.97</v>
      </c>
      <c r="Z24" s="4">
        <f t="shared" ca="1" si="16"/>
        <v>99.6</v>
      </c>
      <c r="AA24" s="12">
        <f t="shared" ca="1" si="17"/>
        <v>0.122</v>
      </c>
      <c r="AB24" s="12">
        <f t="shared" ca="1" si="18"/>
        <v>0.217</v>
      </c>
      <c r="AC24" s="12">
        <f t="shared" ca="1" si="19"/>
        <v>0.53300000000000003</v>
      </c>
      <c r="AD24" s="17">
        <f t="shared" ca="1" si="20"/>
        <v>0.11594202898550721</v>
      </c>
      <c r="AE24" s="11">
        <f t="shared" ca="1" si="21"/>
        <v>1.08</v>
      </c>
      <c r="AF24" s="12">
        <f t="shared" ca="1" si="22"/>
        <v>0.48115942028985509</v>
      </c>
      <c r="AG24" s="12">
        <f t="shared" ca="1" si="23"/>
        <v>0.18260869565217391</v>
      </c>
      <c r="AH24" s="4">
        <f t="shared" ca="1" si="24"/>
        <v>3</v>
      </c>
      <c r="AI24" s="4">
        <f t="shared" ca="1" si="25"/>
        <v>0.13</v>
      </c>
      <c r="AJ24" s="12">
        <f t="shared" ca="1" si="26"/>
        <v>0.17599999999999999</v>
      </c>
      <c r="AK24" s="4">
        <f t="shared" ca="1" si="27"/>
        <v>0.13</v>
      </c>
      <c r="AL24" s="12">
        <f t="shared" ca="1" si="28"/>
        <v>0.19600000000000001</v>
      </c>
      <c r="AM24" s="12">
        <f t="shared" ca="1" si="29"/>
        <v>1</v>
      </c>
      <c r="AN24" s="12">
        <f t="shared" ca="1" si="30"/>
        <v>0.8</v>
      </c>
      <c r="AO24" s="12">
        <f t="shared" ca="1" si="31"/>
        <v>0.33333333333333331</v>
      </c>
      <c r="AP24" s="12">
        <f t="shared" ca="1" si="39"/>
        <v>0.13333333333333333</v>
      </c>
      <c r="AQ24" s="12">
        <f t="shared" ca="1" si="40"/>
        <v>0.13333333333333333</v>
      </c>
      <c r="AR24" s="11"/>
      <c r="AS24" s="4"/>
      <c r="AT24" s="11"/>
      <c r="AU24" s="4"/>
      <c r="AV24" s="11"/>
      <c r="AW24" s="4"/>
      <c r="AX24" s="11"/>
    </row>
    <row r="25" spans="1:50" ht="19.899999999999999" customHeight="1" x14ac:dyDescent="0.3">
      <c r="A25" s="2">
        <v>21</v>
      </c>
      <c r="B25" s="13" t="str">
        <f t="shared" ref="B25:D25" ca="1" si="59">INDIRECT(ADDRESS(ROW($B123),COLUMN()))</f>
        <v>dgt</v>
      </c>
      <c r="C25" s="5">
        <f t="shared" ca="1" si="59"/>
        <v>16</v>
      </c>
      <c r="D25" s="6">
        <f t="shared" ca="1" si="59"/>
        <v>1.1000000000000001</v>
      </c>
      <c r="E25" s="15">
        <f t="shared" ca="1" si="1"/>
        <v>52</v>
      </c>
      <c r="F25" s="6">
        <f t="shared" ca="1" si="2"/>
        <v>0.75</v>
      </c>
      <c r="G25" s="6">
        <f t="shared" ca="1" si="3"/>
        <v>0.61</v>
      </c>
      <c r="H25" s="7">
        <f t="shared" ca="1" si="4"/>
        <v>79.900000000000006</v>
      </c>
      <c r="I25" s="6">
        <f t="shared" ca="1" si="5"/>
        <v>0.73</v>
      </c>
      <c r="J25" s="21">
        <f t="shared" ca="1" si="33"/>
        <v>75.400000000000006</v>
      </c>
      <c r="K25" s="20">
        <f t="shared" ca="1" si="34"/>
        <v>0.65</v>
      </c>
      <c r="L25" s="21">
        <f t="shared" ca="1" si="35"/>
        <v>70.7</v>
      </c>
      <c r="M25" s="20">
        <f t="shared" ca="1" si="36"/>
        <v>1</v>
      </c>
      <c r="N25" s="21">
        <f t="shared" ca="1" si="37"/>
        <v>77.400000000000006</v>
      </c>
      <c r="O25" s="20">
        <f t="shared" ca="1" si="38"/>
        <v>0.73</v>
      </c>
      <c r="P25" s="4">
        <f t="shared" ca="1" si="6"/>
        <v>0</v>
      </c>
      <c r="Q25" s="11" t="str">
        <f t="shared" ca="1" si="7"/>
        <v>-</v>
      </c>
      <c r="R25" s="4">
        <f t="shared" ca="1" si="8"/>
        <v>0</v>
      </c>
      <c r="S25" s="11" t="str">
        <f t="shared" ca="1" si="9"/>
        <v>-</v>
      </c>
      <c r="T25" s="4">
        <f t="shared" ca="1" si="10"/>
        <v>3</v>
      </c>
      <c r="U25" s="11">
        <f t="shared" ca="1" si="11"/>
        <v>1.4</v>
      </c>
      <c r="V25" s="11">
        <f t="shared" ca="1" si="12"/>
        <v>1.1200000000000001</v>
      </c>
      <c r="W25" s="11">
        <f t="shared" ca="1" si="13"/>
        <v>1.0900000000000001</v>
      </c>
      <c r="X25" s="4">
        <f t="shared" ca="1" si="14"/>
        <v>1.2</v>
      </c>
      <c r="Y25" s="11">
        <f t="shared" ca="1" si="15"/>
        <v>1</v>
      </c>
      <c r="Z25" s="4">
        <f t="shared" ca="1" si="16"/>
        <v>102.8</v>
      </c>
      <c r="AA25" s="12">
        <f t="shared" ca="1" si="17"/>
        <v>0.158</v>
      </c>
      <c r="AB25" s="12">
        <f t="shared" ca="1" si="18"/>
        <v>0.26</v>
      </c>
      <c r="AC25" s="12">
        <f t="shared" ca="1" si="19"/>
        <v>0.53700000000000003</v>
      </c>
      <c r="AD25" s="17">
        <f t="shared" ca="1" si="20"/>
        <v>0.13934426229508201</v>
      </c>
      <c r="AE25" s="11">
        <f t="shared" ca="1" si="21"/>
        <v>1.1599999999999999</v>
      </c>
      <c r="AF25" s="12">
        <f t="shared" ca="1" si="22"/>
        <v>0.52459016393442626</v>
      </c>
      <c r="AG25" s="12">
        <f t="shared" ca="1" si="23"/>
        <v>0.17759562841530049</v>
      </c>
      <c r="AH25" s="4">
        <f t="shared" ca="1" si="24"/>
        <v>4</v>
      </c>
      <c r="AI25" s="4">
        <f t="shared" ca="1" si="25"/>
        <v>0.13</v>
      </c>
      <c r="AJ25" s="12">
        <f t="shared" ca="1" si="26"/>
        <v>0.16800000000000001</v>
      </c>
      <c r="AK25" s="4">
        <f t="shared" ca="1" si="27"/>
        <v>0.12</v>
      </c>
      <c r="AL25" s="12">
        <f t="shared" ca="1" si="28"/>
        <v>0.19400000000000001</v>
      </c>
      <c r="AM25" s="12">
        <f t="shared" ca="1" si="29"/>
        <v>0.75</v>
      </c>
      <c r="AN25" s="12">
        <f t="shared" ca="1" si="30"/>
        <v>0.75</v>
      </c>
      <c r="AO25" s="12">
        <f t="shared" ca="1" si="31"/>
        <v>0.5</v>
      </c>
      <c r="AP25" s="12">
        <f t="shared" ca="1" si="39"/>
        <v>0.3125</v>
      </c>
      <c r="AQ25" s="12">
        <f t="shared" ca="1" si="40"/>
        <v>0.25</v>
      </c>
      <c r="AR25" s="11"/>
      <c r="AS25" s="4"/>
      <c r="AT25" s="11"/>
      <c r="AU25" s="4"/>
      <c r="AV25" s="11"/>
      <c r="AW25" s="4"/>
      <c r="AX25" s="11"/>
    </row>
    <row r="26" spans="1:50" ht="19.899999999999999" customHeight="1" x14ac:dyDescent="0.3">
      <c r="A26" s="2">
        <v>22</v>
      </c>
      <c r="B26" s="13" t="str">
        <f t="shared" ref="B26:D26" ca="1" si="60">INDIRECT(ADDRESS(ROW($B124),COLUMN()))</f>
        <v>maxster</v>
      </c>
      <c r="C26" s="5">
        <f t="shared" ca="1" si="60"/>
        <v>10</v>
      </c>
      <c r="D26" s="6">
        <f t="shared" ca="1" si="60"/>
        <v>1.1000000000000001</v>
      </c>
      <c r="E26" s="15">
        <f t="shared" ca="1" si="1"/>
        <v>8</v>
      </c>
      <c r="F26" s="6">
        <f t="shared" ca="1" si="2"/>
        <v>0.7</v>
      </c>
      <c r="G26" s="6">
        <f t="shared" ca="1" si="3"/>
        <v>0.67</v>
      </c>
      <c r="H26" s="7">
        <f t="shared" ca="1" si="4"/>
        <v>77.900000000000006</v>
      </c>
      <c r="I26" s="6">
        <f t="shared" ca="1" si="5"/>
        <v>0.56999999999999995</v>
      </c>
      <c r="J26" s="21">
        <f t="shared" ca="1" si="33"/>
        <v>76.400000000000006</v>
      </c>
      <c r="K26" s="20">
        <f t="shared" ca="1" si="34"/>
        <v>0.69</v>
      </c>
      <c r="L26" s="21">
        <f t="shared" ca="1" si="35"/>
        <v>72.599999999999994</v>
      </c>
      <c r="M26" s="20">
        <f t="shared" ca="1" si="36"/>
        <v>0.99</v>
      </c>
      <c r="N26" s="21">
        <f t="shared" ca="1" si="37"/>
        <v>79</v>
      </c>
      <c r="O26" s="20">
        <f t="shared" ca="1" si="38"/>
        <v>0.72</v>
      </c>
      <c r="P26" s="4">
        <f t="shared" ca="1" si="6"/>
        <v>0</v>
      </c>
      <c r="Q26" s="11" t="str">
        <f t="shared" ca="1" si="7"/>
        <v>-</v>
      </c>
      <c r="R26" s="4">
        <f t="shared" ca="1" si="8"/>
        <v>1</v>
      </c>
      <c r="S26" s="11">
        <f t="shared" ca="1" si="9"/>
        <v>1.6</v>
      </c>
      <c r="T26" s="4">
        <f t="shared" ca="1" si="10"/>
        <v>1</v>
      </c>
      <c r="U26" s="11">
        <f t="shared" ca="1" si="11"/>
        <v>1.6</v>
      </c>
      <c r="V26" s="11">
        <f t="shared" ca="1" si="12"/>
        <v>1.28</v>
      </c>
      <c r="W26" s="11">
        <f t="shared" ca="1" si="13"/>
        <v>0.92</v>
      </c>
      <c r="X26" s="4">
        <f t="shared" ca="1" si="14"/>
        <v>1.34</v>
      </c>
      <c r="Y26" s="11">
        <f t="shared" ca="1" si="15"/>
        <v>0.98</v>
      </c>
      <c r="Z26" s="4">
        <f t="shared" ca="1" si="16"/>
        <v>107.9</v>
      </c>
      <c r="AA26" s="12">
        <f t="shared" ca="1" si="17"/>
        <v>7.4999999999999997E-2</v>
      </c>
      <c r="AB26" s="12">
        <f t="shared" ca="1" si="18"/>
        <v>0.20499999999999999</v>
      </c>
      <c r="AC26" s="12">
        <f t="shared" ca="1" si="19"/>
        <v>0.5</v>
      </c>
      <c r="AD26" s="17">
        <f t="shared" ca="1" si="20"/>
        <v>0.10236220472440941</v>
      </c>
      <c r="AE26" s="11">
        <f t="shared" ca="1" si="21"/>
        <v>1.01</v>
      </c>
      <c r="AF26" s="12">
        <f t="shared" ca="1" si="22"/>
        <v>0.50787401574803148</v>
      </c>
      <c r="AG26" s="12">
        <f t="shared" ca="1" si="23"/>
        <v>0.14960629921259841</v>
      </c>
      <c r="AH26" s="4">
        <f t="shared" ca="1" si="24"/>
        <v>1</v>
      </c>
      <c r="AI26" s="4">
        <f t="shared" ca="1" si="25"/>
        <v>0.11</v>
      </c>
      <c r="AJ26" s="12">
        <f t="shared" ca="1" si="26"/>
        <v>0.157</v>
      </c>
      <c r="AK26" s="4">
        <f t="shared" ca="1" si="27"/>
        <v>0.09</v>
      </c>
      <c r="AL26" s="12">
        <f t="shared" ca="1" si="28"/>
        <v>0.13500000000000001</v>
      </c>
      <c r="AM26" s="12">
        <f t="shared" ca="1" si="29"/>
        <v>0.8</v>
      </c>
      <c r="AN26" s="12">
        <f t="shared" ca="1" si="30"/>
        <v>0.6</v>
      </c>
      <c r="AO26" s="12">
        <f t="shared" ca="1" si="31"/>
        <v>0.4</v>
      </c>
      <c r="AP26" s="12">
        <f t="shared" ca="1" si="39"/>
        <v>0.3</v>
      </c>
      <c r="AQ26" s="12">
        <f t="shared" ca="1" si="40"/>
        <v>0.3</v>
      </c>
      <c r="AR26" s="11"/>
      <c r="AS26" s="4"/>
      <c r="AT26" s="11"/>
      <c r="AU26" s="4"/>
      <c r="AV26" s="11"/>
      <c r="AW26" s="4"/>
      <c r="AX26" s="11"/>
    </row>
    <row r="27" spans="1:50" ht="19.899999999999999" customHeight="1" x14ac:dyDescent="0.3">
      <c r="A27" s="2">
        <v>23</v>
      </c>
      <c r="B27" s="13" t="str">
        <f t="shared" ref="B27:D27" ca="1" si="61">INDIRECT(ADDRESS(ROW($B125),COLUMN()))</f>
        <v>JDC</v>
      </c>
      <c r="C27" s="5">
        <f t="shared" ca="1" si="61"/>
        <v>11</v>
      </c>
      <c r="D27" s="6">
        <f t="shared" ca="1" si="61"/>
        <v>1.0900000000000001</v>
      </c>
      <c r="E27" s="15">
        <f t="shared" ca="1" si="1"/>
        <v>-1</v>
      </c>
      <c r="F27" s="6">
        <f t="shared" ca="1" si="2"/>
        <v>0.71</v>
      </c>
      <c r="G27" s="6">
        <f t="shared" ca="1" si="3"/>
        <v>0.72</v>
      </c>
      <c r="H27" s="7">
        <f t="shared" ca="1" si="4"/>
        <v>79.900000000000006</v>
      </c>
      <c r="I27" s="6">
        <f t="shared" ca="1" si="5"/>
        <v>0.04</v>
      </c>
      <c r="J27" s="21">
        <f t="shared" ca="1" si="33"/>
        <v>72.400000000000006</v>
      </c>
      <c r="K27" s="20">
        <f t="shared" ca="1" si="34"/>
        <v>0.73</v>
      </c>
      <c r="L27" s="21">
        <f t="shared" ca="1" si="35"/>
        <v>73.2</v>
      </c>
      <c r="M27" s="20">
        <f t="shared" ca="1" si="36"/>
        <v>1.05</v>
      </c>
      <c r="N27" s="21">
        <f t="shared" ca="1" si="37"/>
        <v>79.8</v>
      </c>
      <c r="O27" s="20">
        <f t="shared" ca="1" si="38"/>
        <v>0.72</v>
      </c>
      <c r="P27" s="4">
        <f t="shared" ca="1" si="6"/>
        <v>0</v>
      </c>
      <c r="Q27" s="11" t="str">
        <f t="shared" ca="1" si="7"/>
        <v>-</v>
      </c>
      <c r="R27" s="4">
        <f t="shared" ca="1" si="8"/>
        <v>1</v>
      </c>
      <c r="S27" s="11">
        <f t="shared" ca="1" si="9"/>
        <v>0.94</v>
      </c>
      <c r="T27" s="4">
        <f t="shared" ca="1" si="10"/>
        <v>6</v>
      </c>
      <c r="U27" s="11">
        <f t="shared" ca="1" si="11"/>
        <v>1.03</v>
      </c>
      <c r="V27" s="11">
        <f t="shared" ca="1" si="12"/>
        <v>1.07</v>
      </c>
      <c r="W27" s="11">
        <f t="shared" ca="1" si="13"/>
        <v>1.1100000000000001</v>
      </c>
      <c r="X27" s="4">
        <f t="shared" ca="1" si="14"/>
        <v>1.47</v>
      </c>
      <c r="Y27" s="11">
        <f t="shared" ca="1" si="15"/>
        <v>1.04</v>
      </c>
      <c r="Z27" s="4">
        <f t="shared" ca="1" si="16"/>
        <v>109.1</v>
      </c>
      <c r="AA27" s="12">
        <f t="shared" ca="1" si="17"/>
        <v>0.03</v>
      </c>
      <c r="AB27" s="12">
        <f t="shared" ca="1" si="18"/>
        <v>0.26100000000000001</v>
      </c>
      <c r="AC27" s="12">
        <f t="shared" ca="1" si="19"/>
        <v>0.5</v>
      </c>
      <c r="AD27" s="17">
        <f t="shared" ca="1" si="20"/>
        <v>0.13026819923371649</v>
      </c>
      <c r="AE27" s="11">
        <f t="shared" ca="1" si="21"/>
        <v>1.1000000000000001</v>
      </c>
      <c r="AF27" s="12">
        <f t="shared" ca="1" si="22"/>
        <v>0.47892720306513409</v>
      </c>
      <c r="AG27" s="12">
        <f t="shared" ca="1" si="23"/>
        <v>0.1877394636015326</v>
      </c>
      <c r="AH27" s="4">
        <f t="shared" ca="1" si="24"/>
        <v>4</v>
      </c>
      <c r="AI27" s="4">
        <f t="shared" ca="1" si="25"/>
        <v>0.16</v>
      </c>
      <c r="AJ27" s="12">
        <f t="shared" ca="1" si="26"/>
        <v>0.22</v>
      </c>
      <c r="AK27" s="4">
        <f t="shared" ca="1" si="27"/>
        <v>0.17</v>
      </c>
      <c r="AL27" s="12">
        <f t="shared" ca="1" si="28"/>
        <v>0.23499999999999999</v>
      </c>
      <c r="AM27" s="12">
        <f t="shared" ca="1" si="29"/>
        <v>0.81818181818181823</v>
      </c>
      <c r="AN27" s="12">
        <f t="shared" ca="1" si="30"/>
        <v>0.54545454545454541</v>
      </c>
      <c r="AO27" s="12">
        <f t="shared" ca="1" si="31"/>
        <v>0.45454545454545453</v>
      </c>
      <c r="AP27" s="12">
        <f t="shared" ca="1" si="39"/>
        <v>0.18181818181818182</v>
      </c>
      <c r="AQ27" s="12">
        <f t="shared" ca="1" si="40"/>
        <v>9.0909090909090912E-2</v>
      </c>
      <c r="AR27" s="11"/>
      <c r="AS27" s="4"/>
      <c r="AT27" s="11"/>
      <c r="AU27" s="4"/>
      <c r="AV27" s="11"/>
      <c r="AW27" s="4"/>
      <c r="AX27" s="11"/>
    </row>
    <row r="28" spans="1:50" ht="19.899999999999999" customHeight="1" x14ac:dyDescent="0.3">
      <c r="A28" s="2">
        <v>24</v>
      </c>
      <c r="B28" s="13" t="str">
        <f t="shared" ref="B28:D28" ca="1" si="62">INDIRECT(ADDRESS(ROW($B126),COLUMN()))</f>
        <v>Westmelon</v>
      </c>
      <c r="C28" s="5">
        <f t="shared" ca="1" si="62"/>
        <v>5</v>
      </c>
      <c r="D28" s="6">
        <f t="shared" ca="1" si="62"/>
        <v>1.0900000000000001</v>
      </c>
      <c r="E28" s="15">
        <f t="shared" ca="1" si="1"/>
        <v>-13</v>
      </c>
      <c r="F28" s="6">
        <f t="shared" ca="1" si="2"/>
        <v>0.62</v>
      </c>
      <c r="G28" s="6">
        <f t="shared" ca="1" si="3"/>
        <v>0.73</v>
      </c>
      <c r="H28" s="7">
        <f t="shared" ca="1" si="4"/>
        <v>78.099999999999994</v>
      </c>
      <c r="I28" s="6">
        <f t="shared" ca="1" si="5"/>
        <v>1.34</v>
      </c>
      <c r="J28" s="21">
        <f t="shared" ca="1" si="33"/>
        <v>73.3</v>
      </c>
      <c r="K28" s="20">
        <f t="shared" ca="1" si="34"/>
        <v>0.74</v>
      </c>
      <c r="L28" s="21">
        <f t="shared" ca="1" si="35"/>
        <v>68.900000000000006</v>
      </c>
      <c r="M28" s="20">
        <f t="shared" ca="1" si="36"/>
        <v>1.1200000000000001</v>
      </c>
      <c r="N28" s="21">
        <f t="shared" ca="1" si="37"/>
        <v>82.2</v>
      </c>
      <c r="O28" s="20">
        <f t="shared" ca="1" si="38"/>
        <v>0.68</v>
      </c>
      <c r="P28" s="4">
        <f t="shared" ca="1" si="6"/>
        <v>0</v>
      </c>
      <c r="Q28" s="11" t="str">
        <f t="shared" ca="1" si="7"/>
        <v>-</v>
      </c>
      <c r="R28" s="4">
        <f t="shared" ca="1" si="8"/>
        <v>0</v>
      </c>
      <c r="S28" s="11" t="str">
        <f t="shared" ca="1" si="9"/>
        <v>-</v>
      </c>
      <c r="T28" s="4">
        <f t="shared" ca="1" si="10"/>
        <v>4</v>
      </c>
      <c r="U28" s="11">
        <f t="shared" ca="1" si="11"/>
        <v>1.08</v>
      </c>
      <c r="V28" s="11">
        <f t="shared" ca="1" si="12"/>
        <v>1.1399999999999999</v>
      </c>
      <c r="W28" s="11">
        <f t="shared" ca="1" si="13"/>
        <v>1.02</v>
      </c>
      <c r="X28" s="4">
        <f t="shared" ca="1" si="14"/>
        <v>0.68</v>
      </c>
      <c r="Y28" s="11">
        <f t="shared" ca="1" si="15"/>
        <v>0.88</v>
      </c>
      <c r="Z28" s="4">
        <f t="shared" ca="1" si="16"/>
        <v>110.6</v>
      </c>
      <c r="AA28" s="12">
        <f t="shared" ca="1" si="17"/>
        <v>6.0999999999999999E-2</v>
      </c>
      <c r="AB28" s="12">
        <f t="shared" ca="1" si="18"/>
        <v>0.18099999999999999</v>
      </c>
      <c r="AC28" s="12">
        <f t="shared" ca="1" si="19"/>
        <v>0.23799999999999999</v>
      </c>
      <c r="AD28" s="17">
        <f t="shared" ca="1" si="20"/>
        <v>4.3103448275862072E-2</v>
      </c>
      <c r="AE28" s="11">
        <f t="shared" ca="1" si="21"/>
        <v>0.65</v>
      </c>
      <c r="AF28" s="12">
        <f t="shared" ca="1" si="22"/>
        <v>0.48275862068965519</v>
      </c>
      <c r="AG28" s="12">
        <f t="shared" ca="1" si="23"/>
        <v>0.1120689655172414</v>
      </c>
      <c r="AH28" s="4">
        <f t="shared" ca="1" si="24"/>
        <v>2</v>
      </c>
      <c r="AI28" s="4">
        <f t="shared" ca="1" si="25"/>
        <v>0.14000000000000001</v>
      </c>
      <c r="AJ28" s="12">
        <f t="shared" ca="1" si="26"/>
        <v>0.222</v>
      </c>
      <c r="AK28" s="4">
        <f t="shared" ca="1" si="27"/>
        <v>0.15</v>
      </c>
      <c r="AL28" s="12">
        <f t="shared" ca="1" si="28"/>
        <v>0.2</v>
      </c>
      <c r="AM28" s="12">
        <f t="shared" ca="1" si="29"/>
        <v>1</v>
      </c>
      <c r="AN28" s="12">
        <f t="shared" ca="1" si="30"/>
        <v>0.8</v>
      </c>
      <c r="AO28" s="12">
        <f t="shared" ca="1" si="31"/>
        <v>0.2</v>
      </c>
      <c r="AP28" s="12">
        <f t="shared" ca="1" si="39"/>
        <v>0</v>
      </c>
      <c r="AQ28" s="12">
        <f t="shared" ca="1" si="40"/>
        <v>0</v>
      </c>
      <c r="AR28" s="11"/>
      <c r="AS28" s="4"/>
      <c r="AT28" s="11"/>
      <c r="AU28" s="4"/>
      <c r="AV28" s="11"/>
      <c r="AW28" s="4"/>
      <c r="AX28" s="11"/>
    </row>
    <row r="29" spans="1:50" ht="19.899999999999999" customHeight="1" x14ac:dyDescent="0.3">
      <c r="A29" s="2">
        <v>25</v>
      </c>
      <c r="B29" s="13" t="str">
        <f t="shared" ref="B29:D29" ca="1" si="63">INDIRECT(ADDRESS(ROW($B127),COLUMN()))</f>
        <v>d1Ledez</v>
      </c>
      <c r="C29" s="5">
        <f t="shared" ca="1" si="63"/>
        <v>7</v>
      </c>
      <c r="D29" s="6">
        <f t="shared" ca="1" si="63"/>
        <v>1.08</v>
      </c>
      <c r="E29" s="15">
        <f t="shared" ca="1" si="1"/>
        <v>3</v>
      </c>
      <c r="F29" s="6">
        <f t="shared" ca="1" si="2"/>
        <v>0.73</v>
      </c>
      <c r="G29" s="6">
        <f t="shared" ca="1" si="3"/>
        <v>0.71</v>
      </c>
      <c r="H29" s="7">
        <f t="shared" ca="1" si="4"/>
        <v>74.7</v>
      </c>
      <c r="I29" s="6">
        <f t="shared" ca="1" si="5"/>
        <v>-0.21</v>
      </c>
      <c r="J29" s="21">
        <f t="shared" ca="1" si="33"/>
        <v>68.5</v>
      </c>
      <c r="K29" s="20">
        <f t="shared" ca="1" si="34"/>
        <v>0.7</v>
      </c>
      <c r="L29" s="21">
        <f t="shared" ca="1" si="35"/>
        <v>67.900000000000006</v>
      </c>
      <c r="M29" s="20">
        <f t="shared" ca="1" si="36"/>
        <v>1.1000000000000001</v>
      </c>
      <c r="N29" s="21">
        <f t="shared" ca="1" si="37"/>
        <v>75.2</v>
      </c>
      <c r="O29" s="20">
        <f t="shared" ca="1" si="38"/>
        <v>0.74</v>
      </c>
      <c r="P29" s="4">
        <f t="shared" ca="1" si="6"/>
        <v>0</v>
      </c>
      <c r="Q29" s="11" t="str">
        <f t="shared" ca="1" si="7"/>
        <v>-</v>
      </c>
      <c r="R29" s="4">
        <f t="shared" ca="1" si="8"/>
        <v>0</v>
      </c>
      <c r="S29" s="11" t="str">
        <f t="shared" ca="1" si="9"/>
        <v>-</v>
      </c>
      <c r="T29" s="4">
        <f t="shared" ca="1" si="10"/>
        <v>2</v>
      </c>
      <c r="U29" s="11">
        <f t="shared" ca="1" si="11"/>
        <v>0.84</v>
      </c>
      <c r="V29" s="11">
        <f t="shared" ca="1" si="12"/>
        <v>1.44</v>
      </c>
      <c r="W29" s="11">
        <f t="shared" ca="1" si="13"/>
        <v>0.78</v>
      </c>
      <c r="X29" s="4">
        <f t="shared" ca="1" si="14"/>
        <v>1.26</v>
      </c>
      <c r="Y29" s="11">
        <f t="shared" ca="1" si="15"/>
        <v>1.03</v>
      </c>
      <c r="Z29" s="4">
        <f t="shared" ca="1" si="16"/>
        <v>96.7</v>
      </c>
      <c r="AA29" s="12">
        <f t="shared" ca="1" si="17"/>
        <v>1.4E-2</v>
      </c>
      <c r="AB29" s="12">
        <f t="shared" ca="1" si="18"/>
        <v>0.13</v>
      </c>
      <c r="AC29" s="12">
        <f t="shared" ca="1" si="19"/>
        <v>0.36799999999999999</v>
      </c>
      <c r="AD29" s="17">
        <f t="shared" ca="1" si="20"/>
        <v>4.7945205479452052E-2</v>
      </c>
      <c r="AE29" s="11">
        <f t="shared" ca="1" si="21"/>
        <v>0.77</v>
      </c>
      <c r="AF29" s="12">
        <f t="shared" ca="1" si="22"/>
        <v>0.45205479452054792</v>
      </c>
      <c r="AG29" s="12">
        <f t="shared" ca="1" si="23"/>
        <v>0.19863013698630139</v>
      </c>
      <c r="AH29" s="4">
        <f t="shared" ca="1" si="24"/>
        <v>1</v>
      </c>
      <c r="AI29" s="4">
        <f t="shared" ca="1" si="25"/>
        <v>0.21</v>
      </c>
      <c r="AJ29" s="12">
        <f t="shared" ca="1" si="26"/>
        <v>0.28299999999999997</v>
      </c>
      <c r="AK29" s="4">
        <f t="shared" ca="1" si="27"/>
        <v>0.14000000000000001</v>
      </c>
      <c r="AL29" s="12">
        <f t="shared" ca="1" si="28"/>
        <v>0.20399999999999999</v>
      </c>
      <c r="AM29" s="12">
        <f t="shared" ca="1" si="29"/>
        <v>0.7142857142857143</v>
      </c>
      <c r="AN29" s="12">
        <f t="shared" ca="1" si="30"/>
        <v>0.5714285714285714</v>
      </c>
      <c r="AO29" s="12">
        <f t="shared" ca="1" si="31"/>
        <v>0.2857142857142857</v>
      </c>
      <c r="AP29" s="12">
        <f t="shared" ca="1" si="39"/>
        <v>0.2857142857142857</v>
      </c>
      <c r="AQ29" s="12">
        <f t="shared" ca="1" si="40"/>
        <v>0.14285714285714285</v>
      </c>
      <c r="AR29" s="11"/>
      <c r="AS29" s="4"/>
      <c r="AT29" s="11"/>
      <c r="AU29" s="4"/>
      <c r="AV29" s="11"/>
      <c r="AW29" s="4"/>
      <c r="AX29" s="11"/>
    </row>
    <row r="30" spans="1:50" ht="19.899999999999999" customHeight="1" x14ac:dyDescent="0.3">
      <c r="A30" s="2">
        <v>26</v>
      </c>
      <c r="B30" s="13" t="str">
        <f t="shared" ref="B30:D30" ca="1" si="64">INDIRECT(ADDRESS(ROW($B128),COLUMN()))</f>
        <v>Mercury</v>
      </c>
      <c r="C30" s="5">
        <f t="shared" ca="1" si="64"/>
        <v>7</v>
      </c>
      <c r="D30" s="6">
        <f t="shared" ca="1" si="64"/>
        <v>1.08</v>
      </c>
      <c r="E30" s="15">
        <f t="shared" ca="1" si="1"/>
        <v>3</v>
      </c>
      <c r="F30" s="6">
        <f t="shared" ca="1" si="2"/>
        <v>0.64</v>
      </c>
      <c r="G30" s="6">
        <f t="shared" ca="1" si="3"/>
        <v>0.62</v>
      </c>
      <c r="H30" s="7">
        <f t="shared" ca="1" si="4"/>
        <v>74.8</v>
      </c>
      <c r="I30" s="6">
        <f t="shared" ca="1" si="5"/>
        <v>0.4</v>
      </c>
      <c r="J30" s="21">
        <f t="shared" ca="1" si="33"/>
        <v>73.2</v>
      </c>
      <c r="K30" s="20">
        <f t="shared" ca="1" si="34"/>
        <v>0.63</v>
      </c>
      <c r="L30" s="21">
        <f t="shared" ca="1" si="35"/>
        <v>70.599999999999994</v>
      </c>
      <c r="M30" s="20">
        <f t="shared" ca="1" si="36"/>
        <v>1.0900000000000001</v>
      </c>
      <c r="N30" s="21">
        <f t="shared" ca="1" si="37"/>
        <v>73.3</v>
      </c>
      <c r="O30" s="20">
        <f t="shared" ca="1" si="38"/>
        <v>0.65</v>
      </c>
      <c r="P30" s="4">
        <f t="shared" ca="1" si="6"/>
        <v>0</v>
      </c>
      <c r="Q30" s="11" t="str">
        <f t="shared" ca="1" si="7"/>
        <v>-</v>
      </c>
      <c r="R30" s="4">
        <f t="shared" ca="1" si="8"/>
        <v>0</v>
      </c>
      <c r="S30" s="11" t="str">
        <f t="shared" ca="1" si="9"/>
        <v>-</v>
      </c>
      <c r="T30" s="4">
        <f t="shared" ca="1" si="10"/>
        <v>4</v>
      </c>
      <c r="U30" s="11">
        <f t="shared" ca="1" si="11"/>
        <v>0.9</v>
      </c>
      <c r="V30" s="11">
        <f t="shared" ca="1" si="12"/>
        <v>1.1399999999999999</v>
      </c>
      <c r="W30" s="11">
        <f t="shared" ca="1" si="13"/>
        <v>1.02</v>
      </c>
      <c r="X30" s="4">
        <f t="shared" ca="1" si="14"/>
        <v>1.56</v>
      </c>
      <c r="Y30" s="11">
        <f t="shared" ca="1" si="15"/>
        <v>0.87</v>
      </c>
      <c r="Z30" s="4">
        <f t="shared" ca="1" si="16"/>
        <v>90.5</v>
      </c>
      <c r="AA30" s="12">
        <f t="shared" ca="1" si="17"/>
        <v>6.8000000000000005E-2</v>
      </c>
      <c r="AB30" s="12">
        <f t="shared" ca="1" si="18"/>
        <v>0.23899999999999999</v>
      </c>
      <c r="AC30" s="12">
        <f t="shared" ca="1" si="19"/>
        <v>0.57599999999999996</v>
      </c>
      <c r="AD30" s="17">
        <f t="shared" ca="1" si="20"/>
        <v>0.13768115942028991</v>
      </c>
      <c r="AE30" s="11">
        <f t="shared" ca="1" si="21"/>
        <v>1.19</v>
      </c>
      <c r="AF30" s="12">
        <f t="shared" ca="1" si="22"/>
        <v>0.42753623188405798</v>
      </c>
      <c r="AG30" s="12">
        <f t="shared" ca="1" si="23"/>
        <v>0.17391304347826089</v>
      </c>
      <c r="AH30" s="4">
        <f t="shared" ca="1" si="24"/>
        <v>1</v>
      </c>
      <c r="AI30" s="4">
        <f t="shared" ca="1" si="25"/>
        <v>0.11</v>
      </c>
      <c r="AJ30" s="12">
        <f t="shared" ca="1" si="26"/>
        <v>0.16900000000000001</v>
      </c>
      <c r="AK30" s="4">
        <f t="shared" ca="1" si="27"/>
        <v>0.13</v>
      </c>
      <c r="AL30" s="12">
        <f t="shared" ca="1" si="28"/>
        <v>0.20899999999999999</v>
      </c>
      <c r="AM30" s="12">
        <f t="shared" ca="1" si="29"/>
        <v>0.5714285714285714</v>
      </c>
      <c r="AN30" s="12">
        <f t="shared" ca="1" si="30"/>
        <v>0.42857142857142855</v>
      </c>
      <c r="AO30" s="12">
        <f t="shared" ca="1" si="31"/>
        <v>0.42857142857142855</v>
      </c>
      <c r="AP30" s="12">
        <f t="shared" ca="1" si="39"/>
        <v>0.2857142857142857</v>
      </c>
      <c r="AQ30" s="12">
        <f t="shared" ca="1" si="40"/>
        <v>0.2857142857142857</v>
      </c>
      <c r="AR30" s="11"/>
      <c r="AS30" s="4"/>
      <c r="AT30" s="11"/>
      <c r="AU30" s="4"/>
      <c r="AV30" s="11"/>
      <c r="AW30" s="4"/>
      <c r="AX30" s="11"/>
    </row>
    <row r="31" spans="1:50" ht="19.899999999999999" customHeight="1" x14ac:dyDescent="0.3">
      <c r="A31" s="2">
        <v>27</v>
      </c>
      <c r="B31" s="13" t="str">
        <f t="shared" ref="B31:D31" ca="1" si="65">INDIRECT(ADDRESS(ROW($B129),COLUMN()))</f>
        <v>kensizor</v>
      </c>
      <c r="C31" s="5">
        <f t="shared" ca="1" si="65"/>
        <v>7</v>
      </c>
      <c r="D31" s="6">
        <f t="shared" ca="1" si="65"/>
        <v>1.07</v>
      </c>
      <c r="E31" s="15">
        <f t="shared" ca="1" si="1"/>
        <v>0</v>
      </c>
      <c r="F31" s="6">
        <f t="shared" ca="1" si="2"/>
        <v>0.67</v>
      </c>
      <c r="G31" s="6">
        <f t="shared" ca="1" si="3"/>
        <v>0.67</v>
      </c>
      <c r="H31" s="7">
        <f t="shared" ca="1" si="4"/>
        <v>78.599999999999994</v>
      </c>
      <c r="I31" s="6">
        <f t="shared" ca="1" si="5"/>
        <v>0.18</v>
      </c>
      <c r="J31" s="21">
        <f t="shared" ca="1" si="33"/>
        <v>74</v>
      </c>
      <c r="K31" s="20">
        <f t="shared" ca="1" si="34"/>
        <v>0.68</v>
      </c>
      <c r="L31" s="21">
        <f t="shared" ca="1" si="35"/>
        <v>70.8</v>
      </c>
      <c r="M31" s="20">
        <f t="shared" ca="1" si="36"/>
        <v>1.1299999999999999</v>
      </c>
      <c r="N31" s="21">
        <f t="shared" ca="1" si="37"/>
        <v>78.2</v>
      </c>
      <c r="O31" s="20">
        <f t="shared" ca="1" si="38"/>
        <v>0.66</v>
      </c>
      <c r="P31" s="4">
        <f t="shared" ca="1" si="6"/>
        <v>0</v>
      </c>
      <c r="Q31" s="11" t="str">
        <f t="shared" ca="1" si="7"/>
        <v>-</v>
      </c>
      <c r="R31" s="4">
        <f t="shared" ca="1" si="8"/>
        <v>0</v>
      </c>
      <c r="S31" s="11" t="str">
        <f t="shared" ca="1" si="9"/>
        <v>-</v>
      </c>
      <c r="T31" s="4">
        <f t="shared" ca="1" si="10"/>
        <v>0</v>
      </c>
      <c r="U31" s="11" t="str">
        <f t="shared" ca="1" si="11"/>
        <v>-</v>
      </c>
      <c r="V31" s="11">
        <f t="shared" ca="1" si="12"/>
        <v>1.31</v>
      </c>
      <c r="W31" s="11">
        <f t="shared" ca="1" si="13"/>
        <v>0.85</v>
      </c>
      <c r="X31" s="4">
        <f t="shared" ca="1" si="14"/>
        <v>0.87</v>
      </c>
      <c r="Y31" s="11">
        <f t="shared" ca="1" si="15"/>
        <v>1.05</v>
      </c>
      <c r="Z31" s="4">
        <f t="shared" ca="1" si="16"/>
        <v>114.8</v>
      </c>
      <c r="AA31" s="12">
        <f t="shared" ca="1" si="17"/>
        <v>5.7000000000000002E-2</v>
      </c>
      <c r="AB31" s="12">
        <f t="shared" ca="1" si="18"/>
        <v>0.22500000000000001</v>
      </c>
      <c r="AC31" s="12">
        <f t="shared" ca="1" si="19"/>
        <v>0.436</v>
      </c>
      <c r="AD31" s="17">
        <f t="shared" ca="1" si="20"/>
        <v>9.8265895953757232E-2</v>
      </c>
      <c r="AE31" s="11">
        <f t="shared" ca="1" si="21"/>
        <v>0.95</v>
      </c>
      <c r="AF31" s="12">
        <f t="shared" ca="1" si="22"/>
        <v>0.45664739884393057</v>
      </c>
      <c r="AG31" s="12">
        <f t="shared" ca="1" si="23"/>
        <v>0.13294797687861271</v>
      </c>
      <c r="AH31" s="4">
        <f t="shared" ca="1" si="24"/>
        <v>2</v>
      </c>
      <c r="AI31" s="4">
        <f t="shared" ca="1" si="25"/>
        <v>0.17</v>
      </c>
      <c r="AJ31" s="12">
        <f t="shared" ca="1" si="26"/>
        <v>0.25</v>
      </c>
      <c r="AK31" s="4">
        <f t="shared" ca="1" si="27"/>
        <v>0.14000000000000001</v>
      </c>
      <c r="AL31" s="12">
        <f t="shared" ca="1" si="28"/>
        <v>0.216</v>
      </c>
      <c r="AM31" s="12">
        <f t="shared" ca="1" si="29"/>
        <v>0.8571428571428571</v>
      </c>
      <c r="AN31" s="12">
        <f t="shared" ca="1" si="30"/>
        <v>0.7142857142857143</v>
      </c>
      <c r="AO31" s="12">
        <f t="shared" ca="1" si="31"/>
        <v>0.5714285714285714</v>
      </c>
      <c r="AP31" s="12">
        <f t="shared" ca="1" si="39"/>
        <v>0.14285714285714285</v>
      </c>
      <c r="AQ31" s="12">
        <f t="shared" ca="1" si="40"/>
        <v>0.14285714285714285</v>
      </c>
      <c r="AR31" s="11"/>
      <c r="AS31" s="4"/>
      <c r="AT31" s="11"/>
      <c r="AU31" s="4"/>
      <c r="AV31" s="11"/>
      <c r="AW31" s="4"/>
      <c r="AX31" s="11"/>
    </row>
    <row r="32" spans="1:50" ht="19.899999999999999" customHeight="1" x14ac:dyDescent="0.3">
      <c r="A32" s="2">
        <v>28</v>
      </c>
      <c r="B32" s="13" t="str">
        <f t="shared" ref="B32:D32" ca="1" si="66">INDIRECT(ADDRESS(ROW($B130),COLUMN()))</f>
        <v>eraa</v>
      </c>
      <c r="C32" s="5">
        <f t="shared" ca="1" si="66"/>
        <v>11</v>
      </c>
      <c r="D32" s="6">
        <f t="shared" ca="1" si="66"/>
        <v>1.06</v>
      </c>
      <c r="E32" s="15">
        <f t="shared" ca="1" si="1"/>
        <v>28</v>
      </c>
      <c r="F32" s="6">
        <f t="shared" ca="1" si="2"/>
        <v>0.74</v>
      </c>
      <c r="G32" s="6">
        <f t="shared" ca="1" si="3"/>
        <v>0.63</v>
      </c>
      <c r="H32" s="7">
        <f t="shared" ca="1" si="4"/>
        <v>73.3</v>
      </c>
      <c r="I32" s="6">
        <f t="shared" ca="1" si="5"/>
        <v>0.57999999999999996</v>
      </c>
      <c r="J32" s="21">
        <f t="shared" ca="1" si="33"/>
        <v>74</v>
      </c>
      <c r="K32" s="20">
        <f t="shared" ca="1" si="34"/>
        <v>0.69</v>
      </c>
      <c r="L32" s="21">
        <f t="shared" ca="1" si="35"/>
        <v>73.3</v>
      </c>
      <c r="M32" s="20">
        <f t="shared" ca="1" si="36"/>
        <v>0.91</v>
      </c>
      <c r="N32" s="21">
        <f t="shared" ca="1" si="37"/>
        <v>71.8</v>
      </c>
      <c r="O32" s="20">
        <f t="shared" ca="1" si="38"/>
        <v>0.72</v>
      </c>
      <c r="P32" s="4">
        <f t="shared" ca="1" si="6"/>
        <v>0</v>
      </c>
      <c r="Q32" s="11" t="str">
        <f t="shared" ca="1" si="7"/>
        <v>-</v>
      </c>
      <c r="R32" s="4">
        <f t="shared" ca="1" si="8"/>
        <v>2</v>
      </c>
      <c r="S32" s="11">
        <f t="shared" ca="1" si="9"/>
        <v>1.4</v>
      </c>
      <c r="T32" s="4">
        <f t="shared" ca="1" si="10"/>
        <v>7</v>
      </c>
      <c r="U32" s="11">
        <f t="shared" ca="1" si="11"/>
        <v>1.1000000000000001</v>
      </c>
      <c r="V32" s="11">
        <f t="shared" ca="1" si="12"/>
        <v>1.06</v>
      </c>
      <c r="W32" s="11">
        <f t="shared" ca="1" si="13"/>
        <v>1.07</v>
      </c>
      <c r="X32" s="4">
        <f t="shared" ca="1" si="14"/>
        <v>1.1200000000000001</v>
      </c>
      <c r="Y32" s="11">
        <f t="shared" ca="1" si="15"/>
        <v>0.96</v>
      </c>
      <c r="Z32" s="4">
        <f t="shared" ca="1" si="16"/>
        <v>93.8</v>
      </c>
      <c r="AA32" s="12">
        <f t="shared" ca="1" si="17"/>
        <v>9.7000000000000003E-2</v>
      </c>
      <c r="AB32" s="12">
        <f t="shared" ca="1" si="18"/>
        <v>0.16900000000000001</v>
      </c>
      <c r="AC32" s="12">
        <f t="shared" ca="1" si="19"/>
        <v>0.68300000000000005</v>
      </c>
      <c r="AD32" s="17">
        <f t="shared" ca="1" si="20"/>
        <v>0.11570247933884301</v>
      </c>
      <c r="AE32" s="11">
        <f t="shared" ca="1" si="21"/>
        <v>1.1599999999999999</v>
      </c>
      <c r="AF32" s="12">
        <f t="shared" ca="1" si="22"/>
        <v>0.52479338842975209</v>
      </c>
      <c r="AG32" s="12">
        <f t="shared" ca="1" si="23"/>
        <v>0.19834710743801651</v>
      </c>
      <c r="AH32" s="4">
        <f t="shared" ca="1" si="24"/>
        <v>4</v>
      </c>
      <c r="AI32" s="4">
        <f t="shared" ca="1" si="25"/>
        <v>0.14000000000000001</v>
      </c>
      <c r="AJ32" s="12">
        <f t="shared" ca="1" si="26"/>
        <v>0.19400000000000001</v>
      </c>
      <c r="AK32" s="4">
        <f t="shared" ca="1" si="27"/>
        <v>0.12</v>
      </c>
      <c r="AL32" s="12">
        <f t="shared" ca="1" si="28"/>
        <v>0.19700000000000001</v>
      </c>
      <c r="AM32" s="12">
        <f t="shared" ca="1" si="29"/>
        <v>0.90909090909090906</v>
      </c>
      <c r="AN32" s="12">
        <f t="shared" ca="1" si="30"/>
        <v>0.63636363636363635</v>
      </c>
      <c r="AO32" s="12">
        <f t="shared" ca="1" si="31"/>
        <v>0.45454545454545453</v>
      </c>
      <c r="AP32" s="12">
        <f t="shared" ca="1" si="39"/>
        <v>0.18181818181818182</v>
      </c>
      <c r="AQ32" s="12">
        <f t="shared" ca="1" si="40"/>
        <v>9.0909090909090912E-2</v>
      </c>
      <c r="AR32" s="11"/>
      <c r="AS32" s="4"/>
      <c r="AT32" s="11"/>
      <c r="AU32" s="4"/>
      <c r="AV32" s="11"/>
      <c r="AW32" s="4"/>
      <c r="AX32" s="11"/>
    </row>
    <row r="33" spans="1:56" ht="19.899999999999999" customHeight="1" x14ac:dyDescent="0.3">
      <c r="A33" s="2">
        <v>29</v>
      </c>
      <c r="B33" s="13" t="str">
        <f t="shared" ref="B33:D33" ca="1" si="67">INDIRECT(ADDRESS(ROW($B131),COLUMN()))</f>
        <v>Neityu</v>
      </c>
      <c r="C33" s="5">
        <f t="shared" ca="1" si="67"/>
        <v>14</v>
      </c>
      <c r="D33" s="6">
        <f t="shared" ca="1" si="67"/>
        <v>1.05</v>
      </c>
      <c r="E33" s="15">
        <f t="shared" ca="1" si="1"/>
        <v>3</v>
      </c>
      <c r="F33" s="6">
        <f t="shared" ca="1" si="2"/>
        <v>0.62</v>
      </c>
      <c r="G33" s="6">
        <f t="shared" ca="1" si="3"/>
        <v>0.61</v>
      </c>
      <c r="H33" s="7">
        <f t="shared" ca="1" si="4"/>
        <v>71.900000000000006</v>
      </c>
      <c r="I33" s="6">
        <f t="shared" ca="1" si="5"/>
        <v>0.35</v>
      </c>
      <c r="J33" s="21">
        <f t="shared" ca="1" si="33"/>
        <v>75.2</v>
      </c>
      <c r="K33" s="20">
        <f t="shared" ca="1" si="34"/>
        <v>0.62</v>
      </c>
      <c r="L33" s="21">
        <f t="shared" ca="1" si="35"/>
        <v>70.3</v>
      </c>
      <c r="M33" s="20">
        <f t="shared" ca="1" si="36"/>
        <v>0.89</v>
      </c>
      <c r="N33" s="21">
        <f t="shared" ca="1" si="37"/>
        <v>72.900000000000006</v>
      </c>
      <c r="O33" s="20">
        <f t="shared" ca="1" si="38"/>
        <v>0.64</v>
      </c>
      <c r="P33" s="4">
        <f t="shared" ca="1" si="6"/>
        <v>0</v>
      </c>
      <c r="Q33" s="11" t="str">
        <f t="shared" ca="1" si="7"/>
        <v>-</v>
      </c>
      <c r="R33" s="4">
        <f t="shared" ca="1" si="8"/>
        <v>2</v>
      </c>
      <c r="S33" s="11">
        <f t="shared" ca="1" si="9"/>
        <v>1.57</v>
      </c>
      <c r="T33" s="4">
        <f t="shared" ca="1" si="10"/>
        <v>5</v>
      </c>
      <c r="U33" s="11">
        <f t="shared" ca="1" si="11"/>
        <v>1.1200000000000001</v>
      </c>
      <c r="V33" s="11">
        <f t="shared" ca="1" si="12"/>
        <v>1.1200000000000001</v>
      </c>
      <c r="W33" s="11">
        <f t="shared" ca="1" si="13"/>
        <v>0.99</v>
      </c>
      <c r="X33" s="4">
        <f t="shared" ca="1" si="14"/>
        <v>1.02</v>
      </c>
      <c r="Y33" s="11">
        <f t="shared" ca="1" si="15"/>
        <v>0.77</v>
      </c>
      <c r="Z33" s="4">
        <f t="shared" ca="1" si="16"/>
        <v>92.2</v>
      </c>
      <c r="AA33" s="12">
        <f t="shared" ca="1" si="17"/>
        <v>0.111</v>
      </c>
      <c r="AB33" s="12">
        <f t="shared" ca="1" si="18"/>
        <v>0.155</v>
      </c>
      <c r="AC33" s="12">
        <f t="shared" ca="1" si="19"/>
        <v>0.52</v>
      </c>
      <c r="AD33" s="17">
        <f t="shared" ca="1" si="20"/>
        <v>8.0495356037151702E-2</v>
      </c>
      <c r="AE33" s="11">
        <f t="shared" ca="1" si="21"/>
        <v>0.95</v>
      </c>
      <c r="AF33" s="12">
        <f t="shared" ca="1" si="22"/>
        <v>0.43653250773993812</v>
      </c>
      <c r="AG33" s="12">
        <f t="shared" ca="1" si="23"/>
        <v>0.1486068111455108</v>
      </c>
      <c r="AH33" s="4">
        <f t="shared" ca="1" si="24"/>
        <v>8</v>
      </c>
      <c r="AI33" s="4">
        <f t="shared" ca="1" si="25"/>
        <v>0.13</v>
      </c>
      <c r="AJ33" s="12">
        <f t="shared" ca="1" si="26"/>
        <v>0.20599999999999999</v>
      </c>
      <c r="AK33" s="4">
        <f t="shared" ca="1" si="27"/>
        <v>0.13</v>
      </c>
      <c r="AL33" s="12">
        <f t="shared" ca="1" si="28"/>
        <v>0.214</v>
      </c>
      <c r="AM33" s="12">
        <f t="shared" ca="1" si="29"/>
        <v>0.7857142857142857</v>
      </c>
      <c r="AN33" s="12">
        <f t="shared" ca="1" si="30"/>
        <v>0.5714285714285714</v>
      </c>
      <c r="AO33" s="12">
        <f t="shared" ca="1" si="31"/>
        <v>0.2857142857142857</v>
      </c>
      <c r="AP33" s="12">
        <f t="shared" ca="1" si="39"/>
        <v>0.21428571428571427</v>
      </c>
      <c r="AQ33" s="12">
        <f t="shared" ca="1" si="40"/>
        <v>0.21428571428571427</v>
      </c>
      <c r="AR33" s="11"/>
      <c r="AS33" s="4"/>
      <c r="AT33" s="11"/>
      <c r="AU33" s="4"/>
      <c r="AV33" s="11"/>
      <c r="AW33" s="4"/>
      <c r="AX33" s="11"/>
    </row>
    <row r="34" spans="1:56" ht="19.899999999999999" customHeight="1" x14ac:dyDescent="0.3">
      <c r="A34" s="2">
        <v>30</v>
      </c>
      <c r="B34" s="13" t="str">
        <f t="shared" ref="B34:D34" ca="1" si="68">INDIRECT(ADDRESS(ROW($B132),COLUMN()))</f>
        <v>avid</v>
      </c>
      <c r="C34" s="5">
        <f t="shared" ca="1" si="68"/>
        <v>11</v>
      </c>
      <c r="D34" s="6">
        <f t="shared" ca="1" si="68"/>
        <v>1.05</v>
      </c>
      <c r="E34" s="15">
        <f t="shared" ca="1" si="1"/>
        <v>-7</v>
      </c>
      <c r="F34" s="6">
        <f t="shared" ca="1" si="2"/>
        <v>0.66</v>
      </c>
      <c r="G34" s="6">
        <f t="shared" ca="1" si="3"/>
        <v>0.69</v>
      </c>
      <c r="H34" s="7">
        <f t="shared" ca="1" si="4"/>
        <v>72.400000000000006</v>
      </c>
      <c r="I34" s="6">
        <f t="shared" ca="1" si="5"/>
        <v>0.65</v>
      </c>
      <c r="J34" s="21">
        <f t="shared" ca="1" si="33"/>
        <v>73.099999999999994</v>
      </c>
      <c r="K34" s="20">
        <f t="shared" ca="1" si="34"/>
        <v>0.7</v>
      </c>
      <c r="L34" s="21">
        <f t="shared" ca="1" si="35"/>
        <v>70.8</v>
      </c>
      <c r="M34" s="20">
        <f t="shared" ca="1" si="36"/>
        <v>1.0900000000000001</v>
      </c>
      <c r="N34" s="21">
        <f t="shared" ca="1" si="37"/>
        <v>73.2</v>
      </c>
      <c r="O34" s="20">
        <f t="shared" ca="1" si="38"/>
        <v>0.67</v>
      </c>
      <c r="P34" s="4">
        <f t="shared" ca="1" si="6"/>
        <v>0</v>
      </c>
      <c r="Q34" s="11" t="str">
        <f t="shared" ca="1" si="7"/>
        <v>-</v>
      </c>
      <c r="R34" s="4">
        <f t="shared" ca="1" si="8"/>
        <v>2</v>
      </c>
      <c r="S34" s="11">
        <f t="shared" ca="1" si="9"/>
        <v>1.22</v>
      </c>
      <c r="T34" s="4">
        <f t="shared" ca="1" si="10"/>
        <v>7</v>
      </c>
      <c r="U34" s="11">
        <f t="shared" ca="1" si="11"/>
        <v>1.03</v>
      </c>
      <c r="V34" s="11">
        <f t="shared" ca="1" si="12"/>
        <v>1.07</v>
      </c>
      <c r="W34" s="11">
        <f t="shared" ca="1" si="13"/>
        <v>1.04</v>
      </c>
      <c r="X34" s="4">
        <f t="shared" ca="1" si="14"/>
        <v>0.94</v>
      </c>
      <c r="Y34" s="11">
        <f t="shared" ca="1" si="15"/>
        <v>0.87</v>
      </c>
      <c r="Z34" s="4">
        <f t="shared" ca="1" si="16"/>
        <v>92.9</v>
      </c>
      <c r="AA34" s="12">
        <f t="shared" ca="1" si="17"/>
        <v>7.0999999999999994E-2</v>
      </c>
      <c r="AB34" s="12">
        <f t="shared" ca="1" si="18"/>
        <v>0.21099999999999999</v>
      </c>
      <c r="AC34" s="12">
        <f t="shared" ca="1" si="19"/>
        <v>0.58799999999999997</v>
      </c>
      <c r="AD34" s="17">
        <f t="shared" ca="1" si="20"/>
        <v>0.12396694214876031</v>
      </c>
      <c r="AE34" s="11">
        <f t="shared" ca="1" si="21"/>
        <v>1.1399999999999999</v>
      </c>
      <c r="AF34" s="12">
        <f t="shared" ca="1" si="22"/>
        <v>0.47520661157024802</v>
      </c>
      <c r="AG34" s="12">
        <f t="shared" ca="1" si="23"/>
        <v>0.13223140495867769</v>
      </c>
      <c r="AH34" s="4">
        <f t="shared" ca="1" si="24"/>
        <v>1</v>
      </c>
      <c r="AI34" s="4">
        <f t="shared" ca="1" si="25"/>
        <v>0.15</v>
      </c>
      <c r="AJ34" s="12">
        <f t="shared" ca="1" si="26"/>
        <v>0.22600000000000001</v>
      </c>
      <c r="AK34" s="4">
        <f t="shared" ca="1" si="27"/>
        <v>0.15</v>
      </c>
      <c r="AL34" s="12">
        <f t="shared" ca="1" si="28"/>
        <v>0.223</v>
      </c>
      <c r="AM34" s="12">
        <f t="shared" ca="1" si="29"/>
        <v>0.81818181818181823</v>
      </c>
      <c r="AN34" s="12">
        <f t="shared" ca="1" si="30"/>
        <v>0.72727272727272729</v>
      </c>
      <c r="AO34" s="12">
        <f t="shared" ca="1" si="31"/>
        <v>0.45454545454545453</v>
      </c>
      <c r="AP34" s="12">
        <f t="shared" ca="1" si="39"/>
        <v>9.0909090909090912E-2</v>
      </c>
      <c r="AQ34" s="12">
        <f t="shared" ca="1" si="40"/>
        <v>0</v>
      </c>
      <c r="AR34" s="11"/>
      <c r="AS34" s="4"/>
      <c r="AT34" s="11"/>
      <c r="AU34" s="4"/>
      <c r="AV34" s="11"/>
      <c r="AW34" s="4"/>
      <c r="AX34" s="11"/>
    </row>
    <row r="35" spans="1:56" ht="19.899999999999999" customHeight="1" x14ac:dyDescent="0.3">
      <c r="A35" s="2">
        <v>31</v>
      </c>
      <c r="B35" s="13" t="str">
        <f t="shared" ref="B35:D35" ca="1" si="69">INDIRECT(ADDRESS(ROW($B133),COLUMN()))</f>
        <v>nqz</v>
      </c>
      <c r="C35" s="5">
        <f t="shared" ca="1" si="69"/>
        <v>8</v>
      </c>
      <c r="D35" s="6">
        <f t="shared" ca="1" si="69"/>
        <v>1.05</v>
      </c>
      <c r="E35" s="15">
        <f t="shared" ca="1" si="1"/>
        <v>9</v>
      </c>
      <c r="F35" s="6">
        <f t="shared" ca="1" si="2"/>
        <v>0.69</v>
      </c>
      <c r="G35" s="6">
        <f t="shared" ca="1" si="3"/>
        <v>0.64</v>
      </c>
      <c r="H35" s="7">
        <f t="shared" ca="1" si="4"/>
        <v>69.7</v>
      </c>
      <c r="I35" s="6">
        <f t="shared" ca="1" si="5"/>
        <v>1.1200000000000001</v>
      </c>
      <c r="J35" s="21">
        <f t="shared" ca="1" si="33"/>
        <v>73.2</v>
      </c>
      <c r="K35" s="20">
        <f t="shared" ca="1" si="34"/>
        <v>0.7</v>
      </c>
      <c r="L35" s="21">
        <f t="shared" ca="1" si="35"/>
        <v>69.7</v>
      </c>
      <c r="M35" s="20">
        <f t="shared" ca="1" si="36"/>
        <v>1.04</v>
      </c>
      <c r="N35" s="21">
        <f t="shared" ca="1" si="37"/>
        <v>68.099999999999994</v>
      </c>
      <c r="O35" s="20">
        <f t="shared" ca="1" si="38"/>
        <v>0.65</v>
      </c>
      <c r="P35" s="4">
        <f t="shared" ca="1" si="6"/>
        <v>0</v>
      </c>
      <c r="Q35" s="11" t="str">
        <f t="shared" ca="1" si="7"/>
        <v>-</v>
      </c>
      <c r="R35" s="4">
        <f t="shared" ca="1" si="8"/>
        <v>2</v>
      </c>
      <c r="S35" s="11">
        <f t="shared" ca="1" si="9"/>
        <v>1.19</v>
      </c>
      <c r="T35" s="4">
        <f t="shared" ca="1" si="10"/>
        <v>6</v>
      </c>
      <c r="U35" s="11">
        <f t="shared" ca="1" si="11"/>
        <v>1.02</v>
      </c>
      <c r="V35" s="11">
        <f t="shared" ca="1" si="12"/>
        <v>1.23</v>
      </c>
      <c r="W35" s="11">
        <f t="shared" ca="1" si="13"/>
        <v>0.89</v>
      </c>
      <c r="X35" s="4">
        <f t="shared" ca="1" si="14"/>
        <v>1.46</v>
      </c>
      <c r="Y35" s="11">
        <f t="shared" ca="1" si="15"/>
        <v>0.84</v>
      </c>
      <c r="Z35" s="4">
        <f t="shared" ca="1" si="16"/>
        <v>86.5</v>
      </c>
      <c r="AA35" s="12">
        <f t="shared" ca="1" si="17"/>
        <v>0.13</v>
      </c>
      <c r="AB35" s="12">
        <f t="shared" ca="1" si="18"/>
        <v>0.21199999999999999</v>
      </c>
      <c r="AC35" s="12">
        <f t="shared" ca="1" si="19"/>
        <v>0.63200000000000001</v>
      </c>
      <c r="AD35" s="17">
        <f t="shared" ca="1" si="20"/>
        <v>0.13407821229050279</v>
      </c>
      <c r="AE35" s="11">
        <f t="shared" ca="1" si="21"/>
        <v>1.21</v>
      </c>
      <c r="AF35" s="12">
        <f t="shared" ca="1" si="22"/>
        <v>0.46368715083798878</v>
      </c>
      <c r="AG35" s="12">
        <f t="shared" ca="1" si="23"/>
        <v>0.16759776536312851</v>
      </c>
      <c r="AH35" s="4">
        <f t="shared" ca="1" si="24"/>
        <v>2</v>
      </c>
      <c r="AI35" s="4">
        <f t="shared" ca="1" si="25"/>
        <v>0.11</v>
      </c>
      <c r="AJ35" s="12">
        <f t="shared" ca="1" si="26"/>
        <v>0.161</v>
      </c>
      <c r="AK35" s="4">
        <f t="shared" ca="1" si="27"/>
        <v>0.11</v>
      </c>
      <c r="AL35" s="12">
        <f t="shared" ca="1" si="28"/>
        <v>0.17399999999999999</v>
      </c>
      <c r="AM35" s="12">
        <f t="shared" ca="1" si="29"/>
        <v>0.75</v>
      </c>
      <c r="AN35" s="12">
        <f t="shared" ca="1" si="30"/>
        <v>0.75</v>
      </c>
      <c r="AO35" s="12">
        <f t="shared" ca="1" si="31"/>
        <v>0.625</v>
      </c>
      <c r="AP35" s="12">
        <f t="shared" ca="1" si="39"/>
        <v>0.125</v>
      </c>
      <c r="AQ35" s="12">
        <f t="shared" ca="1" si="40"/>
        <v>0</v>
      </c>
      <c r="AR35" s="11"/>
      <c r="AS35" s="4"/>
      <c r="AT35" s="11"/>
      <c r="AU35" s="4"/>
      <c r="AV35" s="11"/>
      <c r="AW35" s="4"/>
      <c r="AX35" s="11"/>
    </row>
    <row r="36" spans="1:56" ht="19.899999999999999" customHeight="1" x14ac:dyDescent="0.3">
      <c r="A36" s="2">
        <v>32</v>
      </c>
      <c r="B36" s="13" t="str">
        <f t="shared" ref="B36:D36" ca="1" si="70">INDIRECT(ADDRESS(ROW($B134),COLUMN()))</f>
        <v>tex1y</v>
      </c>
      <c r="C36" s="5">
        <f t="shared" ca="1" si="70"/>
        <v>11</v>
      </c>
      <c r="D36" s="6">
        <f t="shared" ca="1" si="70"/>
        <v>1.05</v>
      </c>
      <c r="E36" s="15">
        <f t="shared" ca="1" si="1"/>
        <v>-3</v>
      </c>
      <c r="F36" s="6">
        <f t="shared" ca="1" si="2"/>
        <v>0.66</v>
      </c>
      <c r="G36" s="6">
        <f t="shared" ca="1" si="3"/>
        <v>0.67</v>
      </c>
      <c r="H36" s="7">
        <f t="shared" ca="1" si="4"/>
        <v>73.8</v>
      </c>
      <c r="I36" s="6">
        <f t="shared" ca="1" si="5"/>
        <v>-0.09</v>
      </c>
      <c r="J36" s="21">
        <f t="shared" ca="1" si="33"/>
        <v>75</v>
      </c>
      <c r="K36" s="20">
        <f t="shared" ca="1" si="34"/>
        <v>0.7</v>
      </c>
      <c r="L36" s="21">
        <f t="shared" ca="1" si="35"/>
        <v>74.5</v>
      </c>
      <c r="M36" s="20">
        <f t="shared" ca="1" si="36"/>
        <v>1.05</v>
      </c>
      <c r="N36" s="21">
        <f t="shared" ca="1" si="37"/>
        <v>74.2</v>
      </c>
      <c r="O36" s="20">
        <f t="shared" ca="1" si="38"/>
        <v>0.68</v>
      </c>
      <c r="P36" s="4">
        <f t="shared" ca="1" si="6"/>
        <v>0</v>
      </c>
      <c r="Q36" s="11" t="str">
        <f t="shared" ca="1" si="7"/>
        <v>-</v>
      </c>
      <c r="R36" s="4">
        <f t="shared" ca="1" si="8"/>
        <v>3</v>
      </c>
      <c r="S36" s="11">
        <f t="shared" ca="1" si="9"/>
        <v>1.07</v>
      </c>
      <c r="T36" s="4">
        <f t="shared" ca="1" si="10"/>
        <v>5</v>
      </c>
      <c r="U36" s="11">
        <f t="shared" ca="1" si="11"/>
        <v>1.07</v>
      </c>
      <c r="V36" s="11">
        <f t="shared" ca="1" si="12"/>
        <v>1.02</v>
      </c>
      <c r="W36" s="11">
        <f t="shared" ca="1" si="13"/>
        <v>1.07</v>
      </c>
      <c r="X36" s="4">
        <f t="shared" ca="1" si="14"/>
        <v>1.1200000000000001</v>
      </c>
      <c r="Y36" s="11">
        <f t="shared" ca="1" si="15"/>
        <v>1</v>
      </c>
      <c r="Z36" s="4">
        <f t="shared" ca="1" si="16"/>
        <v>103</v>
      </c>
      <c r="AA36" s="12">
        <f t="shared" ca="1" si="17"/>
        <v>0.126</v>
      </c>
      <c r="AB36" s="12">
        <f t="shared" ca="1" si="18"/>
        <v>0.254</v>
      </c>
      <c r="AC36" s="12">
        <f t="shared" ca="1" si="19"/>
        <v>0.50700000000000001</v>
      </c>
      <c r="AD36" s="17">
        <f t="shared" ca="1" si="20"/>
        <v>0.12878787878787881</v>
      </c>
      <c r="AE36" s="11">
        <f t="shared" ca="1" si="21"/>
        <v>1.1000000000000001</v>
      </c>
      <c r="AF36" s="12">
        <f t="shared" ca="1" si="22"/>
        <v>0.4621212121212121</v>
      </c>
      <c r="AG36" s="12">
        <f t="shared" ca="1" si="23"/>
        <v>0.1553030303030303</v>
      </c>
      <c r="AH36" s="4">
        <f t="shared" ca="1" si="24"/>
        <v>3</v>
      </c>
      <c r="AI36" s="4">
        <f t="shared" ca="1" si="25"/>
        <v>0.14000000000000001</v>
      </c>
      <c r="AJ36" s="12">
        <f t="shared" ca="1" si="26"/>
        <v>0.20599999999999999</v>
      </c>
      <c r="AK36" s="4">
        <f t="shared" ca="1" si="27"/>
        <v>0.19</v>
      </c>
      <c r="AL36" s="12">
        <f t="shared" ca="1" si="28"/>
        <v>0.27500000000000002</v>
      </c>
      <c r="AM36" s="12">
        <f t="shared" ca="1" si="29"/>
        <v>0.72727272727272729</v>
      </c>
      <c r="AN36" s="12">
        <f t="shared" ca="1" si="30"/>
        <v>0.36363636363636365</v>
      </c>
      <c r="AO36" s="12">
        <f t="shared" ca="1" si="31"/>
        <v>0.27272727272727271</v>
      </c>
      <c r="AP36" s="12">
        <f t="shared" ca="1" si="39"/>
        <v>0.18181818181818182</v>
      </c>
      <c r="AQ36" s="12">
        <f t="shared" ca="1" si="40"/>
        <v>0.18181818181818182</v>
      </c>
      <c r="AR36" s="11"/>
      <c r="AS36" s="4"/>
      <c r="AT36" s="11"/>
      <c r="AU36" s="4"/>
      <c r="AV36" s="11"/>
      <c r="AW36" s="4"/>
      <c r="AX36" s="11"/>
    </row>
    <row r="37" spans="1:56" ht="19.899999999999999" customHeight="1" x14ac:dyDescent="0.3">
      <c r="A37" s="2">
        <v>33</v>
      </c>
      <c r="B37" s="13" t="str">
        <f t="shared" ref="B37:D37" ca="1" si="71">INDIRECT(ADDRESS(ROW($B135),COLUMN()))</f>
        <v>slaxejezzz</v>
      </c>
      <c r="C37" s="5">
        <f t="shared" ca="1" si="71"/>
        <v>15</v>
      </c>
      <c r="D37" s="6">
        <f t="shared" ca="1" si="71"/>
        <v>1.05</v>
      </c>
      <c r="E37" s="15">
        <f t="shared" ca="1" si="1"/>
        <v>-2</v>
      </c>
      <c r="F37" s="6">
        <f t="shared" ca="1" si="2"/>
        <v>0.62</v>
      </c>
      <c r="G37" s="6">
        <f t="shared" ca="1" si="3"/>
        <v>0.63</v>
      </c>
      <c r="H37" s="7">
        <f t="shared" ca="1" si="4"/>
        <v>68.900000000000006</v>
      </c>
      <c r="I37" s="6">
        <f t="shared" ca="1" si="5"/>
        <v>0.75</v>
      </c>
      <c r="J37" s="21">
        <f t="shared" ca="1" si="33"/>
        <v>73.3</v>
      </c>
      <c r="K37" s="20">
        <f t="shared" ca="1" si="34"/>
        <v>0.64</v>
      </c>
      <c r="L37" s="21">
        <f t="shared" ca="1" si="35"/>
        <v>68.400000000000006</v>
      </c>
      <c r="M37" s="20">
        <f t="shared" ca="1" si="36"/>
        <v>1.01</v>
      </c>
      <c r="N37" s="21">
        <f t="shared" ca="1" si="37"/>
        <v>68.5</v>
      </c>
      <c r="O37" s="20">
        <f t="shared" ca="1" si="38"/>
        <v>0.62</v>
      </c>
      <c r="P37" s="4">
        <f t="shared" ca="1" si="6"/>
        <v>0</v>
      </c>
      <c r="Q37" s="11" t="str">
        <f t="shared" ca="1" si="7"/>
        <v>-</v>
      </c>
      <c r="R37" s="4">
        <f t="shared" ca="1" si="8"/>
        <v>0</v>
      </c>
      <c r="S37" s="11" t="str">
        <f t="shared" ca="1" si="9"/>
        <v>-</v>
      </c>
      <c r="T37" s="4">
        <f t="shared" ca="1" si="10"/>
        <v>6</v>
      </c>
      <c r="U37" s="11">
        <f t="shared" ca="1" si="11"/>
        <v>0.95</v>
      </c>
      <c r="V37" s="11">
        <f t="shared" ca="1" si="12"/>
        <v>0.94</v>
      </c>
      <c r="W37" s="11">
        <f t="shared" ca="1" si="13"/>
        <v>1.1499999999999999</v>
      </c>
      <c r="X37" s="4">
        <f t="shared" ca="1" si="14"/>
        <v>1.52</v>
      </c>
      <c r="Y37" s="11">
        <f t="shared" ca="1" si="15"/>
        <v>0.84</v>
      </c>
      <c r="Z37" s="4">
        <f t="shared" ca="1" si="16"/>
        <v>92</v>
      </c>
      <c r="AA37" s="12">
        <f t="shared" ca="1" si="17"/>
        <v>0.122</v>
      </c>
      <c r="AB37" s="12">
        <f t="shared" ca="1" si="18"/>
        <v>0.183</v>
      </c>
      <c r="AC37" s="12">
        <f t="shared" ca="1" si="19"/>
        <v>0.47599999999999998</v>
      </c>
      <c r="AD37" s="17">
        <f t="shared" ca="1" si="20"/>
        <v>8.6956521739130432E-2</v>
      </c>
      <c r="AE37" s="11">
        <f t="shared" ca="1" si="21"/>
        <v>0.94</v>
      </c>
      <c r="AF37" s="12">
        <f t="shared" ca="1" si="22"/>
        <v>0.41739130434782612</v>
      </c>
      <c r="AG37" s="12">
        <f t="shared" ca="1" si="23"/>
        <v>0.15652173913043479</v>
      </c>
      <c r="AH37" s="4">
        <f t="shared" ca="1" si="24"/>
        <v>3</v>
      </c>
      <c r="AI37" s="4">
        <f t="shared" ca="1" si="25"/>
        <v>0.14000000000000001</v>
      </c>
      <c r="AJ37" s="12">
        <f t="shared" ca="1" si="26"/>
        <v>0.23400000000000001</v>
      </c>
      <c r="AK37" s="4">
        <f t="shared" ca="1" si="27"/>
        <v>0.15</v>
      </c>
      <c r="AL37" s="12">
        <f t="shared" ca="1" si="28"/>
        <v>0.245</v>
      </c>
      <c r="AM37" s="12">
        <f t="shared" ca="1" si="29"/>
        <v>0.73333333333333328</v>
      </c>
      <c r="AN37" s="12">
        <f t="shared" ca="1" si="30"/>
        <v>0.53333333333333333</v>
      </c>
      <c r="AO37" s="12">
        <f t="shared" ca="1" si="31"/>
        <v>0.4</v>
      </c>
      <c r="AP37" s="12">
        <f t="shared" ca="1" si="39"/>
        <v>0.26666666666666666</v>
      </c>
      <c r="AQ37" s="12">
        <f t="shared" ca="1" si="40"/>
        <v>0.2</v>
      </c>
      <c r="AR37" s="11"/>
      <c r="AS37" s="4"/>
      <c r="AT37" s="11"/>
      <c r="AU37" s="4"/>
      <c r="AV37" s="11"/>
      <c r="AW37" s="4"/>
      <c r="AX37" s="11"/>
    </row>
    <row r="38" spans="1:56" ht="19.899999999999999" customHeight="1" x14ac:dyDescent="0.3">
      <c r="A38" s="2">
        <v>34</v>
      </c>
      <c r="B38" s="13" t="str">
        <f t="shared" ref="B38:D38" ca="1" si="72">INDIRECT(ADDRESS(ROW($B136),COLUMN()))</f>
        <v>z4KR</v>
      </c>
      <c r="C38" s="5">
        <f t="shared" ca="1" si="72"/>
        <v>5</v>
      </c>
      <c r="D38" s="6">
        <f t="shared" ca="1" si="72"/>
        <v>1.04</v>
      </c>
      <c r="E38" s="15">
        <f t="shared" ca="1" si="1"/>
        <v>7</v>
      </c>
      <c r="F38" s="6">
        <f t="shared" ca="1" si="2"/>
        <v>0.69</v>
      </c>
      <c r="G38" s="6">
        <f t="shared" ca="1" si="3"/>
        <v>0.63</v>
      </c>
      <c r="H38" s="7">
        <f t="shared" ca="1" si="4"/>
        <v>67.7</v>
      </c>
      <c r="I38" s="6">
        <f t="shared" ca="1" si="5"/>
        <v>1.46</v>
      </c>
      <c r="J38" s="21">
        <f t="shared" ca="1" si="33"/>
        <v>69.8</v>
      </c>
      <c r="K38" s="20">
        <f t="shared" ca="1" si="34"/>
        <v>0.67</v>
      </c>
      <c r="L38" s="21">
        <f t="shared" ca="1" si="35"/>
        <v>68.5</v>
      </c>
      <c r="M38" s="20">
        <f t="shared" ca="1" si="36"/>
        <v>0.99</v>
      </c>
      <c r="N38" s="21">
        <f t="shared" ca="1" si="37"/>
        <v>65.400000000000006</v>
      </c>
      <c r="O38" s="20">
        <f t="shared" ca="1" si="38"/>
        <v>0.65</v>
      </c>
      <c r="P38" s="4">
        <f t="shared" ca="1" si="6"/>
        <v>0</v>
      </c>
      <c r="Q38" s="11" t="str">
        <f t="shared" ca="1" si="7"/>
        <v>-</v>
      </c>
      <c r="R38" s="4">
        <f t="shared" ca="1" si="8"/>
        <v>0</v>
      </c>
      <c r="S38" s="11" t="str">
        <f t="shared" ca="1" si="9"/>
        <v>-</v>
      </c>
      <c r="T38" s="4">
        <f t="shared" ca="1" si="10"/>
        <v>4</v>
      </c>
      <c r="U38" s="11">
        <f t="shared" ca="1" si="11"/>
        <v>1.05</v>
      </c>
      <c r="V38" s="11">
        <f t="shared" ca="1" si="12"/>
        <v>1.18</v>
      </c>
      <c r="W38" s="11">
        <f t="shared" ca="1" si="13"/>
        <v>0.89</v>
      </c>
      <c r="X38" s="4">
        <f t="shared" ca="1" si="14"/>
        <v>1</v>
      </c>
      <c r="Y38" s="11">
        <f t="shared" ca="1" si="15"/>
        <v>1.02</v>
      </c>
      <c r="Z38" s="4">
        <f t="shared" ca="1" si="16"/>
        <v>101.4</v>
      </c>
      <c r="AA38" s="12">
        <f t="shared" ca="1" si="17"/>
        <v>0.152</v>
      </c>
      <c r="AB38" s="12">
        <f t="shared" ca="1" si="18"/>
        <v>0.19800000000000001</v>
      </c>
      <c r="AC38" s="12">
        <f t="shared" ca="1" si="19"/>
        <v>0.65200000000000002</v>
      </c>
      <c r="AD38" s="17">
        <f t="shared" ca="1" si="20"/>
        <v>0.12931034482758619</v>
      </c>
      <c r="AE38" s="11">
        <f t="shared" ca="1" si="21"/>
        <v>1.2</v>
      </c>
      <c r="AF38" s="12">
        <f t="shared" ca="1" si="22"/>
        <v>0.45689655172413801</v>
      </c>
      <c r="AG38" s="12">
        <f t="shared" ca="1" si="23"/>
        <v>0.18965517241379309</v>
      </c>
      <c r="AH38" s="4">
        <f t="shared" ca="1" si="24"/>
        <v>1</v>
      </c>
      <c r="AI38" s="4">
        <f t="shared" ca="1" si="25"/>
        <v>0.09</v>
      </c>
      <c r="AJ38" s="12">
        <f t="shared" ca="1" si="26"/>
        <v>0.125</v>
      </c>
      <c r="AK38" s="4">
        <f t="shared" ca="1" si="27"/>
        <v>0.08</v>
      </c>
      <c r="AL38" s="12">
        <f t="shared" ca="1" si="28"/>
        <v>0.123</v>
      </c>
      <c r="AM38" s="12">
        <f t="shared" ca="1" si="29"/>
        <v>1</v>
      </c>
      <c r="AN38" s="12">
        <f t="shared" ca="1" si="30"/>
        <v>0.6</v>
      </c>
      <c r="AO38" s="12">
        <f t="shared" ca="1" si="31"/>
        <v>0.2</v>
      </c>
      <c r="AP38" s="12">
        <f t="shared" ca="1" si="39"/>
        <v>0.2</v>
      </c>
      <c r="AQ38" s="12">
        <f t="shared" ca="1" si="40"/>
        <v>0</v>
      </c>
      <c r="AR38" s="11"/>
      <c r="AS38" s="4"/>
      <c r="AT38" s="11"/>
      <c r="AU38" s="4"/>
      <c r="AV38" s="11"/>
      <c r="AW38" s="4"/>
      <c r="AX38" s="11"/>
    </row>
    <row r="39" spans="1:56" ht="19.899999999999999" customHeight="1" x14ac:dyDescent="0.3">
      <c r="A39" s="4">
        <v>35</v>
      </c>
      <c r="B39" s="13" t="str">
        <f t="shared" ref="B39:D39" ca="1" si="73">INDIRECT(ADDRESS(ROW($B137),COLUMN()))</f>
        <v>Lucky</v>
      </c>
      <c r="C39" s="5">
        <f t="shared" ca="1" si="73"/>
        <v>5</v>
      </c>
      <c r="D39" s="6">
        <f t="shared" ca="1" si="73"/>
        <v>1.03</v>
      </c>
      <c r="E39" s="15">
        <f t="shared" ca="1" si="1"/>
        <v>-2</v>
      </c>
      <c r="F39" s="6">
        <f t="shared" ca="1" si="2"/>
        <v>0.67</v>
      </c>
      <c r="G39" s="6">
        <f t="shared" ca="1" si="3"/>
        <v>0.69</v>
      </c>
      <c r="H39" s="7">
        <f t="shared" ca="1" si="4"/>
        <v>75</v>
      </c>
      <c r="I39" s="6">
        <f t="shared" ca="1" si="5"/>
        <v>-0.28000000000000003</v>
      </c>
      <c r="J39" s="21">
        <f t="shared" ca="1" si="33"/>
        <v>64.7</v>
      </c>
      <c r="K39" s="20">
        <f t="shared" ca="1" si="34"/>
        <v>0.69</v>
      </c>
      <c r="L39" s="21">
        <f t="shared" ca="1" si="35"/>
        <v>62.7</v>
      </c>
      <c r="M39" s="20">
        <f t="shared" ca="1" si="36"/>
        <v>1.1399999999999999</v>
      </c>
      <c r="N39" s="21">
        <f t="shared" ca="1" si="37"/>
        <v>78.900000000000006</v>
      </c>
      <c r="O39" s="20">
        <f t="shared" ca="1" si="38"/>
        <v>0.73</v>
      </c>
      <c r="P39" s="4">
        <f t="shared" ca="1" si="6"/>
        <v>0</v>
      </c>
      <c r="Q39" s="11" t="str">
        <f t="shared" ca="1" si="7"/>
        <v>-</v>
      </c>
      <c r="R39" s="4">
        <f t="shared" ca="1" si="8"/>
        <v>1</v>
      </c>
      <c r="S39" s="11">
        <f t="shared" ca="1" si="9"/>
        <v>1.45</v>
      </c>
      <c r="T39" s="4">
        <f t="shared" ca="1" si="10"/>
        <v>1</v>
      </c>
      <c r="U39" s="11">
        <f t="shared" ca="1" si="11"/>
        <v>1.45</v>
      </c>
      <c r="V39" s="11">
        <f t="shared" ca="1" si="12"/>
        <v>0.93</v>
      </c>
      <c r="W39" s="11">
        <f t="shared" ca="1" si="13"/>
        <v>1.1599999999999999</v>
      </c>
      <c r="X39" s="4">
        <f t="shared" ca="1" si="14"/>
        <v>0.63</v>
      </c>
      <c r="Y39" s="11">
        <f t="shared" ca="1" si="15"/>
        <v>1.03</v>
      </c>
      <c r="Z39" s="4">
        <f t="shared" ca="1" si="16"/>
        <v>100.3</v>
      </c>
      <c r="AA39" s="12">
        <f t="shared" ca="1" si="17"/>
        <v>0.106</v>
      </c>
      <c r="AB39" s="12">
        <f t="shared" ca="1" si="18"/>
        <v>0.157</v>
      </c>
      <c r="AC39" s="12">
        <f t="shared" ca="1" si="19"/>
        <v>0.56200000000000006</v>
      </c>
      <c r="AD39" s="17">
        <f t="shared" ca="1" si="20"/>
        <v>8.8235294117647065E-2</v>
      </c>
      <c r="AE39" s="11">
        <f t="shared" ca="1" si="21"/>
        <v>0.99</v>
      </c>
      <c r="AF39" s="12">
        <f t="shared" ca="1" si="22"/>
        <v>0.46078431372549022</v>
      </c>
      <c r="AG39" s="12">
        <f t="shared" ca="1" si="23"/>
        <v>0.15686274509803921</v>
      </c>
      <c r="AH39" s="4">
        <f t="shared" ca="1" si="24"/>
        <v>0</v>
      </c>
      <c r="AI39" s="4">
        <f t="shared" ca="1" si="25"/>
        <v>0.14000000000000001</v>
      </c>
      <c r="AJ39" s="12">
        <f t="shared" ca="1" si="26"/>
        <v>0.20599999999999999</v>
      </c>
      <c r="AK39" s="4">
        <f t="shared" ca="1" si="27"/>
        <v>0.04</v>
      </c>
      <c r="AL39" s="12">
        <f t="shared" ca="1" si="28"/>
        <v>5.7000000000000002E-2</v>
      </c>
      <c r="AM39" s="12">
        <f t="shared" ca="1" si="29"/>
        <v>0.6</v>
      </c>
      <c r="AN39" s="12">
        <f t="shared" ca="1" si="30"/>
        <v>0.4</v>
      </c>
      <c r="AO39" s="12">
        <f t="shared" ca="1" si="31"/>
        <v>0.4</v>
      </c>
      <c r="AP39" s="12">
        <f t="shared" ca="1" si="39"/>
        <v>0.4</v>
      </c>
      <c r="AQ39" s="12">
        <f t="shared" ca="1" si="40"/>
        <v>0.2</v>
      </c>
      <c r="AR39" s="11"/>
      <c r="AS39" s="4"/>
      <c r="AT39" s="11"/>
      <c r="AU39" s="4"/>
      <c r="AV39" s="11"/>
      <c r="AW39" s="4"/>
      <c r="AX39" s="11"/>
    </row>
    <row r="40" spans="1:56" ht="19.899999999999999" customHeight="1" x14ac:dyDescent="0.3">
      <c r="A40" s="4">
        <v>36</v>
      </c>
      <c r="B40" s="13" t="str">
        <f t="shared" ref="B40:D40" ca="1" si="74">INDIRECT(ADDRESS(ROW($B138),COLUMN()))</f>
        <v>MoDo</v>
      </c>
      <c r="C40" s="5">
        <f t="shared" ca="1" si="74"/>
        <v>4</v>
      </c>
      <c r="D40" s="6">
        <f t="shared" ca="1" si="74"/>
        <v>1.03</v>
      </c>
      <c r="E40" s="15">
        <f t="shared" ca="1" si="1"/>
        <v>-9</v>
      </c>
      <c r="F40" s="6">
        <f t="shared" ca="1" si="2"/>
        <v>0.67</v>
      </c>
      <c r="G40" s="6">
        <f t="shared" ca="1" si="3"/>
        <v>0.8</v>
      </c>
      <c r="H40" s="7">
        <f t="shared" ca="1" si="4"/>
        <v>78.599999999999994</v>
      </c>
      <c r="I40" s="6">
        <f t="shared" ca="1" si="5"/>
        <v>-0.15</v>
      </c>
      <c r="J40" s="21">
        <f t="shared" ca="1" si="33"/>
        <v>64.3</v>
      </c>
      <c r="K40" s="20">
        <f t="shared" ca="1" si="34"/>
        <v>0.83</v>
      </c>
      <c r="L40" s="21">
        <f t="shared" ca="1" si="35"/>
        <v>65.099999999999994</v>
      </c>
      <c r="M40" s="20">
        <f t="shared" ca="1" si="36"/>
        <v>1.18</v>
      </c>
      <c r="N40" s="21">
        <f t="shared" ca="1" si="37"/>
        <v>81.599999999999994</v>
      </c>
      <c r="O40" s="20">
        <f t="shared" ca="1" si="38"/>
        <v>0.69</v>
      </c>
      <c r="P40" s="4">
        <f t="shared" ca="1" si="6"/>
        <v>0</v>
      </c>
      <c r="Q40" s="11" t="str">
        <f t="shared" ca="1" si="7"/>
        <v>-</v>
      </c>
      <c r="R40" s="4">
        <f t="shared" ca="1" si="8"/>
        <v>2</v>
      </c>
      <c r="S40" s="11">
        <f t="shared" ca="1" si="9"/>
        <v>0.91</v>
      </c>
      <c r="T40" s="4">
        <f t="shared" ca="1" si="10"/>
        <v>2</v>
      </c>
      <c r="U40" s="11">
        <f t="shared" ca="1" si="11"/>
        <v>0.91</v>
      </c>
      <c r="V40" s="11">
        <f t="shared" ca="1" si="12"/>
        <v>0.98</v>
      </c>
      <c r="W40" s="11">
        <f t="shared" ca="1" si="13"/>
        <v>1.07</v>
      </c>
      <c r="X40" s="4">
        <f t="shared" ca="1" si="14"/>
        <v>1.17</v>
      </c>
      <c r="Y40" s="11">
        <f t="shared" ca="1" si="15"/>
        <v>1.22</v>
      </c>
      <c r="Z40" s="4">
        <f t="shared" ca="1" si="16"/>
        <v>124.9</v>
      </c>
      <c r="AA40" s="12">
        <f t="shared" ca="1" si="17"/>
        <v>7.6999999999999999E-2</v>
      </c>
      <c r="AB40" s="12">
        <f t="shared" ca="1" si="18"/>
        <v>0.1</v>
      </c>
      <c r="AC40" s="12">
        <f t="shared" ca="1" si="19"/>
        <v>0.71399999999999997</v>
      </c>
      <c r="AD40" s="17">
        <f t="shared" ca="1" si="20"/>
        <v>7.1428571428571425E-2</v>
      </c>
      <c r="AE40" s="11">
        <f t="shared" ca="1" si="21"/>
        <v>0.98</v>
      </c>
      <c r="AF40" s="12">
        <f t="shared" ca="1" si="22"/>
        <v>0.44285714285714278</v>
      </c>
      <c r="AG40" s="12">
        <f t="shared" ca="1" si="23"/>
        <v>0.15714285714285711</v>
      </c>
      <c r="AH40" s="4">
        <f t="shared" ca="1" si="24"/>
        <v>1</v>
      </c>
      <c r="AI40" s="4">
        <f t="shared" ca="1" si="25"/>
        <v>0.19</v>
      </c>
      <c r="AJ40" s="12">
        <f t="shared" ca="1" si="26"/>
        <v>0.27700000000000002</v>
      </c>
      <c r="AK40" s="4">
        <f t="shared" ca="1" si="27"/>
        <v>0.11</v>
      </c>
      <c r="AL40" s="12">
        <f t="shared" ca="1" si="28"/>
        <v>0.14299999999999999</v>
      </c>
      <c r="AM40" s="12">
        <f t="shared" ca="1" si="29"/>
        <v>1</v>
      </c>
      <c r="AN40" s="12">
        <f t="shared" ca="1" si="30"/>
        <v>0.25</v>
      </c>
      <c r="AO40" s="12">
        <f t="shared" ca="1" si="31"/>
        <v>0.25</v>
      </c>
      <c r="AP40" s="12">
        <f t="shared" ca="1" si="39"/>
        <v>0.25</v>
      </c>
      <c r="AQ40" s="12">
        <f t="shared" ca="1" si="40"/>
        <v>0</v>
      </c>
      <c r="AR40" s="11"/>
      <c r="AS40" s="4"/>
      <c r="AT40" s="11"/>
      <c r="AU40" s="4"/>
      <c r="AV40" s="11"/>
      <c r="AW40" s="4"/>
      <c r="AX40" s="11"/>
    </row>
    <row r="41" spans="1:56" ht="19.899999999999999" customHeight="1" x14ac:dyDescent="0.3">
      <c r="A41" s="4">
        <v>37</v>
      </c>
      <c r="B41" s="13" t="str">
        <f t="shared" ref="B41:D41" ca="1" si="75">INDIRECT(ADDRESS(ROW($B139),COLUMN()))</f>
        <v>JamYoung</v>
      </c>
      <c r="C41" s="5">
        <f t="shared" ca="1" si="75"/>
        <v>7</v>
      </c>
      <c r="D41" s="6">
        <f t="shared" ca="1" si="75"/>
        <v>1.03</v>
      </c>
      <c r="E41" s="15">
        <f t="shared" ca="1" si="1"/>
        <v>-7</v>
      </c>
      <c r="F41" s="6">
        <f t="shared" ca="1" si="2"/>
        <v>0.54</v>
      </c>
      <c r="G41" s="6">
        <f t="shared" ca="1" si="3"/>
        <v>0.59</v>
      </c>
      <c r="H41" s="7">
        <f t="shared" ca="1" si="4"/>
        <v>65.3</v>
      </c>
      <c r="I41" s="6">
        <f t="shared" ca="1" si="5"/>
        <v>1.1499999999999999</v>
      </c>
      <c r="J41" s="21">
        <f t="shared" ca="1" si="33"/>
        <v>74.599999999999994</v>
      </c>
      <c r="K41" s="20">
        <f t="shared" ca="1" si="34"/>
        <v>0.6</v>
      </c>
      <c r="L41" s="21">
        <f t="shared" ca="1" si="35"/>
        <v>73.3</v>
      </c>
      <c r="M41" s="20">
        <f t="shared" ca="1" si="36"/>
        <v>0.63</v>
      </c>
      <c r="N41" s="21">
        <f t="shared" ca="1" si="37"/>
        <v>64.7</v>
      </c>
      <c r="O41" s="20">
        <f t="shared" ca="1" si="38"/>
        <v>0.54</v>
      </c>
      <c r="P41" s="4">
        <f t="shared" ca="1" si="6"/>
        <v>0</v>
      </c>
      <c r="Q41" s="11" t="str">
        <f t="shared" ca="1" si="7"/>
        <v>-</v>
      </c>
      <c r="R41" s="4">
        <f t="shared" ca="1" si="8"/>
        <v>0</v>
      </c>
      <c r="S41" s="11" t="str">
        <f t="shared" ca="1" si="9"/>
        <v>-</v>
      </c>
      <c r="T41" s="4">
        <f t="shared" ca="1" si="10"/>
        <v>4</v>
      </c>
      <c r="U41" s="11">
        <f t="shared" ca="1" si="11"/>
        <v>0.95</v>
      </c>
      <c r="V41" s="11">
        <f t="shared" ca="1" si="12"/>
        <v>0.96</v>
      </c>
      <c r="W41" s="11">
        <f t="shared" ca="1" si="13"/>
        <v>1.0900000000000001</v>
      </c>
      <c r="X41" s="4">
        <f t="shared" ca="1" si="14"/>
        <v>0.87</v>
      </c>
      <c r="Y41" s="11">
        <f t="shared" ca="1" si="15"/>
        <v>0.66</v>
      </c>
      <c r="Z41" s="4">
        <f t="shared" ca="1" si="16"/>
        <v>73</v>
      </c>
      <c r="AA41" s="12">
        <f t="shared" ca="1" si="17"/>
        <v>6.8000000000000005E-2</v>
      </c>
      <c r="AB41" s="12">
        <f t="shared" ca="1" si="18"/>
        <v>0.23200000000000001</v>
      </c>
      <c r="AC41" s="12">
        <f t="shared" ca="1" si="19"/>
        <v>0.59399999999999997</v>
      </c>
      <c r="AD41" s="17">
        <f t="shared" ca="1" si="20"/>
        <v>0.13768115942028991</v>
      </c>
      <c r="AE41" s="11">
        <f t="shared" ca="1" si="21"/>
        <v>1.2</v>
      </c>
      <c r="AF41" s="12">
        <f t="shared" ca="1" si="22"/>
        <v>0.4420289855072464</v>
      </c>
      <c r="AG41" s="12">
        <f t="shared" ca="1" si="23"/>
        <v>7.9710144927536225E-2</v>
      </c>
      <c r="AH41" s="4">
        <f t="shared" ca="1" si="24"/>
        <v>1</v>
      </c>
      <c r="AI41" s="4">
        <f t="shared" ca="1" si="25"/>
        <v>0.1</v>
      </c>
      <c r="AJ41" s="12">
        <f t="shared" ca="1" si="26"/>
        <v>0.189</v>
      </c>
      <c r="AK41" s="4">
        <f t="shared" ca="1" si="27"/>
        <v>0.14000000000000001</v>
      </c>
      <c r="AL41" s="12">
        <f t="shared" ca="1" si="28"/>
        <v>0.23499999999999999</v>
      </c>
      <c r="AM41" s="12">
        <f t="shared" ca="1" si="29"/>
        <v>0.7142857142857143</v>
      </c>
      <c r="AN41" s="12">
        <f t="shared" ca="1" si="30"/>
        <v>0.42857142857142855</v>
      </c>
      <c r="AO41" s="12">
        <f t="shared" ca="1" si="31"/>
        <v>0.42857142857142855</v>
      </c>
      <c r="AP41" s="12">
        <f t="shared" ca="1" si="39"/>
        <v>0.2857142857142857</v>
      </c>
      <c r="AQ41" s="12">
        <f t="shared" ca="1" si="40"/>
        <v>0.14285714285714285</v>
      </c>
      <c r="AR41" s="11"/>
      <c r="AS41" s="4"/>
      <c r="AT41" s="11"/>
      <c r="AU41" s="4"/>
      <c r="AV41" s="11"/>
      <c r="AW41" s="4"/>
      <c r="AX41" s="11"/>
    </row>
    <row r="42" spans="1:56" ht="19.899999999999999" customHeight="1" x14ac:dyDescent="0.3">
      <c r="A42" s="4">
        <v>38</v>
      </c>
      <c r="B42" s="13" t="str">
        <f t="shared" ref="B42:D42" ca="1" si="76">INDIRECT(ADDRESS(ROW($B140),COLUMN()))</f>
        <v>twist</v>
      </c>
      <c r="C42" s="5">
        <f t="shared" ca="1" si="76"/>
        <v>11</v>
      </c>
      <c r="D42" s="6">
        <f t="shared" ca="1" si="76"/>
        <v>1.02</v>
      </c>
      <c r="E42" s="15">
        <f t="shared" ca="1" si="1"/>
        <v>-5</v>
      </c>
      <c r="F42" s="6">
        <f t="shared" ca="1" si="2"/>
        <v>0.63</v>
      </c>
      <c r="G42" s="6">
        <f t="shared" ca="1" si="3"/>
        <v>0.65</v>
      </c>
      <c r="H42" s="7">
        <f t="shared" ca="1" si="4"/>
        <v>74.099999999999994</v>
      </c>
      <c r="I42" s="6">
        <f t="shared" ca="1" si="5"/>
        <v>-0.26</v>
      </c>
      <c r="J42" s="21">
        <f t="shared" ca="1" si="33"/>
        <v>73.099999999999994</v>
      </c>
      <c r="K42" s="20">
        <f t="shared" ca="1" si="34"/>
        <v>0.66</v>
      </c>
      <c r="L42" s="21">
        <f t="shared" ca="1" si="35"/>
        <v>70.2</v>
      </c>
      <c r="M42" s="20">
        <f t="shared" ca="1" si="36"/>
        <v>1.03</v>
      </c>
      <c r="N42" s="21">
        <f t="shared" ca="1" si="37"/>
        <v>74.8</v>
      </c>
      <c r="O42" s="20">
        <f t="shared" ca="1" si="38"/>
        <v>0.63</v>
      </c>
      <c r="P42" s="4">
        <f t="shared" ca="1" si="6"/>
        <v>0</v>
      </c>
      <c r="Q42" s="11" t="str">
        <f t="shared" ca="1" si="7"/>
        <v>-</v>
      </c>
      <c r="R42" s="4">
        <f t="shared" ca="1" si="8"/>
        <v>2</v>
      </c>
      <c r="S42" s="11">
        <f t="shared" ca="1" si="9"/>
        <v>0.88</v>
      </c>
      <c r="T42" s="4">
        <f t="shared" ca="1" si="10"/>
        <v>7</v>
      </c>
      <c r="U42" s="11">
        <f t="shared" ca="1" si="11"/>
        <v>0.87</v>
      </c>
      <c r="V42" s="11">
        <f t="shared" ca="1" si="12"/>
        <v>1.1200000000000001</v>
      </c>
      <c r="W42" s="11">
        <f t="shared" ca="1" si="13"/>
        <v>0.91</v>
      </c>
      <c r="X42" s="4">
        <f t="shared" ca="1" si="14"/>
        <v>0.91</v>
      </c>
      <c r="Y42" s="11">
        <f t="shared" ca="1" si="15"/>
        <v>0.87</v>
      </c>
      <c r="Z42" s="4">
        <f t="shared" ca="1" si="16"/>
        <v>93.7</v>
      </c>
      <c r="AA42" s="12">
        <f t="shared" ca="1" si="17"/>
        <v>6.2E-2</v>
      </c>
      <c r="AB42" s="12">
        <f t="shared" ca="1" si="18"/>
        <v>0.16500000000000001</v>
      </c>
      <c r="AC42" s="12">
        <f t="shared" ca="1" si="19"/>
        <v>0.4</v>
      </c>
      <c r="AD42" s="17">
        <f t="shared" ca="1" si="20"/>
        <v>6.6115702479338845E-2</v>
      </c>
      <c r="AE42" s="11">
        <f t="shared" ca="1" si="21"/>
        <v>0.83</v>
      </c>
      <c r="AF42" s="12">
        <f t="shared" ca="1" si="22"/>
        <v>0.4462809917355372</v>
      </c>
      <c r="AG42" s="12">
        <f t="shared" ca="1" si="23"/>
        <v>0.128099173553719</v>
      </c>
      <c r="AH42" s="4">
        <f t="shared" ca="1" si="24"/>
        <v>2</v>
      </c>
      <c r="AI42" s="4">
        <f t="shared" ca="1" si="25"/>
        <v>0.15</v>
      </c>
      <c r="AJ42" s="12">
        <f t="shared" ca="1" si="26"/>
        <v>0.23499999999999999</v>
      </c>
      <c r="AK42" s="4">
        <f t="shared" ca="1" si="27"/>
        <v>0.14000000000000001</v>
      </c>
      <c r="AL42" s="12">
        <f t="shared" ca="1" si="28"/>
        <v>0.20899999999999999</v>
      </c>
      <c r="AM42" s="12">
        <f t="shared" ca="1" si="29"/>
        <v>0.54545454545454541</v>
      </c>
      <c r="AN42" s="12">
        <f t="shared" ca="1" si="30"/>
        <v>0.45454545454545453</v>
      </c>
      <c r="AO42" s="12">
        <f t="shared" ca="1" si="31"/>
        <v>0.45454545454545453</v>
      </c>
      <c r="AP42" s="12">
        <f t="shared" ca="1" si="39"/>
        <v>0.36363636363636365</v>
      </c>
      <c r="AQ42" s="12">
        <f t="shared" ca="1" si="40"/>
        <v>0.27272727272727271</v>
      </c>
      <c r="AR42" s="11"/>
      <c r="AS42" s="4"/>
      <c r="AT42" s="11"/>
      <c r="AU42" s="4"/>
      <c r="AV42" s="11"/>
      <c r="AW42" s="4"/>
      <c r="AX42" s="11"/>
    </row>
    <row r="43" spans="1:56" ht="19.899999999999999" customHeight="1" x14ac:dyDescent="0.3">
      <c r="A43" s="4">
        <v>39</v>
      </c>
      <c r="B43" s="13" t="str">
        <f t="shared" ref="B43:D43" ca="1" si="77">INDIRECT(ADDRESS(ROW($B141),COLUMN()))</f>
        <v>meyern</v>
      </c>
      <c r="C43" s="5">
        <f t="shared" ca="1" si="77"/>
        <v>16</v>
      </c>
      <c r="D43" s="6">
        <f t="shared" ca="1" si="77"/>
        <v>1.01</v>
      </c>
      <c r="E43" s="15">
        <f t="shared" ca="1" si="1"/>
        <v>29</v>
      </c>
      <c r="F43" s="6">
        <f t="shared" ca="1" si="2"/>
        <v>0.62</v>
      </c>
      <c r="G43" s="6">
        <f t="shared" ca="1" si="3"/>
        <v>0.54</v>
      </c>
      <c r="H43" s="7">
        <f t="shared" ca="1" si="4"/>
        <v>60.2</v>
      </c>
      <c r="I43" s="6">
        <f t="shared" ca="1" si="5"/>
        <v>0.51</v>
      </c>
      <c r="J43" s="21">
        <f t="shared" ca="1" si="33"/>
        <v>74</v>
      </c>
      <c r="K43" s="20">
        <f t="shared" ca="1" si="34"/>
        <v>0.56999999999999995</v>
      </c>
      <c r="L43" s="21">
        <f t="shared" ca="1" si="35"/>
        <v>71.7</v>
      </c>
      <c r="M43" s="20">
        <f t="shared" ca="1" si="36"/>
        <v>0.94</v>
      </c>
      <c r="N43" s="21">
        <f t="shared" ca="1" si="37"/>
        <v>58.3</v>
      </c>
      <c r="O43" s="20">
        <f t="shared" ca="1" si="38"/>
        <v>0.59</v>
      </c>
      <c r="P43" s="4">
        <f t="shared" ca="1" si="6"/>
        <v>0</v>
      </c>
      <c r="Q43" s="11" t="str">
        <f t="shared" ca="1" si="7"/>
        <v>-</v>
      </c>
      <c r="R43" s="4">
        <f t="shared" ca="1" si="8"/>
        <v>0</v>
      </c>
      <c r="S43" s="11" t="str">
        <f t="shared" ca="1" si="9"/>
        <v>-</v>
      </c>
      <c r="T43" s="4">
        <f t="shared" ca="1" si="10"/>
        <v>3</v>
      </c>
      <c r="U43" s="11">
        <f t="shared" ca="1" si="11"/>
        <v>0.91</v>
      </c>
      <c r="V43" s="11">
        <f t="shared" ca="1" si="12"/>
        <v>1.0900000000000001</v>
      </c>
      <c r="W43" s="11">
        <f t="shared" ca="1" si="13"/>
        <v>0.93</v>
      </c>
      <c r="X43" s="4">
        <f t="shared" ca="1" si="14"/>
        <v>0.92</v>
      </c>
      <c r="Y43" s="11">
        <f t="shared" ca="1" si="15"/>
        <v>0.8</v>
      </c>
      <c r="Z43" s="4">
        <f t="shared" ca="1" si="16"/>
        <v>77.7</v>
      </c>
      <c r="AA43" s="12">
        <f t="shared" ca="1" si="17"/>
        <v>0.13900000000000001</v>
      </c>
      <c r="AB43" s="12">
        <f t="shared" ca="1" si="18"/>
        <v>0.128</v>
      </c>
      <c r="AC43" s="12">
        <f t="shared" ca="1" si="19"/>
        <v>0.51100000000000001</v>
      </c>
      <c r="AD43" s="17">
        <f t="shared" ca="1" si="20"/>
        <v>6.5573770491803282E-2</v>
      </c>
      <c r="AE43" s="11">
        <f t="shared" ca="1" si="21"/>
        <v>0.89</v>
      </c>
      <c r="AF43" s="12">
        <f t="shared" ca="1" si="22"/>
        <v>0.43989071038251359</v>
      </c>
      <c r="AG43" s="12">
        <f t="shared" ca="1" si="23"/>
        <v>0.13934426229508201</v>
      </c>
      <c r="AH43" s="4">
        <f t="shared" ca="1" si="24"/>
        <v>3</v>
      </c>
      <c r="AI43" s="4">
        <f t="shared" ca="1" si="25"/>
        <v>0.15</v>
      </c>
      <c r="AJ43" s="12">
        <f t="shared" ca="1" si="26"/>
        <v>0.24199999999999999</v>
      </c>
      <c r="AK43" s="4">
        <f t="shared" ca="1" si="27"/>
        <v>0.11</v>
      </c>
      <c r="AL43" s="12">
        <f t="shared" ca="1" si="28"/>
        <v>0.20699999999999999</v>
      </c>
      <c r="AM43" s="12">
        <f t="shared" ca="1" si="29"/>
        <v>0.625</v>
      </c>
      <c r="AN43" s="12">
        <f t="shared" ca="1" si="30"/>
        <v>0.5</v>
      </c>
      <c r="AO43" s="12">
        <f t="shared" ca="1" si="31"/>
        <v>0.375</v>
      </c>
      <c r="AP43" s="12">
        <f t="shared" ca="1" si="39"/>
        <v>0.25</v>
      </c>
      <c r="AQ43" s="12">
        <f t="shared" ca="1" si="40"/>
        <v>6.25E-2</v>
      </c>
      <c r="AR43" s="11"/>
      <c r="AS43" s="4"/>
      <c r="AT43" s="11"/>
      <c r="AU43" s="4"/>
      <c r="AV43" s="11"/>
      <c r="AW43" s="4"/>
      <c r="AX43" s="11"/>
    </row>
    <row r="44" spans="1:56" ht="19.899999999999999" customHeight="1" x14ac:dyDescent="0.3">
      <c r="A44" s="4">
        <v>40</v>
      </c>
      <c r="B44" s="13" t="str">
        <f t="shared" ref="B44:D44" ca="1" si="78">INDIRECT(ADDRESS(ROW($B142),COLUMN()))</f>
        <v>tabseN</v>
      </c>
      <c r="C44" s="5">
        <f t="shared" ca="1" si="78"/>
        <v>11</v>
      </c>
      <c r="D44" s="6">
        <f t="shared" ca="1" si="78"/>
        <v>1.01</v>
      </c>
      <c r="E44" s="15">
        <f t="shared" ca="1" si="1"/>
        <v>-27</v>
      </c>
      <c r="F44" s="6">
        <f t="shared" ca="1" si="2"/>
        <v>0.6</v>
      </c>
      <c r="G44" s="6">
        <f t="shared" ca="1" si="3"/>
        <v>0.7</v>
      </c>
      <c r="H44" s="7">
        <f t="shared" ca="1" si="4"/>
        <v>71.400000000000006</v>
      </c>
      <c r="I44" s="6">
        <f t="shared" ca="1" si="5"/>
        <v>-0.33</v>
      </c>
      <c r="J44" s="21">
        <f t="shared" ca="1" si="33"/>
        <v>72.8</v>
      </c>
      <c r="K44" s="20">
        <f t="shared" ca="1" si="34"/>
        <v>0.71</v>
      </c>
      <c r="L44" s="21">
        <f t="shared" ca="1" si="35"/>
        <v>75.7</v>
      </c>
      <c r="M44" s="20">
        <f t="shared" ca="1" si="36"/>
        <v>0.8</v>
      </c>
      <c r="N44" s="21">
        <f t="shared" ca="1" si="37"/>
        <v>72.599999999999994</v>
      </c>
      <c r="O44" s="20">
        <f t="shared" ca="1" si="38"/>
        <v>0.63</v>
      </c>
      <c r="P44" s="4">
        <f t="shared" ca="1" si="6"/>
        <v>0</v>
      </c>
      <c r="Q44" s="11" t="str">
        <f t="shared" ca="1" si="7"/>
        <v>-</v>
      </c>
      <c r="R44" s="4">
        <f t="shared" ca="1" si="8"/>
        <v>1</v>
      </c>
      <c r="S44" s="11">
        <f t="shared" ca="1" si="9"/>
        <v>0.89</v>
      </c>
      <c r="T44" s="4">
        <f t="shared" ca="1" si="10"/>
        <v>6</v>
      </c>
      <c r="U44" s="11">
        <f t="shared" ca="1" si="11"/>
        <v>0.97</v>
      </c>
      <c r="V44" s="11">
        <f t="shared" ca="1" si="12"/>
        <v>1.18</v>
      </c>
      <c r="W44" s="11">
        <f t="shared" ca="1" si="13"/>
        <v>0.81</v>
      </c>
      <c r="X44" s="4">
        <f t="shared" ca="1" si="14"/>
        <v>1.38</v>
      </c>
      <c r="Y44" s="11">
        <f t="shared" ca="1" si="15"/>
        <v>0.81</v>
      </c>
      <c r="Z44" s="4">
        <f t="shared" ca="1" si="16"/>
        <v>91.3</v>
      </c>
      <c r="AA44" s="12">
        <f t="shared" ca="1" si="17"/>
        <v>7.3999999999999996E-2</v>
      </c>
      <c r="AB44" s="12">
        <f t="shared" ca="1" si="18"/>
        <v>0.23400000000000001</v>
      </c>
      <c r="AC44" s="12">
        <f t="shared" ca="1" si="19"/>
        <v>0.60699999999999998</v>
      </c>
      <c r="AD44" s="17">
        <f t="shared" ca="1" si="20"/>
        <v>0.1417624521072797</v>
      </c>
      <c r="AE44" s="11">
        <f t="shared" ca="1" si="21"/>
        <v>1.22</v>
      </c>
      <c r="AF44" s="12">
        <f t="shared" ca="1" si="22"/>
        <v>0.45593869731800768</v>
      </c>
      <c r="AG44" s="12">
        <f t="shared" ca="1" si="23"/>
        <v>0.13026819923371649</v>
      </c>
      <c r="AH44" s="4">
        <f t="shared" ca="1" si="24"/>
        <v>3</v>
      </c>
      <c r="AI44" s="4">
        <f t="shared" ca="1" si="25"/>
        <v>0.1</v>
      </c>
      <c r="AJ44" s="12">
        <f t="shared" ca="1" si="26"/>
        <v>0.159</v>
      </c>
      <c r="AK44" s="4">
        <f t="shared" ca="1" si="27"/>
        <v>0.18</v>
      </c>
      <c r="AL44" s="12">
        <f t="shared" ca="1" si="28"/>
        <v>0.255</v>
      </c>
      <c r="AM44" s="12">
        <f t="shared" ca="1" si="29"/>
        <v>0.81818181818181823</v>
      </c>
      <c r="AN44" s="12">
        <f t="shared" ca="1" si="30"/>
        <v>0.45454545454545453</v>
      </c>
      <c r="AO44" s="12">
        <f t="shared" ca="1" si="31"/>
        <v>0.27272727272727271</v>
      </c>
      <c r="AP44" s="12">
        <f t="shared" ca="1" si="39"/>
        <v>9.0909090909090912E-2</v>
      </c>
      <c r="AQ44" s="12">
        <f t="shared" ca="1" si="40"/>
        <v>9.0909090909090912E-2</v>
      </c>
      <c r="AR44" s="16"/>
      <c r="AS44" s="10"/>
      <c r="AT44" s="16"/>
      <c r="AU44" s="10"/>
      <c r="AV44" s="16"/>
      <c r="AW44" s="10"/>
      <c r="AX44" s="16"/>
      <c r="AY44" s="10"/>
      <c r="AZ44" s="10"/>
      <c r="BA44" s="10"/>
      <c r="BB44" s="10"/>
      <c r="BC44" s="10"/>
      <c r="BD44" s="10"/>
    </row>
    <row r="45" spans="1:56" ht="19.899999999999999" customHeight="1" x14ac:dyDescent="0.3">
      <c r="A45" s="4">
        <v>41</v>
      </c>
      <c r="B45" s="13" t="str">
        <f t="shared" ref="B45:D45" ca="1" si="79">INDIRECT(ADDRESS(ROW($B143),COLUMN()))</f>
        <v>mag1k3Y</v>
      </c>
      <c r="C45" s="5">
        <f t="shared" ca="1" si="79"/>
        <v>11</v>
      </c>
      <c r="D45" s="6">
        <f t="shared" ca="1" si="79"/>
        <v>1.01</v>
      </c>
      <c r="E45" s="15">
        <f t="shared" ca="1" si="1"/>
        <v>10</v>
      </c>
      <c r="F45" s="6">
        <f t="shared" ca="1" si="2"/>
        <v>0.64</v>
      </c>
      <c r="G45" s="6">
        <f t="shared" ca="1" si="3"/>
        <v>0.6</v>
      </c>
      <c r="H45" s="7">
        <f t="shared" ca="1" si="4"/>
        <v>62</v>
      </c>
      <c r="I45" s="6">
        <f t="shared" ca="1" si="5"/>
        <v>0.69</v>
      </c>
      <c r="J45" s="21">
        <f t="shared" ca="1" si="33"/>
        <v>73.5</v>
      </c>
      <c r="K45" s="20">
        <f t="shared" ca="1" si="34"/>
        <v>0.65</v>
      </c>
      <c r="L45" s="21">
        <f t="shared" ca="1" si="35"/>
        <v>71.2</v>
      </c>
      <c r="M45" s="20">
        <f t="shared" ca="1" si="36"/>
        <v>0.97</v>
      </c>
      <c r="N45" s="21">
        <f t="shared" ca="1" si="37"/>
        <v>61.2</v>
      </c>
      <c r="O45" s="20">
        <f t="shared" ca="1" si="38"/>
        <v>0.61</v>
      </c>
      <c r="P45" s="4">
        <f t="shared" ca="1" si="6"/>
        <v>0</v>
      </c>
      <c r="Q45" s="11" t="str">
        <f t="shared" ca="1" si="7"/>
        <v>-</v>
      </c>
      <c r="R45" s="4">
        <f t="shared" ca="1" si="8"/>
        <v>3</v>
      </c>
      <c r="S45" s="11">
        <f t="shared" ca="1" si="9"/>
        <v>0.84</v>
      </c>
      <c r="T45" s="4">
        <f t="shared" ca="1" si="10"/>
        <v>5</v>
      </c>
      <c r="U45" s="11">
        <f t="shared" ca="1" si="11"/>
        <v>0.89</v>
      </c>
      <c r="V45" s="11">
        <f t="shared" ca="1" si="12"/>
        <v>1.01</v>
      </c>
      <c r="W45" s="11">
        <f t="shared" ca="1" si="13"/>
        <v>1.01</v>
      </c>
      <c r="X45" s="4">
        <f t="shared" ca="1" si="14"/>
        <v>1.1100000000000001</v>
      </c>
      <c r="Y45" s="11">
        <f t="shared" ca="1" si="15"/>
        <v>0.91</v>
      </c>
      <c r="Z45" s="4">
        <f t="shared" ca="1" si="16"/>
        <v>86.8</v>
      </c>
      <c r="AA45" s="12">
        <f t="shared" ca="1" si="17"/>
        <v>0.13300000000000001</v>
      </c>
      <c r="AB45" s="12">
        <f t="shared" ca="1" si="18"/>
        <v>0.14799999999999999</v>
      </c>
      <c r="AC45" s="12">
        <f t="shared" ca="1" si="19"/>
        <v>0.64100000000000001</v>
      </c>
      <c r="AD45" s="17">
        <f t="shared" ca="1" si="20"/>
        <v>9.4696969696969696E-2</v>
      </c>
      <c r="AE45" s="11">
        <f t="shared" ca="1" si="21"/>
        <v>1.05</v>
      </c>
      <c r="AF45" s="12">
        <f t="shared" ca="1" si="22"/>
        <v>0.43560606060606061</v>
      </c>
      <c r="AG45" s="12">
        <f t="shared" ca="1" si="23"/>
        <v>0.15151515151515149</v>
      </c>
      <c r="AH45" s="4">
        <f t="shared" ca="1" si="24"/>
        <v>4</v>
      </c>
      <c r="AI45" s="4">
        <f t="shared" ca="1" si="25"/>
        <v>0.14000000000000001</v>
      </c>
      <c r="AJ45" s="12">
        <f t="shared" ca="1" si="26"/>
        <v>0.22</v>
      </c>
      <c r="AK45" s="4">
        <f t="shared" ca="1" si="27"/>
        <v>0.12</v>
      </c>
      <c r="AL45" s="12">
        <f t="shared" ca="1" si="28"/>
        <v>0.20300000000000001</v>
      </c>
      <c r="AM45" s="12">
        <f t="shared" ca="1" si="29"/>
        <v>0.81818181818181823</v>
      </c>
      <c r="AN45" s="12">
        <f t="shared" ca="1" si="30"/>
        <v>0.45454545454545453</v>
      </c>
      <c r="AO45" s="12">
        <f t="shared" ca="1" si="31"/>
        <v>0.27272727272727271</v>
      </c>
      <c r="AP45" s="12">
        <f t="shared" ca="1" si="39"/>
        <v>0.18181818181818182</v>
      </c>
      <c r="AQ45" s="12">
        <f t="shared" ca="1" si="40"/>
        <v>0.18181818181818182</v>
      </c>
      <c r="AR45" s="16"/>
      <c r="AS45" s="10"/>
      <c r="AT45" s="16"/>
      <c r="AU45" s="10"/>
      <c r="AV45" s="16"/>
      <c r="AW45" s="10"/>
      <c r="AX45" s="16"/>
      <c r="AY45" s="10"/>
      <c r="AZ45" s="10"/>
      <c r="BA45" s="10"/>
      <c r="BB45" s="10"/>
      <c r="BC45" s="10"/>
      <c r="BD45" s="10"/>
    </row>
    <row r="46" spans="1:56" ht="19.899999999999999" customHeight="1" x14ac:dyDescent="0.3">
      <c r="A46" s="4">
        <v>42</v>
      </c>
      <c r="B46" s="13" t="str">
        <f t="shared" ref="B46:D46" ca="1" si="80">INDIRECT(ADDRESS(ROW($B144),COLUMN()))</f>
        <v>upE</v>
      </c>
      <c r="C46" s="5">
        <f t="shared" ca="1" si="80"/>
        <v>11</v>
      </c>
      <c r="D46" s="6">
        <f t="shared" ca="1" si="80"/>
        <v>1.01</v>
      </c>
      <c r="E46" s="15">
        <f t="shared" ca="1" si="1"/>
        <v>-17</v>
      </c>
      <c r="F46" s="6">
        <f t="shared" ca="1" si="2"/>
        <v>0.53</v>
      </c>
      <c r="G46" s="6">
        <f t="shared" ca="1" si="3"/>
        <v>0.6</v>
      </c>
      <c r="H46" s="7">
        <f t="shared" ca="1" si="4"/>
        <v>59.8</v>
      </c>
      <c r="I46" s="6">
        <f t="shared" ca="1" si="5"/>
        <v>0.76</v>
      </c>
      <c r="J46" s="21">
        <f t="shared" ca="1" si="33"/>
        <v>68.599999999999994</v>
      </c>
      <c r="K46" s="20">
        <f t="shared" ca="1" si="34"/>
        <v>0.59</v>
      </c>
      <c r="L46" s="21">
        <f t="shared" ca="1" si="35"/>
        <v>67.8</v>
      </c>
      <c r="M46" s="20">
        <f t="shared" ca="1" si="36"/>
        <v>0.93</v>
      </c>
      <c r="N46" s="21">
        <f t="shared" ca="1" si="37"/>
        <v>61.4</v>
      </c>
      <c r="O46" s="20">
        <f t="shared" ca="1" si="38"/>
        <v>0.56000000000000005</v>
      </c>
      <c r="P46" s="4">
        <f t="shared" ca="1" si="6"/>
        <v>0</v>
      </c>
      <c r="Q46" s="11" t="str">
        <f t="shared" ca="1" si="7"/>
        <v>-</v>
      </c>
      <c r="R46" s="4">
        <f t="shared" ca="1" si="8"/>
        <v>2</v>
      </c>
      <c r="S46" s="11">
        <f t="shared" ca="1" si="9"/>
        <v>1.24</v>
      </c>
      <c r="T46" s="4">
        <f t="shared" ca="1" si="10"/>
        <v>7</v>
      </c>
      <c r="U46" s="11">
        <f t="shared" ca="1" si="11"/>
        <v>1.1100000000000001</v>
      </c>
      <c r="V46" s="11">
        <f t="shared" ca="1" si="12"/>
        <v>0.96</v>
      </c>
      <c r="W46" s="11">
        <f t="shared" ca="1" si="13"/>
        <v>1.06</v>
      </c>
      <c r="X46" s="4">
        <f t="shared" ca="1" si="14"/>
        <v>1.33</v>
      </c>
      <c r="Y46" s="11">
        <f t="shared" ca="1" si="15"/>
        <v>0.79</v>
      </c>
      <c r="Z46" s="4">
        <f t="shared" ca="1" si="16"/>
        <v>80.900000000000006</v>
      </c>
      <c r="AA46" s="12">
        <f t="shared" ca="1" si="17"/>
        <v>6.2E-2</v>
      </c>
      <c r="AB46" s="12">
        <f t="shared" ca="1" si="18"/>
        <v>0.14899999999999999</v>
      </c>
      <c r="AC46" s="12">
        <f t="shared" ca="1" si="19"/>
        <v>0.52800000000000002</v>
      </c>
      <c r="AD46" s="17">
        <f t="shared" ca="1" si="20"/>
        <v>7.8512396694214878E-2</v>
      </c>
      <c r="AE46" s="11">
        <f t="shared" ca="1" si="21"/>
        <v>0.94</v>
      </c>
      <c r="AF46" s="12">
        <f t="shared" ca="1" si="22"/>
        <v>0.37190082644628097</v>
      </c>
      <c r="AG46" s="12">
        <f t="shared" ca="1" si="23"/>
        <v>0.128099173553719</v>
      </c>
      <c r="AH46" s="4">
        <f t="shared" ca="1" si="24"/>
        <v>7</v>
      </c>
      <c r="AI46" s="4">
        <f t="shared" ca="1" si="25"/>
        <v>0.1</v>
      </c>
      <c r="AJ46" s="12">
        <f t="shared" ca="1" si="26"/>
        <v>0.188</v>
      </c>
      <c r="AK46" s="4">
        <f t="shared" ca="1" si="27"/>
        <v>0.12</v>
      </c>
      <c r="AL46" s="12">
        <f t="shared" ca="1" si="28"/>
        <v>0.20699999999999999</v>
      </c>
      <c r="AM46" s="12">
        <f t="shared" ca="1" si="29"/>
        <v>0.63636363636363635</v>
      </c>
      <c r="AN46" s="12">
        <f t="shared" ca="1" si="30"/>
        <v>0.45454545454545453</v>
      </c>
      <c r="AO46" s="12">
        <f t="shared" ca="1" si="31"/>
        <v>0.36363636363636365</v>
      </c>
      <c r="AP46" s="12">
        <f t="shared" ca="1" si="39"/>
        <v>0.27272727272727271</v>
      </c>
      <c r="AQ46" s="12">
        <f t="shared" ca="1" si="40"/>
        <v>0.18181818181818182</v>
      </c>
      <c r="AR46" s="16"/>
      <c r="AS46" s="10"/>
      <c r="AT46" s="16"/>
      <c r="AU46" s="10"/>
      <c r="AV46" s="16"/>
      <c r="AW46" s="10"/>
      <c r="AX46" s="16"/>
      <c r="AY46" s="10"/>
      <c r="AZ46" s="10"/>
      <c r="BA46" s="10"/>
      <c r="BB46" s="10"/>
      <c r="BC46" s="10"/>
      <c r="BD46" s="10"/>
    </row>
    <row r="47" spans="1:56" ht="19.899999999999999" customHeight="1" x14ac:dyDescent="0.3">
      <c r="A47" s="4">
        <v>43</v>
      </c>
      <c r="B47" s="13" t="str">
        <f t="shared" ref="B47:D47" ca="1" si="81">INDIRECT(ADDRESS(ROW($B145),COLUMN()))</f>
        <v>venomzera</v>
      </c>
      <c r="C47" s="5">
        <f t="shared" ca="1" si="81"/>
        <v>8</v>
      </c>
      <c r="D47" s="6">
        <f t="shared" ca="1" si="81"/>
        <v>1.01</v>
      </c>
      <c r="E47" s="15">
        <f t="shared" ca="1" si="1"/>
        <v>1</v>
      </c>
      <c r="F47" s="6">
        <f t="shared" ca="1" si="2"/>
        <v>0.67</v>
      </c>
      <c r="G47" s="6">
        <f t="shared" ca="1" si="3"/>
        <v>0.66</v>
      </c>
      <c r="H47" s="7">
        <f t="shared" ca="1" si="4"/>
        <v>70.3</v>
      </c>
      <c r="I47" s="6">
        <f t="shared" ca="1" si="5"/>
        <v>-0.59</v>
      </c>
      <c r="J47" s="21">
        <f t="shared" ca="1" si="33"/>
        <v>69.3</v>
      </c>
      <c r="K47" s="20">
        <f t="shared" ca="1" si="34"/>
        <v>0.67</v>
      </c>
      <c r="L47" s="21">
        <f t="shared" ca="1" si="35"/>
        <v>66.400000000000006</v>
      </c>
      <c r="M47" s="20">
        <f t="shared" ca="1" si="36"/>
        <v>0.99</v>
      </c>
      <c r="N47" s="21">
        <f t="shared" ca="1" si="37"/>
        <v>69.8</v>
      </c>
      <c r="O47" s="20">
        <f t="shared" ca="1" si="38"/>
        <v>0.68</v>
      </c>
      <c r="P47" s="4">
        <f t="shared" ca="1" si="6"/>
        <v>0</v>
      </c>
      <c r="Q47" s="11" t="str">
        <f t="shared" ca="1" si="7"/>
        <v>-</v>
      </c>
      <c r="R47" s="4">
        <f t="shared" ca="1" si="8"/>
        <v>2</v>
      </c>
      <c r="S47" s="11">
        <f t="shared" ca="1" si="9"/>
        <v>1.0900000000000001</v>
      </c>
      <c r="T47" s="4">
        <f t="shared" ca="1" si="10"/>
        <v>6</v>
      </c>
      <c r="U47" s="11">
        <f t="shared" ca="1" si="11"/>
        <v>0.89</v>
      </c>
      <c r="V47" s="11">
        <f t="shared" ca="1" si="12"/>
        <v>0.9</v>
      </c>
      <c r="W47" s="11">
        <f t="shared" ca="1" si="13"/>
        <v>1.0900000000000001</v>
      </c>
      <c r="X47" s="4">
        <f t="shared" ca="1" si="14"/>
        <v>1.22</v>
      </c>
      <c r="Y47" s="11">
        <f t="shared" ca="1" si="15"/>
        <v>0.92</v>
      </c>
      <c r="Z47" s="4">
        <f t="shared" ca="1" si="16"/>
        <v>91.9</v>
      </c>
      <c r="AA47" s="12">
        <f t="shared" ca="1" si="17"/>
        <v>5.3999999999999999E-2</v>
      </c>
      <c r="AB47" s="12">
        <f t="shared" ca="1" si="18"/>
        <v>0.246</v>
      </c>
      <c r="AC47" s="12">
        <f t="shared" ca="1" si="19"/>
        <v>0.38600000000000001</v>
      </c>
      <c r="AD47" s="17">
        <f t="shared" ca="1" si="20"/>
        <v>9.4972067039106142E-2</v>
      </c>
      <c r="AE47" s="11">
        <f t="shared" ca="1" si="21"/>
        <v>0.89</v>
      </c>
      <c r="AF47" s="12">
        <f t="shared" ca="1" si="22"/>
        <v>0.45251396648044689</v>
      </c>
      <c r="AG47" s="12">
        <f t="shared" ca="1" si="23"/>
        <v>0.1787709497206704</v>
      </c>
      <c r="AH47" s="4">
        <f t="shared" ca="1" si="24"/>
        <v>1</v>
      </c>
      <c r="AI47" s="4">
        <f t="shared" ca="1" si="25"/>
        <v>0.16</v>
      </c>
      <c r="AJ47" s="12">
        <f t="shared" ca="1" si="26"/>
        <v>0.23300000000000001</v>
      </c>
      <c r="AK47" s="4">
        <f t="shared" ca="1" si="27"/>
        <v>0.14000000000000001</v>
      </c>
      <c r="AL47" s="12">
        <f t="shared" ca="1" si="28"/>
        <v>0.21</v>
      </c>
      <c r="AM47" s="12">
        <f t="shared" ca="1" si="29"/>
        <v>0.625</v>
      </c>
      <c r="AN47" s="12">
        <f t="shared" ca="1" si="30"/>
        <v>0.375</v>
      </c>
      <c r="AO47" s="12">
        <f t="shared" ca="1" si="31"/>
        <v>0.375</v>
      </c>
      <c r="AP47" s="12">
        <f t="shared" ca="1" si="39"/>
        <v>0.125</v>
      </c>
      <c r="AQ47" s="12">
        <f t="shared" ca="1" si="40"/>
        <v>0.125</v>
      </c>
      <c r="AR47" s="16"/>
      <c r="AS47" s="10"/>
      <c r="AT47" s="16"/>
      <c r="AU47" s="10"/>
      <c r="AV47" s="16"/>
      <c r="AW47" s="10"/>
      <c r="AX47" s="16"/>
      <c r="AY47" s="10"/>
      <c r="AZ47" s="10"/>
      <c r="BA47" s="10"/>
      <c r="BB47" s="10"/>
      <c r="BC47" s="10"/>
      <c r="BD47" s="10"/>
    </row>
    <row r="48" spans="1:56" ht="19.899999999999999" customHeight="1" x14ac:dyDescent="0.3">
      <c r="A48" s="4">
        <v>44</v>
      </c>
      <c r="B48" s="13" t="str">
        <f t="shared" ref="B48:D48" ca="1" si="82">INDIRECT(ADDRESS(ROW($B146),COLUMN()))</f>
        <v>esenthial</v>
      </c>
      <c r="C48" s="5">
        <f t="shared" ca="1" si="82"/>
        <v>7</v>
      </c>
      <c r="D48" s="6">
        <f t="shared" ca="1" si="82"/>
        <v>1</v>
      </c>
      <c r="E48" s="15">
        <f t="shared" ca="1" si="1"/>
        <v>-5</v>
      </c>
      <c r="F48" s="6">
        <f t="shared" ca="1" si="2"/>
        <v>0.65</v>
      </c>
      <c r="G48" s="6">
        <f t="shared" ca="1" si="3"/>
        <v>0.68</v>
      </c>
      <c r="H48" s="7">
        <f t="shared" ca="1" si="4"/>
        <v>72.2</v>
      </c>
      <c r="I48" s="6">
        <f t="shared" ca="1" si="5"/>
        <v>-0.2</v>
      </c>
      <c r="J48" s="21">
        <f t="shared" ca="1" si="33"/>
        <v>74</v>
      </c>
      <c r="K48" s="20">
        <f t="shared" ca="1" si="34"/>
        <v>0.69</v>
      </c>
      <c r="L48" s="21">
        <f t="shared" ca="1" si="35"/>
        <v>73.900000000000006</v>
      </c>
      <c r="M48" s="20">
        <f t="shared" ca="1" si="36"/>
        <v>0.95</v>
      </c>
      <c r="N48" s="21">
        <f t="shared" ca="1" si="37"/>
        <v>71.900000000000006</v>
      </c>
      <c r="O48" s="20">
        <f t="shared" ca="1" si="38"/>
        <v>0.65</v>
      </c>
      <c r="P48" s="4">
        <f t="shared" ca="1" si="6"/>
        <v>0</v>
      </c>
      <c r="Q48" s="11" t="str">
        <f t="shared" ca="1" si="7"/>
        <v>-</v>
      </c>
      <c r="R48" s="4">
        <f t="shared" ca="1" si="8"/>
        <v>0</v>
      </c>
      <c r="S48" s="11" t="str">
        <f t="shared" ca="1" si="9"/>
        <v>-</v>
      </c>
      <c r="T48" s="4">
        <f t="shared" ca="1" si="10"/>
        <v>0</v>
      </c>
      <c r="U48" s="11" t="str">
        <f t="shared" ca="1" si="11"/>
        <v>-</v>
      </c>
      <c r="V48" s="11">
        <f t="shared" ca="1" si="12"/>
        <v>1.05</v>
      </c>
      <c r="W48" s="11">
        <f t="shared" ca="1" si="13"/>
        <v>0.96</v>
      </c>
      <c r="X48" s="4">
        <f t="shared" ca="1" si="14"/>
        <v>0.81</v>
      </c>
      <c r="Y48" s="11">
        <f t="shared" ca="1" si="15"/>
        <v>0.93</v>
      </c>
      <c r="Z48" s="4">
        <f t="shared" ca="1" si="16"/>
        <v>99.9</v>
      </c>
      <c r="AA48" s="12">
        <f t="shared" ca="1" si="17"/>
        <v>4.4999999999999998E-2</v>
      </c>
      <c r="AB48" s="12">
        <f t="shared" ca="1" si="18"/>
        <v>0.191</v>
      </c>
      <c r="AC48" s="12">
        <f t="shared" ca="1" si="19"/>
        <v>0.48499999999999999</v>
      </c>
      <c r="AD48" s="17">
        <f t="shared" ca="1" si="20"/>
        <v>9.2485549132947972E-2</v>
      </c>
      <c r="AE48" s="11">
        <f t="shared" ca="1" si="21"/>
        <v>0.97</v>
      </c>
      <c r="AF48" s="12">
        <f t="shared" ca="1" si="22"/>
        <v>0.4913294797687861</v>
      </c>
      <c r="AG48" s="12">
        <f t="shared" ca="1" si="23"/>
        <v>0.115606936416185</v>
      </c>
      <c r="AH48" s="4">
        <f t="shared" ca="1" si="24"/>
        <v>1</v>
      </c>
      <c r="AI48" s="4">
        <f t="shared" ca="1" si="25"/>
        <v>0.13</v>
      </c>
      <c r="AJ48" s="12">
        <f t="shared" ca="1" si="26"/>
        <v>0.20499999999999999</v>
      </c>
      <c r="AK48" s="4">
        <f t="shared" ca="1" si="27"/>
        <v>0.13</v>
      </c>
      <c r="AL48" s="12">
        <f t="shared" ca="1" si="28"/>
        <v>0.19700000000000001</v>
      </c>
      <c r="AM48" s="12">
        <f t="shared" ca="1" si="29"/>
        <v>0.7142857142857143</v>
      </c>
      <c r="AN48" s="12">
        <f t="shared" ca="1" si="30"/>
        <v>0.42857142857142855</v>
      </c>
      <c r="AO48" s="12">
        <f t="shared" ca="1" si="31"/>
        <v>0.2857142857142857</v>
      </c>
      <c r="AP48" s="12">
        <f t="shared" ca="1" si="39"/>
        <v>0.2857142857142857</v>
      </c>
      <c r="AQ48" s="12">
        <f t="shared" ca="1" si="40"/>
        <v>0.14285714285714285</v>
      </c>
      <c r="AR48" s="16"/>
      <c r="AS48" s="10"/>
      <c r="AT48" s="16"/>
      <c r="AU48" s="10"/>
      <c r="AV48" s="16"/>
      <c r="AW48" s="10"/>
      <c r="AX48" s="16"/>
      <c r="AY48" s="10"/>
      <c r="AZ48" s="10"/>
      <c r="BA48" s="10"/>
      <c r="BB48" s="10"/>
      <c r="BC48" s="10"/>
      <c r="BD48" s="10"/>
    </row>
    <row r="49" spans="1:56" ht="19.899999999999999" customHeight="1" x14ac:dyDescent="0.3">
      <c r="A49" s="4">
        <v>45</v>
      </c>
      <c r="B49" s="13" t="str">
        <f t="shared" ref="B49:D49" ca="1" si="83">INDIRECT(ADDRESS(ROW($B147),COLUMN()))</f>
        <v>jcobbb</v>
      </c>
      <c r="C49" s="5">
        <f t="shared" ca="1" si="83"/>
        <v>14</v>
      </c>
      <c r="D49" s="6">
        <f t="shared" ca="1" si="83"/>
        <v>1</v>
      </c>
      <c r="E49" s="15">
        <f t="shared" ca="1" si="1"/>
        <v>-10</v>
      </c>
      <c r="F49" s="6">
        <f t="shared" ca="1" si="2"/>
        <v>0.62</v>
      </c>
      <c r="G49" s="6">
        <f t="shared" ca="1" si="3"/>
        <v>0.65</v>
      </c>
      <c r="H49" s="7">
        <f t="shared" ca="1" si="4"/>
        <v>73.5</v>
      </c>
      <c r="I49" s="6">
        <f t="shared" ca="1" si="5"/>
        <v>-0.4</v>
      </c>
      <c r="J49" s="21">
        <f t="shared" ca="1" si="33"/>
        <v>73.7</v>
      </c>
      <c r="K49" s="20">
        <f t="shared" ca="1" si="34"/>
        <v>0.68</v>
      </c>
      <c r="L49" s="21">
        <f t="shared" ca="1" si="35"/>
        <v>69.7</v>
      </c>
      <c r="M49" s="20">
        <f t="shared" ca="1" si="36"/>
        <v>0.91</v>
      </c>
      <c r="N49" s="21">
        <f t="shared" ca="1" si="37"/>
        <v>72.900000000000006</v>
      </c>
      <c r="O49" s="20">
        <f t="shared" ca="1" si="38"/>
        <v>0.62</v>
      </c>
      <c r="P49" s="4">
        <f t="shared" ca="1" si="6"/>
        <v>0</v>
      </c>
      <c r="Q49" s="11" t="str">
        <f t="shared" ca="1" si="7"/>
        <v>-</v>
      </c>
      <c r="R49" s="4">
        <f t="shared" ca="1" si="8"/>
        <v>2</v>
      </c>
      <c r="S49" s="11">
        <f t="shared" ca="1" si="9"/>
        <v>0.95</v>
      </c>
      <c r="T49" s="4">
        <f t="shared" ca="1" si="10"/>
        <v>5</v>
      </c>
      <c r="U49" s="11">
        <f t="shared" ca="1" si="11"/>
        <v>1.18</v>
      </c>
      <c r="V49" s="11">
        <f t="shared" ca="1" si="12"/>
        <v>0.88</v>
      </c>
      <c r="W49" s="11">
        <f t="shared" ca="1" si="13"/>
        <v>1.1200000000000001</v>
      </c>
      <c r="X49" s="4">
        <f t="shared" ca="1" si="14"/>
        <v>0.69</v>
      </c>
      <c r="Y49" s="11">
        <f t="shared" ca="1" si="15"/>
        <v>0.84</v>
      </c>
      <c r="Z49" s="4">
        <f t="shared" ca="1" si="16"/>
        <v>100.5</v>
      </c>
      <c r="AA49" s="12">
        <f t="shared" ca="1" si="17"/>
        <v>6.7000000000000004E-2</v>
      </c>
      <c r="AB49" s="12">
        <f t="shared" ca="1" si="18"/>
        <v>0.28199999999999997</v>
      </c>
      <c r="AC49" s="12">
        <f t="shared" ca="1" si="19"/>
        <v>0.46200000000000002</v>
      </c>
      <c r="AD49" s="17">
        <f t="shared" ca="1" si="20"/>
        <v>0.13003095975232201</v>
      </c>
      <c r="AE49" s="11">
        <f t="shared" ca="1" si="21"/>
        <v>1.06</v>
      </c>
      <c r="AF49" s="12">
        <f t="shared" ca="1" si="22"/>
        <v>0.44272445820433443</v>
      </c>
      <c r="AG49" s="12">
        <f t="shared" ca="1" si="23"/>
        <v>0.14551083591331271</v>
      </c>
      <c r="AH49" s="4">
        <f t="shared" ca="1" si="24"/>
        <v>1</v>
      </c>
      <c r="AI49" s="4">
        <f t="shared" ca="1" si="25"/>
        <v>0.1</v>
      </c>
      <c r="AJ49" s="12">
        <f t="shared" ca="1" si="26"/>
        <v>0.155</v>
      </c>
      <c r="AK49" s="4">
        <f t="shared" ca="1" si="27"/>
        <v>0.15</v>
      </c>
      <c r="AL49" s="12">
        <f t="shared" ca="1" si="28"/>
        <v>0.22900000000000001</v>
      </c>
      <c r="AM49" s="12">
        <f t="shared" ca="1" si="29"/>
        <v>0.7142857142857143</v>
      </c>
      <c r="AN49" s="12">
        <f t="shared" ca="1" si="30"/>
        <v>0.5</v>
      </c>
      <c r="AO49" s="12">
        <f t="shared" ca="1" si="31"/>
        <v>0.35714285714285715</v>
      </c>
      <c r="AP49" s="12">
        <f t="shared" ca="1" si="39"/>
        <v>0.14285714285714285</v>
      </c>
      <c r="AQ49" s="12">
        <f t="shared" ca="1" si="40"/>
        <v>0</v>
      </c>
      <c r="AR49" s="16"/>
      <c r="AS49" s="10"/>
      <c r="AT49" s="16"/>
      <c r="AU49" s="10"/>
      <c r="AV49" s="16"/>
      <c r="AW49" s="10"/>
      <c r="AX49" s="16"/>
      <c r="AY49" s="10"/>
      <c r="AZ49" s="10"/>
      <c r="BA49" s="10"/>
      <c r="BB49" s="10"/>
      <c r="BC49" s="10"/>
      <c r="BD49" s="10"/>
    </row>
    <row r="50" spans="1:56" ht="19.899999999999999" customHeight="1" x14ac:dyDescent="0.3">
      <c r="A50" s="4">
        <v>46</v>
      </c>
      <c r="B50" s="13" t="str">
        <f t="shared" ref="B50:D50" ca="1" si="84">INDIRECT(ADDRESS(ROW($B148),COLUMN()))</f>
        <v>Moseyuh</v>
      </c>
      <c r="C50" s="5">
        <f t="shared" ca="1" si="84"/>
        <v>7</v>
      </c>
      <c r="D50" s="6">
        <f t="shared" ca="1" si="84"/>
        <v>1</v>
      </c>
      <c r="E50" s="15">
        <f t="shared" ca="1" si="1"/>
        <v>-2</v>
      </c>
      <c r="F50" s="6">
        <f t="shared" ca="1" si="2"/>
        <v>0.56999999999999995</v>
      </c>
      <c r="G50" s="6">
        <f t="shared" ca="1" si="3"/>
        <v>0.59</v>
      </c>
      <c r="H50" s="7">
        <f t="shared" ca="1" si="4"/>
        <v>62</v>
      </c>
      <c r="I50" s="6">
        <f t="shared" ca="1" si="5"/>
        <v>0.87</v>
      </c>
      <c r="J50" s="21">
        <f t="shared" ca="1" si="33"/>
        <v>73.900000000000006</v>
      </c>
      <c r="K50" s="20">
        <f t="shared" ca="1" si="34"/>
        <v>0.6</v>
      </c>
      <c r="L50" s="21">
        <f t="shared" ca="1" si="35"/>
        <v>71.099999999999994</v>
      </c>
      <c r="M50" s="20">
        <f t="shared" ca="1" si="36"/>
        <v>0.76</v>
      </c>
      <c r="N50" s="21">
        <f t="shared" ca="1" si="37"/>
        <v>60.7</v>
      </c>
      <c r="O50" s="20">
        <f t="shared" ca="1" si="38"/>
        <v>0.55000000000000004</v>
      </c>
      <c r="P50" s="4">
        <f t="shared" ca="1" si="6"/>
        <v>0</v>
      </c>
      <c r="Q50" s="11" t="str">
        <f t="shared" ca="1" si="7"/>
        <v>-</v>
      </c>
      <c r="R50" s="4">
        <f t="shared" ca="1" si="8"/>
        <v>0</v>
      </c>
      <c r="S50" s="11" t="str">
        <f t="shared" ca="1" si="9"/>
        <v>-</v>
      </c>
      <c r="T50" s="4">
        <f t="shared" ca="1" si="10"/>
        <v>4</v>
      </c>
      <c r="U50" s="11">
        <f t="shared" ca="1" si="11"/>
        <v>0.91</v>
      </c>
      <c r="V50" s="11">
        <f t="shared" ca="1" si="12"/>
        <v>1.1499999999999999</v>
      </c>
      <c r="W50" s="11">
        <f t="shared" ca="1" si="13"/>
        <v>0.85</v>
      </c>
      <c r="X50" s="4">
        <f t="shared" ca="1" si="14"/>
        <v>1.31</v>
      </c>
      <c r="Y50" s="11">
        <f t="shared" ca="1" si="15"/>
        <v>0.8</v>
      </c>
      <c r="Z50" s="4">
        <f t="shared" ca="1" si="16"/>
        <v>81.5</v>
      </c>
      <c r="AA50" s="12">
        <f t="shared" ca="1" si="17"/>
        <v>0.153</v>
      </c>
      <c r="AB50" s="12">
        <f t="shared" ca="1" si="18"/>
        <v>0.159</v>
      </c>
      <c r="AC50" s="12">
        <f t="shared" ca="1" si="19"/>
        <v>0.59099999999999997</v>
      </c>
      <c r="AD50" s="17">
        <f t="shared" ca="1" si="20"/>
        <v>9.420289855072464E-2</v>
      </c>
      <c r="AE50" s="11">
        <f t="shared" ca="1" si="21"/>
        <v>1.03</v>
      </c>
      <c r="AF50" s="12">
        <f t="shared" ca="1" si="22"/>
        <v>0.42028985507246369</v>
      </c>
      <c r="AG50" s="12">
        <f t="shared" ca="1" si="23"/>
        <v>0.13043478260869559</v>
      </c>
      <c r="AH50" s="4">
        <f t="shared" ca="1" si="24"/>
        <v>1</v>
      </c>
      <c r="AI50" s="4">
        <f t="shared" ca="1" si="25"/>
        <v>0.11</v>
      </c>
      <c r="AJ50" s="12">
        <f t="shared" ca="1" si="26"/>
        <v>0.19</v>
      </c>
      <c r="AK50" s="4">
        <f t="shared" ca="1" si="27"/>
        <v>0.13</v>
      </c>
      <c r="AL50" s="12">
        <f t="shared" ca="1" si="28"/>
        <v>0.222</v>
      </c>
      <c r="AM50" s="12">
        <f t="shared" ca="1" si="29"/>
        <v>0.5714285714285714</v>
      </c>
      <c r="AN50" s="12">
        <f t="shared" ca="1" si="30"/>
        <v>0.5714285714285714</v>
      </c>
      <c r="AO50" s="12">
        <f t="shared" ca="1" si="31"/>
        <v>0.5714285714285714</v>
      </c>
      <c r="AP50" s="12">
        <f t="shared" ca="1" si="39"/>
        <v>0.42857142857142855</v>
      </c>
      <c r="AQ50" s="12">
        <f t="shared" ca="1" si="40"/>
        <v>0.14285714285714285</v>
      </c>
      <c r="AR50" s="16"/>
      <c r="AS50" s="10"/>
      <c r="AT50" s="16"/>
      <c r="AU50" s="10"/>
      <c r="AV50" s="16"/>
      <c r="AW50" s="10"/>
      <c r="AX50" s="16"/>
      <c r="AY50" s="10"/>
      <c r="AZ50" s="10"/>
      <c r="BA50" s="10"/>
      <c r="BB50" s="10"/>
      <c r="BC50" s="10"/>
      <c r="BD50" s="10"/>
    </row>
    <row r="51" spans="1:56" ht="19.899999999999999" customHeight="1" x14ac:dyDescent="0.3">
      <c r="A51" s="4">
        <v>47</v>
      </c>
      <c r="B51" s="13" t="str">
        <f t="shared" ref="B51:D51" ca="1" si="85">INDIRECT(ADDRESS(ROW($B149),COLUMN()))</f>
        <v>Starry</v>
      </c>
      <c r="C51" s="5">
        <f t="shared" ca="1" si="85"/>
        <v>5</v>
      </c>
      <c r="D51" s="6">
        <f t="shared" ca="1" si="85"/>
        <v>1</v>
      </c>
      <c r="E51" s="15">
        <f t="shared" ca="1" si="1"/>
        <v>1</v>
      </c>
      <c r="F51" s="6">
        <f t="shared" ca="1" si="2"/>
        <v>0.67</v>
      </c>
      <c r="G51" s="6">
        <f t="shared" ca="1" si="3"/>
        <v>0.66</v>
      </c>
      <c r="H51" s="7">
        <f t="shared" ca="1" si="4"/>
        <v>73.900000000000006</v>
      </c>
      <c r="I51" s="6">
        <f t="shared" ca="1" si="5"/>
        <v>-1.89</v>
      </c>
      <c r="J51" s="21">
        <f t="shared" ca="1" si="33"/>
        <v>70.7</v>
      </c>
      <c r="K51" s="20">
        <f t="shared" ca="1" si="34"/>
        <v>0.68</v>
      </c>
      <c r="L51" s="21">
        <f t="shared" ca="1" si="35"/>
        <v>69.3</v>
      </c>
      <c r="M51" s="20">
        <f t="shared" ca="1" si="36"/>
        <v>1.1000000000000001</v>
      </c>
      <c r="N51" s="21">
        <f t="shared" ca="1" si="37"/>
        <v>75.400000000000006</v>
      </c>
      <c r="O51" s="20">
        <f t="shared" ca="1" si="38"/>
        <v>0.69</v>
      </c>
      <c r="P51" s="4">
        <f t="shared" ca="1" si="6"/>
        <v>0</v>
      </c>
      <c r="Q51" s="11" t="str">
        <f t="shared" ca="1" si="7"/>
        <v>-</v>
      </c>
      <c r="R51" s="4">
        <f t="shared" ca="1" si="8"/>
        <v>0</v>
      </c>
      <c r="S51" s="11" t="str">
        <f t="shared" ca="1" si="9"/>
        <v>-</v>
      </c>
      <c r="T51" s="4">
        <f t="shared" ca="1" si="10"/>
        <v>4</v>
      </c>
      <c r="U51" s="11">
        <f t="shared" ca="1" si="11"/>
        <v>1.01</v>
      </c>
      <c r="V51" s="11">
        <f t="shared" ca="1" si="12"/>
        <v>0.96</v>
      </c>
      <c r="W51" s="11">
        <f t="shared" ca="1" si="13"/>
        <v>1.04</v>
      </c>
      <c r="X51" s="4">
        <f t="shared" ca="1" si="14"/>
        <v>2.52</v>
      </c>
      <c r="Y51" s="11">
        <f t="shared" ca="1" si="15"/>
        <v>0.98</v>
      </c>
      <c r="Z51" s="4">
        <f t="shared" ca="1" si="16"/>
        <v>100.9</v>
      </c>
      <c r="AA51" s="12">
        <f t="shared" ca="1" si="17"/>
        <v>9.0999999999999998E-2</v>
      </c>
      <c r="AB51" s="12">
        <f t="shared" ca="1" si="18"/>
        <v>0.216</v>
      </c>
      <c r="AC51" s="12">
        <f t="shared" ca="1" si="19"/>
        <v>0.44</v>
      </c>
      <c r="AD51" s="17">
        <f t="shared" ca="1" si="20"/>
        <v>9.4827586206896547E-2</v>
      </c>
      <c r="AE51" s="11">
        <f t="shared" ca="1" si="21"/>
        <v>0.94</v>
      </c>
      <c r="AF51" s="12">
        <f t="shared" ca="1" si="22"/>
        <v>0.44827586206896552</v>
      </c>
      <c r="AG51" s="12">
        <f t="shared" ca="1" si="23"/>
        <v>0.15517241379310351</v>
      </c>
      <c r="AH51" s="4">
        <f t="shared" ca="1" si="24"/>
        <v>2</v>
      </c>
      <c r="AI51" s="4">
        <f t="shared" ca="1" si="25"/>
        <v>0.15</v>
      </c>
      <c r="AJ51" s="12">
        <f t="shared" ca="1" si="26"/>
        <v>0.218</v>
      </c>
      <c r="AK51" s="4">
        <f t="shared" ca="1" si="27"/>
        <v>0.12</v>
      </c>
      <c r="AL51" s="12">
        <f t="shared" ca="1" si="28"/>
        <v>0.182</v>
      </c>
      <c r="AM51" s="12">
        <f t="shared" ca="1" si="29"/>
        <v>0.6</v>
      </c>
      <c r="AN51" s="12">
        <f t="shared" ca="1" si="30"/>
        <v>0.4</v>
      </c>
      <c r="AO51" s="12">
        <f t="shared" ca="1" si="31"/>
        <v>0.2</v>
      </c>
      <c r="AP51" s="12">
        <f t="shared" ca="1" si="39"/>
        <v>0.2</v>
      </c>
      <c r="AQ51" s="12">
        <f t="shared" ca="1" si="40"/>
        <v>0.2</v>
      </c>
      <c r="AR51" s="16"/>
      <c r="AS51" s="10"/>
      <c r="AT51" s="16"/>
      <c r="AU51" s="10"/>
      <c r="AV51" s="16"/>
      <c r="AW51" s="10"/>
      <c r="AX51" s="16"/>
      <c r="AY51" s="10"/>
      <c r="AZ51" s="10"/>
      <c r="BA51" s="10"/>
      <c r="BB51" s="10"/>
      <c r="BC51" s="10"/>
      <c r="BD51" s="10"/>
    </row>
    <row r="52" spans="1:56" ht="19.899999999999999" customHeight="1" x14ac:dyDescent="0.3">
      <c r="A52" s="4">
        <v>48</v>
      </c>
      <c r="B52" s="13" t="str">
        <f t="shared" ref="B52:D52" ca="1" si="86">INDIRECT(ADDRESS(ROW($B150),COLUMN()))</f>
        <v>gr1ks</v>
      </c>
      <c r="C52" s="5">
        <f t="shared" ca="1" si="86"/>
        <v>11</v>
      </c>
      <c r="D52" s="6">
        <f t="shared" ca="1" si="86"/>
        <v>0.99</v>
      </c>
      <c r="E52" s="15">
        <f t="shared" ca="1" si="1"/>
        <v>15</v>
      </c>
      <c r="F52" s="6">
        <f t="shared" ca="1" si="2"/>
        <v>0.69</v>
      </c>
      <c r="G52" s="6">
        <f t="shared" ca="1" si="3"/>
        <v>0.63</v>
      </c>
      <c r="H52" s="7">
        <f t="shared" ca="1" si="4"/>
        <v>66.8</v>
      </c>
      <c r="I52" s="6">
        <f t="shared" ca="1" si="5"/>
        <v>-7.0000000000000007E-2</v>
      </c>
      <c r="J52" s="21">
        <f t="shared" ca="1" si="33"/>
        <v>69.7</v>
      </c>
      <c r="K52" s="20">
        <f t="shared" ca="1" si="34"/>
        <v>0.69</v>
      </c>
      <c r="L52" s="21">
        <f t="shared" ca="1" si="35"/>
        <v>69.900000000000006</v>
      </c>
      <c r="M52" s="20">
        <f t="shared" ca="1" si="36"/>
        <v>1.02</v>
      </c>
      <c r="N52" s="21">
        <f t="shared" ca="1" si="37"/>
        <v>66.3</v>
      </c>
      <c r="O52" s="20">
        <f t="shared" ca="1" si="38"/>
        <v>0.66</v>
      </c>
      <c r="P52" s="4">
        <f t="shared" ca="1" si="6"/>
        <v>0</v>
      </c>
      <c r="Q52" s="11" t="str">
        <f t="shared" ca="1" si="7"/>
        <v>-</v>
      </c>
      <c r="R52" s="4">
        <f t="shared" ca="1" si="8"/>
        <v>1</v>
      </c>
      <c r="S52" s="11">
        <f t="shared" ca="1" si="9"/>
        <v>0.93</v>
      </c>
      <c r="T52" s="4">
        <f t="shared" ca="1" si="10"/>
        <v>6</v>
      </c>
      <c r="U52" s="11">
        <f t="shared" ca="1" si="11"/>
        <v>0.98</v>
      </c>
      <c r="V52" s="11">
        <f t="shared" ca="1" si="12"/>
        <v>1.01</v>
      </c>
      <c r="W52" s="11">
        <f t="shared" ca="1" si="13"/>
        <v>0.98</v>
      </c>
      <c r="X52" s="4">
        <f t="shared" ca="1" si="14"/>
        <v>0.83</v>
      </c>
      <c r="Y52" s="11">
        <f t="shared" ca="1" si="15"/>
        <v>0.96</v>
      </c>
      <c r="Z52" s="4">
        <f t="shared" ca="1" si="16"/>
        <v>89.8</v>
      </c>
      <c r="AA52" s="12">
        <f t="shared" ca="1" si="17"/>
        <v>0.111</v>
      </c>
      <c r="AB52" s="12">
        <f t="shared" ca="1" si="18"/>
        <v>0.16900000000000001</v>
      </c>
      <c r="AC52" s="12">
        <f t="shared" ca="1" si="19"/>
        <v>0.59099999999999997</v>
      </c>
      <c r="AD52" s="17">
        <f t="shared" ca="1" si="20"/>
        <v>9.9616858237547887E-2</v>
      </c>
      <c r="AE52" s="11">
        <f t="shared" ca="1" si="21"/>
        <v>1.05</v>
      </c>
      <c r="AF52" s="12">
        <f t="shared" ca="1" si="22"/>
        <v>0.46360153256704978</v>
      </c>
      <c r="AG52" s="12">
        <f t="shared" ca="1" si="23"/>
        <v>0.18007662835249039</v>
      </c>
      <c r="AH52" s="4">
        <f t="shared" ca="1" si="24"/>
        <v>2</v>
      </c>
      <c r="AI52" s="4">
        <f t="shared" ca="1" si="25"/>
        <v>0.12</v>
      </c>
      <c r="AJ52" s="12">
        <f t="shared" ca="1" si="26"/>
        <v>0.17799999999999999</v>
      </c>
      <c r="AK52" s="4">
        <f t="shared" ca="1" si="27"/>
        <v>0.13</v>
      </c>
      <c r="AL52" s="12">
        <f t="shared" ca="1" si="28"/>
        <v>0.2</v>
      </c>
      <c r="AM52" s="12">
        <f t="shared" ca="1" si="29"/>
        <v>0.81818181818181823</v>
      </c>
      <c r="AN52" s="12">
        <f t="shared" ca="1" si="30"/>
        <v>0.54545454545454541</v>
      </c>
      <c r="AO52" s="12">
        <f t="shared" ca="1" si="31"/>
        <v>9.0909090909090912E-2</v>
      </c>
      <c r="AP52" s="12">
        <f t="shared" ca="1" si="39"/>
        <v>0</v>
      </c>
      <c r="AQ52" s="12">
        <f t="shared" ca="1" si="40"/>
        <v>0</v>
      </c>
      <c r="AR52" s="16"/>
      <c r="AS52" s="10"/>
      <c r="AT52" s="16"/>
      <c r="AU52" s="10"/>
      <c r="AV52" s="16"/>
      <c r="AW52" s="10"/>
      <c r="AX52" s="16"/>
      <c r="AY52" s="10"/>
      <c r="AZ52" s="10"/>
      <c r="BA52" s="10"/>
      <c r="BB52" s="10"/>
      <c r="BC52" s="10"/>
      <c r="BD52" s="10"/>
    </row>
    <row r="53" spans="1:56" ht="19.899999999999999" customHeight="1" x14ac:dyDescent="0.3">
      <c r="A53" s="4">
        <v>49</v>
      </c>
      <c r="B53" s="13" t="str">
        <f t="shared" ref="B53:D53" ca="1" si="87">INDIRECT(ADDRESS(ROW($B151),COLUMN()))</f>
        <v>faveN</v>
      </c>
      <c r="C53" s="5">
        <f t="shared" ca="1" si="87"/>
        <v>11</v>
      </c>
      <c r="D53" s="6">
        <f t="shared" ca="1" si="87"/>
        <v>0.99</v>
      </c>
      <c r="E53" s="15">
        <f t="shared" ca="1" si="1"/>
        <v>-13</v>
      </c>
      <c r="F53" s="6">
        <f t="shared" ca="1" si="2"/>
        <v>0.61</v>
      </c>
      <c r="G53" s="6">
        <f t="shared" ca="1" si="3"/>
        <v>0.66</v>
      </c>
      <c r="H53" s="7">
        <f t="shared" ca="1" si="4"/>
        <v>66.599999999999994</v>
      </c>
      <c r="I53" s="6">
        <f t="shared" ca="1" si="5"/>
        <v>-0.77</v>
      </c>
      <c r="J53" s="21">
        <f t="shared" ca="1" si="33"/>
        <v>76.2</v>
      </c>
      <c r="K53" s="20">
        <f t="shared" ca="1" si="34"/>
        <v>0.68</v>
      </c>
      <c r="L53" s="21">
        <f t="shared" ca="1" si="35"/>
        <v>72.8</v>
      </c>
      <c r="M53" s="20">
        <f t="shared" ca="1" si="36"/>
        <v>1.02</v>
      </c>
      <c r="N53" s="21">
        <f t="shared" ca="1" si="37"/>
        <v>68.5</v>
      </c>
      <c r="O53" s="20">
        <f t="shared" ca="1" si="38"/>
        <v>0.65</v>
      </c>
      <c r="P53" s="4">
        <f t="shared" ca="1" si="6"/>
        <v>0</v>
      </c>
      <c r="Q53" s="11" t="str">
        <f t="shared" ca="1" si="7"/>
        <v>-</v>
      </c>
      <c r="R53" s="4">
        <f t="shared" ca="1" si="8"/>
        <v>1</v>
      </c>
      <c r="S53" s="11">
        <f t="shared" ca="1" si="9"/>
        <v>1.05</v>
      </c>
      <c r="T53" s="4">
        <f t="shared" ca="1" si="10"/>
        <v>6</v>
      </c>
      <c r="U53" s="11">
        <f t="shared" ca="1" si="11"/>
        <v>1.07</v>
      </c>
      <c r="V53" s="11">
        <f t="shared" ca="1" si="12"/>
        <v>1.07</v>
      </c>
      <c r="W53" s="11">
        <f t="shared" ca="1" si="13"/>
        <v>0.9</v>
      </c>
      <c r="X53" s="4">
        <f t="shared" ca="1" si="14"/>
        <v>0.97</v>
      </c>
      <c r="Y53" s="11">
        <f t="shared" ca="1" si="15"/>
        <v>0.84</v>
      </c>
      <c r="Z53" s="4">
        <f t="shared" ca="1" si="16"/>
        <v>78.7</v>
      </c>
      <c r="AA53" s="12">
        <f t="shared" ca="1" si="17"/>
        <v>9.6000000000000002E-2</v>
      </c>
      <c r="AB53" s="12">
        <f t="shared" ca="1" si="18"/>
        <v>0.157</v>
      </c>
      <c r="AC53" s="12">
        <f t="shared" ca="1" si="19"/>
        <v>0.51200000000000001</v>
      </c>
      <c r="AD53" s="17">
        <f t="shared" ca="1" si="20"/>
        <v>8.0459770114942528E-2</v>
      </c>
      <c r="AE53" s="11">
        <f t="shared" ca="1" si="21"/>
        <v>0.94</v>
      </c>
      <c r="AF53" s="12">
        <f t="shared" ca="1" si="22"/>
        <v>0.43678160919540232</v>
      </c>
      <c r="AG53" s="12">
        <f t="shared" ca="1" si="23"/>
        <v>0.13409961685823751</v>
      </c>
      <c r="AH53" s="4">
        <f t="shared" ca="1" si="24"/>
        <v>4</v>
      </c>
      <c r="AI53" s="4">
        <f t="shared" ca="1" si="25"/>
        <v>0.16</v>
      </c>
      <c r="AJ53" s="12">
        <f t="shared" ca="1" si="26"/>
        <v>0.25800000000000001</v>
      </c>
      <c r="AK53" s="4">
        <f t="shared" ca="1" si="27"/>
        <v>0.18</v>
      </c>
      <c r="AL53" s="12">
        <f t="shared" ca="1" si="28"/>
        <v>0.26700000000000002</v>
      </c>
      <c r="AM53" s="12">
        <f t="shared" ca="1" si="29"/>
        <v>0.81818181818181823</v>
      </c>
      <c r="AN53" s="12">
        <f t="shared" ca="1" si="30"/>
        <v>0.54545454545454541</v>
      </c>
      <c r="AO53" s="12">
        <f t="shared" ca="1" si="31"/>
        <v>0.45454545454545453</v>
      </c>
      <c r="AP53" s="12">
        <f t="shared" ca="1" si="39"/>
        <v>0</v>
      </c>
      <c r="AQ53" s="12">
        <f t="shared" ca="1" si="40"/>
        <v>0</v>
      </c>
      <c r="AR53" s="16"/>
      <c r="AS53" s="10"/>
      <c r="AT53" s="16"/>
      <c r="AU53" s="10"/>
      <c r="AV53" s="16"/>
      <c r="AW53" s="10"/>
      <c r="AX53" s="16"/>
      <c r="AY53" s="10"/>
      <c r="AZ53" s="10"/>
      <c r="BA53" s="10"/>
      <c r="BB53" s="10"/>
      <c r="BC53" s="10"/>
      <c r="BD53" s="10"/>
    </row>
    <row r="54" spans="1:56" ht="19.899999999999999" customHeight="1" x14ac:dyDescent="0.3">
      <c r="A54" s="4">
        <v>50</v>
      </c>
      <c r="B54" s="13" t="str">
        <f t="shared" ref="B54:D54" ca="1" si="88">INDIRECT(ADDRESS(ROW($B152),COLUMN()))</f>
        <v>Jame</v>
      </c>
      <c r="C54" s="5">
        <f t="shared" ca="1" si="88"/>
        <v>15</v>
      </c>
      <c r="D54" s="6">
        <f t="shared" ca="1" si="88"/>
        <v>0.99</v>
      </c>
      <c r="E54" s="15">
        <f t="shared" ca="1" si="1"/>
        <v>25</v>
      </c>
      <c r="F54" s="6">
        <f t="shared" ca="1" si="2"/>
        <v>0.63</v>
      </c>
      <c r="G54" s="6">
        <f t="shared" ca="1" si="3"/>
        <v>0.56000000000000005</v>
      </c>
      <c r="H54" s="7">
        <f t="shared" ca="1" si="4"/>
        <v>67.8</v>
      </c>
      <c r="I54" s="6">
        <f t="shared" ca="1" si="5"/>
        <v>0.17</v>
      </c>
      <c r="J54" s="21">
        <f t="shared" ca="1" si="33"/>
        <v>72.5</v>
      </c>
      <c r="K54" s="20">
        <f t="shared" ca="1" si="34"/>
        <v>0.61</v>
      </c>
      <c r="L54" s="21">
        <f t="shared" ca="1" si="35"/>
        <v>67.099999999999994</v>
      </c>
      <c r="M54" s="20">
        <f t="shared" ca="1" si="36"/>
        <v>0.97</v>
      </c>
      <c r="N54" s="21">
        <f t="shared" ca="1" si="37"/>
        <v>65.099999999999994</v>
      </c>
      <c r="O54" s="20">
        <f t="shared" ca="1" si="38"/>
        <v>0.57999999999999996</v>
      </c>
      <c r="P54" s="4">
        <f t="shared" ca="1" si="6"/>
        <v>0</v>
      </c>
      <c r="Q54" s="11" t="str">
        <f t="shared" ca="1" si="7"/>
        <v>-</v>
      </c>
      <c r="R54" s="4">
        <f t="shared" ca="1" si="8"/>
        <v>0</v>
      </c>
      <c r="S54" s="11" t="str">
        <f t="shared" ca="1" si="9"/>
        <v>-</v>
      </c>
      <c r="T54" s="4">
        <f t="shared" ca="1" si="10"/>
        <v>6</v>
      </c>
      <c r="U54" s="11">
        <f t="shared" ca="1" si="11"/>
        <v>0.99</v>
      </c>
      <c r="V54" s="11">
        <f t="shared" ca="1" si="12"/>
        <v>0.92</v>
      </c>
      <c r="W54" s="11">
        <f t="shared" ca="1" si="13"/>
        <v>1.05</v>
      </c>
      <c r="X54" s="4">
        <f t="shared" ca="1" si="14"/>
        <v>0.79</v>
      </c>
      <c r="Y54" s="11">
        <f t="shared" ca="1" si="15"/>
        <v>0.81</v>
      </c>
      <c r="Z54" s="4">
        <f t="shared" ca="1" si="16"/>
        <v>85</v>
      </c>
      <c r="AA54" s="12">
        <f t="shared" ca="1" si="17"/>
        <v>0.20699999999999999</v>
      </c>
      <c r="AB54" s="12">
        <f t="shared" ca="1" si="18"/>
        <v>0.191</v>
      </c>
      <c r="AC54" s="12">
        <f t="shared" ca="1" si="19"/>
        <v>0.621</v>
      </c>
      <c r="AD54" s="17">
        <f t="shared" ca="1" si="20"/>
        <v>0.1188405797101449</v>
      </c>
      <c r="AE54" s="11">
        <f t="shared" ca="1" si="21"/>
        <v>1.1399999999999999</v>
      </c>
      <c r="AF54" s="12">
        <f t="shared" ca="1" si="22"/>
        <v>0.44057971014492753</v>
      </c>
      <c r="AG54" s="12">
        <f t="shared" ca="1" si="23"/>
        <v>0.1391304347826087</v>
      </c>
      <c r="AH54" s="4">
        <f t="shared" ca="1" si="24"/>
        <v>5</v>
      </c>
      <c r="AI54" s="4">
        <f t="shared" ca="1" si="25"/>
        <v>0.1</v>
      </c>
      <c r="AJ54" s="12">
        <f t="shared" ca="1" si="26"/>
        <v>0.157</v>
      </c>
      <c r="AK54" s="4">
        <f t="shared" ca="1" si="27"/>
        <v>0.08</v>
      </c>
      <c r="AL54" s="12">
        <f t="shared" ca="1" si="28"/>
        <v>0.14599999999999999</v>
      </c>
      <c r="AM54" s="12">
        <f t="shared" ca="1" si="29"/>
        <v>0.66666666666666663</v>
      </c>
      <c r="AN54" s="12">
        <f t="shared" ca="1" si="30"/>
        <v>0.46666666666666667</v>
      </c>
      <c r="AO54" s="12">
        <f t="shared" ca="1" si="31"/>
        <v>0.2</v>
      </c>
      <c r="AP54" s="12">
        <f t="shared" ca="1" si="39"/>
        <v>0.13333333333333333</v>
      </c>
      <c r="AQ54" s="12">
        <f t="shared" ca="1" si="40"/>
        <v>0.13333333333333333</v>
      </c>
      <c r="AR54" s="16"/>
      <c r="AS54" s="10"/>
      <c r="AT54" s="16"/>
      <c r="AU54" s="10"/>
      <c r="AV54" s="16"/>
      <c r="AW54" s="10"/>
      <c r="AX54" s="16"/>
      <c r="AY54" s="10"/>
      <c r="AZ54" s="10"/>
      <c r="BA54" s="10"/>
      <c r="BB54" s="10"/>
      <c r="BC54" s="10"/>
      <c r="BD54" s="10"/>
    </row>
    <row r="55" spans="1:56" ht="19.899999999999999" customHeight="1" x14ac:dyDescent="0.3">
      <c r="A55" s="4">
        <v>51</v>
      </c>
      <c r="B55" s="13" t="str">
        <f t="shared" ref="B55:D55" ca="1" si="89">INDIRECT(ADDRESS(ROW($B153),COLUMN()))</f>
        <v>npl</v>
      </c>
      <c r="C55" s="5">
        <f t="shared" ca="1" si="89"/>
        <v>7</v>
      </c>
      <c r="D55" s="6">
        <f t="shared" ca="1" si="89"/>
        <v>0.98</v>
      </c>
      <c r="E55" s="15">
        <f t="shared" ca="1" si="1"/>
        <v>-15</v>
      </c>
      <c r="F55" s="6">
        <f t="shared" ca="1" si="2"/>
        <v>0.63</v>
      </c>
      <c r="G55" s="6">
        <f t="shared" ca="1" si="3"/>
        <v>0.72</v>
      </c>
      <c r="H55" s="7">
        <f t="shared" ca="1" si="4"/>
        <v>70.2</v>
      </c>
      <c r="I55" s="6">
        <f t="shared" ca="1" si="5"/>
        <v>0.04</v>
      </c>
      <c r="J55" s="21">
        <f t="shared" ca="1" si="33"/>
        <v>71.099999999999994</v>
      </c>
      <c r="K55" s="20">
        <f t="shared" ca="1" si="34"/>
        <v>0.73</v>
      </c>
      <c r="L55" s="21">
        <f t="shared" ca="1" si="35"/>
        <v>70</v>
      </c>
      <c r="M55" s="20">
        <f t="shared" ca="1" si="36"/>
        <v>0.85</v>
      </c>
      <c r="N55" s="21">
        <f t="shared" ca="1" si="37"/>
        <v>69.3</v>
      </c>
      <c r="O55" s="20">
        <f t="shared" ca="1" si="38"/>
        <v>0.64</v>
      </c>
      <c r="P55" s="4">
        <f t="shared" ca="1" si="6"/>
        <v>0</v>
      </c>
      <c r="Q55" s="11" t="str">
        <f t="shared" ca="1" si="7"/>
        <v>-</v>
      </c>
      <c r="R55" s="4">
        <f t="shared" ca="1" si="8"/>
        <v>0</v>
      </c>
      <c r="S55" s="11" t="str">
        <f t="shared" ca="1" si="9"/>
        <v>-</v>
      </c>
      <c r="T55" s="4">
        <f t="shared" ca="1" si="10"/>
        <v>0</v>
      </c>
      <c r="U55" s="11" t="str">
        <f t="shared" ca="1" si="11"/>
        <v>-</v>
      </c>
      <c r="V55" s="11">
        <f t="shared" ca="1" si="12"/>
        <v>1</v>
      </c>
      <c r="W55" s="11">
        <f t="shared" ca="1" si="13"/>
        <v>0.96</v>
      </c>
      <c r="X55" s="4">
        <f t="shared" ca="1" si="14"/>
        <v>0.88</v>
      </c>
      <c r="Y55" s="11">
        <f t="shared" ca="1" si="15"/>
        <v>0.85</v>
      </c>
      <c r="Z55" s="4">
        <f t="shared" ca="1" si="16"/>
        <v>93.5</v>
      </c>
      <c r="AA55" s="12">
        <f t="shared" ca="1" si="17"/>
        <v>4.4999999999999998E-2</v>
      </c>
      <c r="AB55" s="12">
        <f t="shared" ca="1" si="18"/>
        <v>0.191</v>
      </c>
      <c r="AC55" s="12">
        <f t="shared" ca="1" si="19"/>
        <v>0.54500000000000004</v>
      </c>
      <c r="AD55" s="17">
        <f t="shared" ca="1" si="20"/>
        <v>0.10404624277456651</v>
      </c>
      <c r="AE55" s="11">
        <f t="shared" ca="1" si="21"/>
        <v>1.04</v>
      </c>
      <c r="AF55" s="12">
        <f t="shared" ca="1" si="22"/>
        <v>0.45664739884393057</v>
      </c>
      <c r="AG55" s="12">
        <f t="shared" ca="1" si="23"/>
        <v>0.1445086705202312</v>
      </c>
      <c r="AH55" s="4">
        <f t="shared" ca="1" si="24"/>
        <v>1</v>
      </c>
      <c r="AI55" s="4">
        <f t="shared" ca="1" si="25"/>
        <v>0.16</v>
      </c>
      <c r="AJ55" s="12">
        <f t="shared" ca="1" si="26"/>
        <v>0.248</v>
      </c>
      <c r="AK55" s="4">
        <f t="shared" ca="1" si="27"/>
        <v>0.17</v>
      </c>
      <c r="AL55" s="12">
        <f t="shared" ca="1" si="28"/>
        <v>0.23400000000000001</v>
      </c>
      <c r="AM55" s="12">
        <f t="shared" ca="1" si="29"/>
        <v>0.5714285714285714</v>
      </c>
      <c r="AN55" s="12">
        <f t="shared" ca="1" si="30"/>
        <v>0.42857142857142855</v>
      </c>
      <c r="AO55" s="12">
        <f t="shared" ca="1" si="31"/>
        <v>0.42857142857142855</v>
      </c>
      <c r="AP55" s="12">
        <f t="shared" ca="1" si="39"/>
        <v>0.14285714285714285</v>
      </c>
      <c r="AQ55" s="12">
        <f t="shared" ca="1" si="40"/>
        <v>0.14285714285714285</v>
      </c>
      <c r="AR55" s="16"/>
      <c r="AS55" s="10"/>
      <c r="AT55" s="16"/>
      <c r="AU55" s="10"/>
      <c r="AV55" s="16"/>
      <c r="AW55" s="10"/>
      <c r="AX55" s="16"/>
      <c r="AY55" s="10"/>
      <c r="AZ55" s="10"/>
      <c r="BA55" s="10"/>
      <c r="BB55" s="10"/>
      <c r="BC55" s="10"/>
      <c r="BD55" s="10"/>
    </row>
    <row r="56" spans="1:56" ht="19.899999999999999" customHeight="1" x14ac:dyDescent="0.3">
      <c r="A56" s="4">
        <v>52</v>
      </c>
      <c r="B56" s="13" t="str">
        <f t="shared" ref="B56:D56" ca="1" si="90">INDIRECT(ADDRESS(ROW($B154),COLUMN()))</f>
        <v>Rainwaker</v>
      </c>
      <c r="C56" s="5">
        <f t="shared" ca="1" si="90"/>
        <v>5</v>
      </c>
      <c r="D56" s="6">
        <f t="shared" ca="1" si="90"/>
        <v>0.97</v>
      </c>
      <c r="E56" s="15">
        <f t="shared" ca="1" si="1"/>
        <v>-7</v>
      </c>
      <c r="F56" s="6">
        <f t="shared" ca="1" si="2"/>
        <v>0.6</v>
      </c>
      <c r="G56" s="6">
        <f t="shared" ca="1" si="3"/>
        <v>0.66</v>
      </c>
      <c r="H56" s="7">
        <f t="shared" ca="1" si="4"/>
        <v>72.400000000000006</v>
      </c>
      <c r="I56" s="6">
        <f t="shared" ca="1" si="5"/>
        <v>-0.5</v>
      </c>
      <c r="J56" s="21">
        <f t="shared" ca="1" si="33"/>
        <v>72</v>
      </c>
      <c r="K56" s="20">
        <f t="shared" ca="1" si="34"/>
        <v>0.68</v>
      </c>
      <c r="L56" s="21">
        <f t="shared" ca="1" si="35"/>
        <v>67.400000000000006</v>
      </c>
      <c r="M56" s="20">
        <f t="shared" ca="1" si="36"/>
        <v>0.94</v>
      </c>
      <c r="N56" s="21">
        <f t="shared" ca="1" si="37"/>
        <v>70.599999999999994</v>
      </c>
      <c r="O56" s="20">
        <f t="shared" ca="1" si="38"/>
        <v>0.6</v>
      </c>
      <c r="P56" s="4">
        <f t="shared" ca="1" si="6"/>
        <v>0</v>
      </c>
      <c r="Q56" s="11" t="str">
        <f t="shared" ca="1" si="7"/>
        <v>-</v>
      </c>
      <c r="R56" s="4">
        <f t="shared" ca="1" si="8"/>
        <v>0</v>
      </c>
      <c r="S56" s="11" t="str">
        <f t="shared" ca="1" si="9"/>
        <v>-</v>
      </c>
      <c r="T56" s="4">
        <f t="shared" ca="1" si="10"/>
        <v>0</v>
      </c>
      <c r="U56" s="11" t="str">
        <f t="shared" ca="1" si="11"/>
        <v>-</v>
      </c>
      <c r="V56" s="11">
        <f t="shared" ca="1" si="12"/>
        <v>0.82</v>
      </c>
      <c r="W56" s="11">
        <f t="shared" ca="1" si="13"/>
        <v>1.1599999999999999</v>
      </c>
      <c r="X56" s="4">
        <f t="shared" ca="1" si="14"/>
        <v>1.64</v>
      </c>
      <c r="Y56" s="11">
        <f t="shared" ca="1" si="15"/>
        <v>0.96</v>
      </c>
      <c r="Z56" s="4">
        <f t="shared" ca="1" si="16"/>
        <v>100.2</v>
      </c>
      <c r="AA56" s="12">
        <f t="shared" ca="1" si="17"/>
        <v>8.5000000000000006E-2</v>
      </c>
      <c r="AB56" s="12">
        <f t="shared" ca="1" si="18"/>
        <v>0.26200000000000001</v>
      </c>
      <c r="AC56" s="12">
        <f t="shared" ca="1" si="19"/>
        <v>0.39300000000000002</v>
      </c>
      <c r="AD56" s="17">
        <f t="shared" ca="1" si="20"/>
        <v>0.10280373831775701</v>
      </c>
      <c r="AE56" s="11">
        <f t="shared" ca="1" si="21"/>
        <v>0.92</v>
      </c>
      <c r="AF56" s="12">
        <f t="shared" ca="1" si="22"/>
        <v>0.42056074766355139</v>
      </c>
      <c r="AG56" s="12">
        <f t="shared" ca="1" si="23"/>
        <v>0.13084112149532709</v>
      </c>
      <c r="AH56" s="4">
        <f t="shared" ca="1" si="24"/>
        <v>0</v>
      </c>
      <c r="AI56" s="4">
        <f t="shared" ca="1" si="25"/>
        <v>0.09</v>
      </c>
      <c r="AJ56" s="12">
        <f t="shared" ca="1" si="26"/>
        <v>0.156</v>
      </c>
      <c r="AK56" s="4">
        <f t="shared" ca="1" si="27"/>
        <v>0.14000000000000001</v>
      </c>
      <c r="AL56" s="12">
        <f t="shared" ca="1" si="28"/>
        <v>0.21099999999999999</v>
      </c>
      <c r="AM56" s="12">
        <f t="shared" ca="1" si="29"/>
        <v>0.8</v>
      </c>
      <c r="AN56" s="12">
        <f t="shared" ca="1" si="30"/>
        <v>0.4</v>
      </c>
      <c r="AO56" s="12">
        <f t="shared" ca="1" si="31"/>
        <v>0.4</v>
      </c>
      <c r="AP56" s="12">
        <f t="shared" ca="1" si="39"/>
        <v>0</v>
      </c>
      <c r="AQ56" s="12">
        <f t="shared" ca="1" si="40"/>
        <v>0</v>
      </c>
      <c r="AR56" s="16"/>
      <c r="AS56" s="10"/>
      <c r="AT56" s="16"/>
      <c r="AU56" s="10"/>
      <c r="AV56" s="16"/>
      <c r="AW56" s="10"/>
      <c r="AX56" s="16"/>
      <c r="AY56" s="10"/>
      <c r="AZ56" s="10"/>
      <c r="BA56" s="10"/>
      <c r="BB56" s="10"/>
      <c r="BC56" s="10"/>
      <c r="BD56" s="10"/>
    </row>
    <row r="57" spans="1:56" ht="19.899999999999999" customHeight="1" x14ac:dyDescent="0.3">
      <c r="A57" s="4">
        <v>53</v>
      </c>
      <c r="B57" s="13" t="str">
        <f t="shared" ref="B57:D57" ca="1" si="91">INDIRECT(ADDRESS(ROW($B155),COLUMN()))</f>
        <v>JW</v>
      </c>
      <c r="C57" s="5">
        <f t="shared" ca="1" si="91"/>
        <v>10</v>
      </c>
      <c r="D57" s="6">
        <f t="shared" ca="1" si="91"/>
        <v>0.97</v>
      </c>
      <c r="E57" s="15">
        <f t="shared" ca="1" si="1"/>
        <v>-6</v>
      </c>
      <c r="F57" s="6">
        <f t="shared" ca="1" si="2"/>
        <v>0.62</v>
      </c>
      <c r="G57" s="6">
        <f t="shared" ca="1" si="3"/>
        <v>0.65</v>
      </c>
      <c r="H57" s="7">
        <f t="shared" ca="1" si="4"/>
        <v>63.3</v>
      </c>
      <c r="I57" s="6">
        <f t="shared" ca="1" si="5"/>
        <v>0.64</v>
      </c>
      <c r="J57" s="21">
        <f t="shared" ca="1" si="33"/>
        <v>70.099999999999994</v>
      </c>
      <c r="K57" s="20">
        <f t="shared" ca="1" si="34"/>
        <v>0.69</v>
      </c>
      <c r="L57" s="21">
        <f t="shared" ca="1" si="35"/>
        <v>70.5</v>
      </c>
      <c r="M57" s="20">
        <f t="shared" ca="1" si="36"/>
        <v>1</v>
      </c>
      <c r="N57" s="21">
        <f t="shared" ca="1" si="37"/>
        <v>63</v>
      </c>
      <c r="O57" s="20">
        <f t="shared" ca="1" si="38"/>
        <v>0.6</v>
      </c>
      <c r="P57" s="4">
        <f t="shared" ca="1" si="6"/>
        <v>0</v>
      </c>
      <c r="Q57" s="11" t="str">
        <f t="shared" ca="1" si="7"/>
        <v>-</v>
      </c>
      <c r="R57" s="4">
        <f t="shared" ca="1" si="8"/>
        <v>1</v>
      </c>
      <c r="S57" s="11">
        <f t="shared" ca="1" si="9"/>
        <v>1.44</v>
      </c>
      <c r="T57" s="4">
        <f t="shared" ca="1" si="10"/>
        <v>1</v>
      </c>
      <c r="U57" s="11">
        <f t="shared" ca="1" si="11"/>
        <v>1.44</v>
      </c>
      <c r="V57" s="11">
        <f t="shared" ca="1" si="12"/>
        <v>1.04</v>
      </c>
      <c r="W57" s="11">
        <f t="shared" ca="1" si="13"/>
        <v>0.9</v>
      </c>
      <c r="X57" s="4">
        <f t="shared" ca="1" si="14"/>
        <v>0.73</v>
      </c>
      <c r="Y57" s="11">
        <f t="shared" ca="1" si="15"/>
        <v>0.87</v>
      </c>
      <c r="Z57" s="4">
        <f t="shared" ca="1" si="16"/>
        <v>94.5</v>
      </c>
      <c r="AA57" s="12">
        <f t="shared" ca="1" si="17"/>
        <v>0.104</v>
      </c>
      <c r="AB57" s="12">
        <f t="shared" ca="1" si="18"/>
        <v>0.17699999999999999</v>
      </c>
      <c r="AC57" s="12">
        <f t="shared" ca="1" si="19"/>
        <v>0.48899999999999999</v>
      </c>
      <c r="AD57" s="17">
        <f t="shared" ca="1" si="20"/>
        <v>8.6614173228346455E-2</v>
      </c>
      <c r="AE57" s="11">
        <f t="shared" ca="1" si="21"/>
        <v>0.95</v>
      </c>
      <c r="AF57" s="12">
        <f t="shared" ca="1" si="22"/>
        <v>0.43307086614173229</v>
      </c>
      <c r="AG57" s="12">
        <f t="shared" ca="1" si="23"/>
        <v>0.14960629921259841</v>
      </c>
      <c r="AH57" s="4">
        <f t="shared" ca="1" si="24"/>
        <v>4</v>
      </c>
      <c r="AI57" s="4">
        <f t="shared" ca="1" si="25"/>
        <v>0.08</v>
      </c>
      <c r="AJ57" s="12">
        <f t="shared" ca="1" si="26"/>
        <v>0.127</v>
      </c>
      <c r="AK57" s="4">
        <f t="shared" ca="1" si="27"/>
        <v>0.11</v>
      </c>
      <c r="AL57" s="12">
        <f t="shared" ca="1" si="28"/>
        <v>0.16500000000000001</v>
      </c>
      <c r="AM57" s="12">
        <f t="shared" ca="1" si="29"/>
        <v>0.5</v>
      </c>
      <c r="AN57" s="12">
        <f t="shared" ca="1" si="30"/>
        <v>0.5</v>
      </c>
      <c r="AO57" s="12">
        <f t="shared" ca="1" si="31"/>
        <v>0.3</v>
      </c>
      <c r="AP57" s="12">
        <f t="shared" ca="1" si="39"/>
        <v>0.2</v>
      </c>
      <c r="AQ57" s="12">
        <f t="shared" ca="1" si="40"/>
        <v>0.1</v>
      </c>
      <c r="AR57" s="16"/>
      <c r="AS57" s="10"/>
      <c r="AT57" s="16"/>
      <c r="AU57" s="10"/>
      <c r="AV57" s="16"/>
      <c r="AW57" s="10"/>
      <c r="AX57" s="16"/>
      <c r="AY57" s="10"/>
      <c r="AZ57" s="10"/>
      <c r="BA57" s="10"/>
      <c r="BB57" s="10"/>
      <c r="BC57" s="10"/>
      <c r="BD57" s="10"/>
    </row>
    <row r="58" spans="1:56" ht="19.899999999999999" customHeight="1" x14ac:dyDescent="0.3">
      <c r="A58" s="4">
        <v>54</v>
      </c>
      <c r="B58" s="13" t="str">
        <f t="shared" ref="B58:D58" ca="1" si="92">INDIRECT(ADDRESS(ROW($B156),COLUMN()))</f>
        <v>Kursy</v>
      </c>
      <c r="C58" s="5">
        <f t="shared" ca="1" si="92"/>
        <v>5</v>
      </c>
      <c r="D58" s="6">
        <f t="shared" ca="1" si="92"/>
        <v>0.96</v>
      </c>
      <c r="E58" s="15">
        <f t="shared" ca="1" si="1"/>
        <v>-12</v>
      </c>
      <c r="F58" s="6">
        <f t="shared" ca="1" si="2"/>
        <v>0.62</v>
      </c>
      <c r="G58" s="6">
        <f t="shared" ca="1" si="3"/>
        <v>0.74</v>
      </c>
      <c r="H58" s="7">
        <f t="shared" ca="1" si="4"/>
        <v>71.7</v>
      </c>
      <c r="I58" s="6">
        <f t="shared" ca="1" si="5"/>
        <v>-0.27</v>
      </c>
      <c r="J58" s="21">
        <f t="shared" ca="1" si="33"/>
        <v>67.599999999999994</v>
      </c>
      <c r="K58" s="20">
        <f t="shared" ca="1" si="34"/>
        <v>0.77</v>
      </c>
      <c r="L58" s="21">
        <f t="shared" ca="1" si="35"/>
        <v>65.3</v>
      </c>
      <c r="M58" s="20">
        <f t="shared" ca="1" si="36"/>
        <v>0.89</v>
      </c>
      <c r="N58" s="21">
        <f t="shared" ca="1" si="37"/>
        <v>74</v>
      </c>
      <c r="O58" s="20">
        <f t="shared" ca="1" si="38"/>
        <v>0.67</v>
      </c>
      <c r="P58" s="4">
        <f t="shared" ca="1" si="6"/>
        <v>0</v>
      </c>
      <c r="Q58" s="11" t="str">
        <f t="shared" ca="1" si="7"/>
        <v>-</v>
      </c>
      <c r="R58" s="4">
        <f t="shared" ca="1" si="8"/>
        <v>1</v>
      </c>
      <c r="S58" s="11">
        <f t="shared" ca="1" si="9"/>
        <v>0.8</v>
      </c>
      <c r="T58" s="4">
        <f t="shared" ca="1" si="10"/>
        <v>1</v>
      </c>
      <c r="U58" s="11">
        <f t="shared" ca="1" si="11"/>
        <v>0.8</v>
      </c>
      <c r="V58" s="11">
        <f t="shared" ca="1" si="12"/>
        <v>0.97</v>
      </c>
      <c r="W58" s="11">
        <f t="shared" ca="1" si="13"/>
        <v>0.94</v>
      </c>
      <c r="X58" s="4">
        <f t="shared" ca="1" si="14"/>
        <v>0.45</v>
      </c>
      <c r="Y58" s="11">
        <f t="shared" ca="1" si="15"/>
        <v>1</v>
      </c>
      <c r="Z58" s="4">
        <f t="shared" ca="1" si="16"/>
        <v>110.9</v>
      </c>
      <c r="AA58" s="12">
        <f t="shared" ca="1" si="17"/>
        <v>7.5999999999999998E-2</v>
      </c>
      <c r="AB58" s="12">
        <f t="shared" ca="1" si="18"/>
        <v>0.17599999999999999</v>
      </c>
      <c r="AC58" s="12">
        <f t="shared" ca="1" si="19"/>
        <v>0.5</v>
      </c>
      <c r="AD58" s="17">
        <f t="shared" ca="1" si="20"/>
        <v>8.8235294117647065E-2</v>
      </c>
      <c r="AE58" s="11">
        <f t="shared" ca="1" si="21"/>
        <v>0.96</v>
      </c>
      <c r="AF58" s="12">
        <f t="shared" ca="1" si="22"/>
        <v>0.49019607843137247</v>
      </c>
      <c r="AG58" s="12">
        <f t="shared" ca="1" si="23"/>
        <v>0.10784313725490199</v>
      </c>
      <c r="AH58" s="4">
        <f t="shared" ca="1" si="24"/>
        <v>0</v>
      </c>
      <c r="AI58" s="4">
        <f t="shared" ca="1" si="25"/>
        <v>0.11</v>
      </c>
      <c r="AJ58" s="12">
        <f t="shared" ca="1" si="26"/>
        <v>0.17499999999999999</v>
      </c>
      <c r="AK58" s="4">
        <f t="shared" ca="1" si="27"/>
        <v>0.13</v>
      </c>
      <c r="AL58" s="12">
        <f t="shared" ca="1" si="28"/>
        <v>0.17299999999999999</v>
      </c>
      <c r="AM58" s="12">
        <f t="shared" ca="1" si="29"/>
        <v>0.4</v>
      </c>
      <c r="AN58" s="12">
        <f t="shared" ca="1" si="30"/>
        <v>0.4</v>
      </c>
      <c r="AO58" s="12">
        <f t="shared" ca="1" si="31"/>
        <v>0.2</v>
      </c>
      <c r="AP58" s="12">
        <f t="shared" ca="1" si="39"/>
        <v>0.2</v>
      </c>
      <c r="AQ58" s="12">
        <f t="shared" ca="1" si="40"/>
        <v>0</v>
      </c>
      <c r="AR58" s="16"/>
      <c r="AS58" s="10"/>
      <c r="AT58" s="16"/>
      <c r="AU58" s="10"/>
      <c r="AV58" s="16"/>
      <c r="AW58" s="10"/>
      <c r="AX58" s="16"/>
      <c r="AY58" s="10"/>
      <c r="AZ58" s="10"/>
      <c r="BA58" s="10"/>
      <c r="BB58" s="10"/>
      <c r="BC58" s="10"/>
      <c r="BD58" s="10"/>
    </row>
    <row r="59" spans="1:56" ht="19.899999999999999" customHeight="1" x14ac:dyDescent="0.3">
      <c r="A59" s="4">
        <v>55</v>
      </c>
      <c r="B59" s="13" t="str">
        <f t="shared" ref="B59:D59" ca="1" si="93">INDIRECT(ADDRESS(ROW($B157),COLUMN()))</f>
        <v>Snappi</v>
      </c>
      <c r="C59" s="5">
        <f t="shared" ca="1" si="93"/>
        <v>8</v>
      </c>
      <c r="D59" s="6">
        <f t="shared" ca="1" si="93"/>
        <v>0.94</v>
      </c>
      <c r="E59" s="15">
        <f t="shared" ca="1" si="1"/>
        <v>-28</v>
      </c>
      <c r="F59" s="6">
        <f t="shared" ca="1" si="2"/>
        <v>0.52</v>
      </c>
      <c r="G59" s="6">
        <f t="shared" ca="1" si="3"/>
        <v>0.68</v>
      </c>
      <c r="H59" s="7">
        <f t="shared" ca="1" si="4"/>
        <v>63.6</v>
      </c>
      <c r="I59" s="6">
        <f t="shared" ca="1" si="5"/>
        <v>-0.31</v>
      </c>
      <c r="J59" s="21">
        <f t="shared" ca="1" si="33"/>
        <v>73</v>
      </c>
      <c r="K59" s="20">
        <f t="shared" ca="1" si="34"/>
        <v>0.69</v>
      </c>
      <c r="L59" s="21">
        <f t="shared" ca="1" si="35"/>
        <v>72.3</v>
      </c>
      <c r="M59" s="20">
        <f t="shared" ca="1" si="36"/>
        <v>0.86</v>
      </c>
      <c r="N59" s="21">
        <f t="shared" ca="1" si="37"/>
        <v>64.900000000000006</v>
      </c>
      <c r="O59" s="20">
        <f t="shared" ca="1" si="38"/>
        <v>0.54</v>
      </c>
      <c r="P59" s="4">
        <f t="shared" ca="1" si="6"/>
        <v>0</v>
      </c>
      <c r="Q59" s="11" t="str">
        <f t="shared" ca="1" si="7"/>
        <v>-</v>
      </c>
      <c r="R59" s="4">
        <f t="shared" ca="1" si="8"/>
        <v>0</v>
      </c>
      <c r="S59" s="11" t="str">
        <f t="shared" ca="1" si="9"/>
        <v>-</v>
      </c>
      <c r="T59" s="4">
        <f t="shared" ca="1" si="10"/>
        <v>3</v>
      </c>
      <c r="U59" s="11">
        <f t="shared" ca="1" si="11"/>
        <v>1.01</v>
      </c>
      <c r="V59" s="11">
        <f t="shared" ca="1" si="12"/>
        <v>1.1499999999999999</v>
      </c>
      <c r="W59" s="11">
        <f t="shared" ca="1" si="13"/>
        <v>0.77</v>
      </c>
      <c r="X59" s="4">
        <f t="shared" ca="1" si="14"/>
        <v>1.1499999999999999</v>
      </c>
      <c r="Y59" s="11">
        <f t="shared" ca="1" si="15"/>
        <v>0.69</v>
      </c>
      <c r="Z59" s="4">
        <f t="shared" ca="1" si="16"/>
        <v>80.3</v>
      </c>
      <c r="AA59" s="12">
        <f t="shared" ca="1" si="17"/>
        <v>7.3999999999999996E-2</v>
      </c>
      <c r="AB59" s="12">
        <f t="shared" ca="1" si="18"/>
        <v>0.17799999999999999</v>
      </c>
      <c r="AC59" s="12">
        <f t="shared" ca="1" si="19"/>
        <v>0.38700000000000001</v>
      </c>
      <c r="AD59" s="17">
        <f t="shared" ca="1" si="20"/>
        <v>6.8965517241379309E-2</v>
      </c>
      <c r="AE59" s="11">
        <f t="shared" ca="1" si="21"/>
        <v>0.83</v>
      </c>
      <c r="AF59" s="12">
        <f t="shared" ca="1" si="22"/>
        <v>0.40229885057471271</v>
      </c>
      <c r="AG59" s="12">
        <f t="shared" ca="1" si="23"/>
        <v>9.1954022988505746E-2</v>
      </c>
      <c r="AH59" s="4">
        <f t="shared" ca="1" si="24"/>
        <v>3</v>
      </c>
      <c r="AI59" s="4">
        <f t="shared" ca="1" si="25"/>
        <v>0.13</v>
      </c>
      <c r="AJ59" s="12">
        <f t="shared" ca="1" si="26"/>
        <v>0.25600000000000001</v>
      </c>
      <c r="AK59" s="4">
        <f t="shared" ca="1" si="27"/>
        <v>0.17</v>
      </c>
      <c r="AL59" s="12">
        <f t="shared" ca="1" si="28"/>
        <v>0.254</v>
      </c>
      <c r="AM59" s="12">
        <f t="shared" ca="1" si="29"/>
        <v>0.5</v>
      </c>
      <c r="AN59" s="12">
        <f t="shared" ca="1" si="30"/>
        <v>0.5</v>
      </c>
      <c r="AO59" s="12">
        <f t="shared" ca="1" si="31"/>
        <v>0.25</v>
      </c>
      <c r="AP59" s="12">
        <f t="shared" ca="1" si="39"/>
        <v>0.25</v>
      </c>
      <c r="AQ59" s="12">
        <f t="shared" ca="1" si="40"/>
        <v>0</v>
      </c>
      <c r="AR59" s="16"/>
      <c r="AS59" s="10"/>
      <c r="AT59" s="16"/>
      <c r="AU59" s="10"/>
      <c r="AV59" s="16"/>
      <c r="AW59" s="10"/>
      <c r="AX59" s="16"/>
      <c r="AY59" s="10"/>
      <c r="AZ59" s="10"/>
      <c r="BA59" s="10"/>
      <c r="BB59" s="10"/>
      <c r="BC59" s="10"/>
      <c r="BD59" s="10"/>
    </row>
    <row r="60" spans="1:56" ht="19.899999999999999" customHeight="1" x14ac:dyDescent="0.3">
      <c r="A60" s="4">
        <v>56</v>
      </c>
      <c r="B60" s="13" t="str">
        <f t="shared" ref="B60:D60" ca="1" si="94">INDIRECT(ADDRESS(ROW($B158),COLUMN()))</f>
        <v>n0te</v>
      </c>
      <c r="C60" s="5">
        <f t="shared" ca="1" si="94"/>
        <v>8</v>
      </c>
      <c r="D60" s="6">
        <f t="shared" ca="1" si="94"/>
        <v>0.94</v>
      </c>
      <c r="E60" s="15">
        <f t="shared" ca="1" si="1"/>
        <v>-12</v>
      </c>
      <c r="F60" s="6">
        <f t="shared" ca="1" si="2"/>
        <v>0.64</v>
      </c>
      <c r="G60" s="6">
        <f t="shared" ca="1" si="3"/>
        <v>0.71</v>
      </c>
      <c r="H60" s="7">
        <f t="shared" ca="1" si="4"/>
        <v>68.8</v>
      </c>
      <c r="I60" s="6">
        <f t="shared" ca="1" si="5"/>
        <v>-2.35</v>
      </c>
      <c r="J60" s="21">
        <f t="shared" ca="1" si="33"/>
        <v>70.099999999999994</v>
      </c>
      <c r="K60" s="20">
        <f t="shared" ca="1" si="34"/>
        <v>0.72</v>
      </c>
      <c r="L60" s="21">
        <f t="shared" ca="1" si="35"/>
        <v>68.900000000000006</v>
      </c>
      <c r="M60" s="20">
        <f t="shared" ca="1" si="36"/>
        <v>1.02</v>
      </c>
      <c r="N60" s="21">
        <f t="shared" ca="1" si="37"/>
        <v>70.099999999999994</v>
      </c>
      <c r="O60" s="20">
        <f t="shared" ca="1" si="38"/>
        <v>0.66</v>
      </c>
      <c r="P60" s="4">
        <f t="shared" ca="1" si="6"/>
        <v>0</v>
      </c>
      <c r="Q60" s="11" t="str">
        <f t="shared" ca="1" si="7"/>
        <v>-</v>
      </c>
      <c r="R60" s="4">
        <f t="shared" ca="1" si="8"/>
        <v>0</v>
      </c>
      <c r="S60" s="11" t="str">
        <f t="shared" ca="1" si="9"/>
        <v>-</v>
      </c>
      <c r="T60" s="4">
        <f t="shared" ca="1" si="10"/>
        <v>3</v>
      </c>
      <c r="U60" s="11">
        <f t="shared" ca="1" si="11"/>
        <v>1.05</v>
      </c>
      <c r="V60" s="11">
        <f t="shared" ca="1" si="12"/>
        <v>1.05</v>
      </c>
      <c r="W60" s="11">
        <f t="shared" ca="1" si="13"/>
        <v>0.85</v>
      </c>
      <c r="X60" s="4">
        <f t="shared" ca="1" si="14"/>
        <v>1.1100000000000001</v>
      </c>
      <c r="Y60" s="11">
        <f t="shared" ca="1" si="15"/>
        <v>0.92</v>
      </c>
      <c r="Z60" s="4">
        <f t="shared" ca="1" si="16"/>
        <v>89.4</v>
      </c>
      <c r="AA60" s="12">
        <f t="shared" ca="1" si="17"/>
        <v>6.4000000000000001E-2</v>
      </c>
      <c r="AB60" s="12">
        <f t="shared" ca="1" si="18"/>
        <v>0.247</v>
      </c>
      <c r="AC60" s="12">
        <f t="shared" ca="1" si="19"/>
        <v>0.55800000000000005</v>
      </c>
      <c r="AD60" s="17">
        <f t="shared" ca="1" si="20"/>
        <v>0.13793103448275859</v>
      </c>
      <c r="AE60" s="11">
        <f t="shared" ca="1" si="21"/>
        <v>1.17</v>
      </c>
      <c r="AF60" s="12">
        <f t="shared" ca="1" si="22"/>
        <v>0.44827586206896552</v>
      </c>
      <c r="AG60" s="12">
        <f t="shared" ca="1" si="23"/>
        <v>0.14367816091954019</v>
      </c>
      <c r="AH60" s="4">
        <f t="shared" ca="1" si="24"/>
        <v>0</v>
      </c>
      <c r="AI60" s="4">
        <f t="shared" ca="1" si="25"/>
        <v>0.14000000000000001</v>
      </c>
      <c r="AJ60" s="12">
        <f t="shared" ca="1" si="26"/>
        <v>0.223</v>
      </c>
      <c r="AK60" s="4">
        <f t="shared" ca="1" si="27"/>
        <v>0.13</v>
      </c>
      <c r="AL60" s="12">
        <f t="shared" ca="1" si="28"/>
        <v>0.185</v>
      </c>
      <c r="AM60" s="12">
        <f t="shared" ca="1" si="29"/>
        <v>0.75</v>
      </c>
      <c r="AN60" s="12">
        <f t="shared" ca="1" si="30"/>
        <v>0.5</v>
      </c>
      <c r="AO60" s="12">
        <f t="shared" ca="1" si="31"/>
        <v>0.125</v>
      </c>
      <c r="AP60" s="12">
        <f t="shared" ca="1" si="39"/>
        <v>0.125</v>
      </c>
      <c r="AQ60" s="12">
        <f t="shared" ca="1" si="40"/>
        <v>0</v>
      </c>
      <c r="AR60" s="16"/>
      <c r="AS60" s="10"/>
      <c r="AT60" s="16"/>
      <c r="AU60" s="10"/>
      <c r="AV60" s="16"/>
      <c r="AW60" s="10"/>
      <c r="AX60" s="16"/>
      <c r="AY60" s="10"/>
      <c r="AZ60" s="10"/>
      <c r="BA60" s="10"/>
      <c r="BB60" s="10"/>
      <c r="BC60" s="10"/>
      <c r="BD60" s="10"/>
    </row>
    <row r="61" spans="1:56" ht="21" customHeight="1" x14ac:dyDescent="0.3">
      <c r="A61" s="4">
        <v>57</v>
      </c>
      <c r="B61" s="13" t="str">
        <f t="shared" ref="B61:D61" ca="1" si="95">INDIRECT(ADDRESS(ROW($B159),COLUMN()))</f>
        <v>max</v>
      </c>
      <c r="C61" s="5">
        <f t="shared" ca="1" si="95"/>
        <v>16</v>
      </c>
      <c r="D61" s="6">
        <f t="shared" ca="1" si="95"/>
        <v>0.93</v>
      </c>
      <c r="E61" s="15">
        <f t="shared" ca="1" si="1"/>
        <v>-19</v>
      </c>
      <c r="F61" s="6">
        <f t="shared" ca="1" si="2"/>
        <v>0.56999999999999995</v>
      </c>
      <c r="G61" s="6">
        <f t="shared" ca="1" si="3"/>
        <v>0.63</v>
      </c>
      <c r="H61" s="7">
        <f t="shared" ca="1" si="4"/>
        <v>65.900000000000006</v>
      </c>
      <c r="I61" s="6">
        <f t="shared" ca="1" si="5"/>
        <v>-0.98</v>
      </c>
      <c r="J61" s="21">
        <f t="shared" ca="1" si="33"/>
        <v>72.400000000000006</v>
      </c>
      <c r="K61" s="20">
        <f t="shared" ca="1" si="34"/>
        <v>0.64</v>
      </c>
      <c r="L61" s="21">
        <f t="shared" ca="1" si="35"/>
        <v>70.900000000000006</v>
      </c>
      <c r="M61" s="20">
        <f t="shared" ca="1" si="36"/>
        <v>0.88</v>
      </c>
      <c r="N61" s="21">
        <f t="shared" ca="1" si="37"/>
        <v>64.900000000000006</v>
      </c>
      <c r="O61" s="20">
        <f t="shared" ca="1" si="38"/>
        <v>0.56000000000000005</v>
      </c>
      <c r="P61" s="4">
        <f t="shared" ca="1" si="6"/>
        <v>0</v>
      </c>
      <c r="Q61" s="11" t="str">
        <f t="shared" ca="1" si="7"/>
        <v>-</v>
      </c>
      <c r="R61" s="4">
        <f t="shared" ca="1" si="8"/>
        <v>0</v>
      </c>
      <c r="S61" s="11" t="str">
        <f t="shared" ca="1" si="9"/>
        <v>-</v>
      </c>
      <c r="T61" s="4">
        <f t="shared" ca="1" si="10"/>
        <v>3</v>
      </c>
      <c r="U61" s="11">
        <f t="shared" ca="1" si="11"/>
        <v>0.96</v>
      </c>
      <c r="V61" s="11">
        <f t="shared" ca="1" si="12"/>
        <v>1.04</v>
      </c>
      <c r="W61" s="11">
        <f t="shared" ca="1" si="13"/>
        <v>0.83</v>
      </c>
      <c r="X61" s="4">
        <f t="shared" ca="1" si="14"/>
        <v>1.1200000000000001</v>
      </c>
      <c r="Y61" s="11">
        <f t="shared" ca="1" si="15"/>
        <v>0.76</v>
      </c>
      <c r="Z61" s="4">
        <f t="shared" ca="1" si="16"/>
        <v>82.7</v>
      </c>
      <c r="AA61" s="12">
        <f t="shared" ca="1" si="17"/>
        <v>7.9000000000000001E-2</v>
      </c>
      <c r="AB61" s="12">
        <f t="shared" ca="1" si="18"/>
        <v>0.186</v>
      </c>
      <c r="AC61" s="12">
        <f t="shared" ca="1" si="19"/>
        <v>0.33800000000000002</v>
      </c>
      <c r="AD61" s="17">
        <f t="shared" ca="1" si="20"/>
        <v>6.2841530054644809E-2</v>
      </c>
      <c r="AE61" s="11">
        <f t="shared" ca="1" si="21"/>
        <v>0.78</v>
      </c>
      <c r="AF61" s="12">
        <f t="shared" ca="1" si="22"/>
        <v>0.41530054644808739</v>
      </c>
      <c r="AG61" s="12">
        <f t="shared" ca="1" si="23"/>
        <v>0.1229508196721311</v>
      </c>
      <c r="AH61" s="4">
        <f t="shared" ca="1" si="24"/>
        <v>4</v>
      </c>
      <c r="AI61" s="4">
        <f t="shared" ca="1" si="25"/>
        <v>0.12</v>
      </c>
      <c r="AJ61" s="12">
        <f t="shared" ca="1" si="26"/>
        <v>0.21</v>
      </c>
      <c r="AK61" s="4">
        <f t="shared" ca="1" si="27"/>
        <v>0.15</v>
      </c>
      <c r="AL61" s="12">
        <f t="shared" ca="1" si="28"/>
        <v>0.24</v>
      </c>
      <c r="AM61" s="12">
        <f t="shared" ca="1" si="29"/>
        <v>0.6875</v>
      </c>
      <c r="AN61" s="12">
        <f t="shared" ca="1" si="30"/>
        <v>0.25</v>
      </c>
      <c r="AO61" s="12">
        <f t="shared" ca="1" si="31"/>
        <v>0.1875</v>
      </c>
      <c r="AP61" s="12">
        <f t="shared" ca="1" si="39"/>
        <v>0.1875</v>
      </c>
      <c r="AQ61" s="12">
        <f t="shared" ca="1" si="40"/>
        <v>6.25E-2</v>
      </c>
      <c r="AR61" s="16"/>
      <c r="AS61" s="10"/>
      <c r="AT61" s="16"/>
      <c r="AU61" s="10"/>
      <c r="AV61" s="16"/>
      <c r="AW61" s="10"/>
      <c r="AX61" s="16"/>
      <c r="AY61" s="10"/>
      <c r="AZ61" s="10"/>
      <c r="BA61" s="10"/>
      <c r="BB61" s="10"/>
      <c r="BC61" s="10"/>
      <c r="BD61" s="10"/>
    </row>
    <row r="62" spans="1:56" ht="21.75" customHeight="1" x14ac:dyDescent="0.3">
      <c r="A62" s="4">
        <v>58</v>
      </c>
      <c r="B62" s="13" t="str">
        <f t="shared" ref="B62:D62" ca="1" si="96">INDIRECT(ADDRESS(ROW($B160),COLUMN()))</f>
        <v>brnz4n</v>
      </c>
      <c r="C62" s="5">
        <f t="shared" ca="1" si="96"/>
        <v>8</v>
      </c>
      <c r="D62" s="6">
        <f t="shared" ca="1" si="96"/>
        <v>0.93</v>
      </c>
      <c r="E62" s="15">
        <f t="shared" ca="1" si="1"/>
        <v>-12</v>
      </c>
      <c r="F62" s="6">
        <f t="shared" ca="1" si="2"/>
        <v>0.59</v>
      </c>
      <c r="G62" s="6">
        <f t="shared" ca="1" si="3"/>
        <v>0.66</v>
      </c>
      <c r="H62" s="7">
        <f t="shared" ca="1" si="4"/>
        <v>65.400000000000006</v>
      </c>
      <c r="I62" s="6">
        <f t="shared" ca="1" si="5"/>
        <v>-1.03</v>
      </c>
      <c r="J62" s="21">
        <f t="shared" ca="1" si="33"/>
        <v>68.7</v>
      </c>
      <c r="K62" s="20">
        <f t="shared" ca="1" si="34"/>
        <v>0.67</v>
      </c>
      <c r="L62" s="21">
        <f t="shared" ca="1" si="35"/>
        <v>65.5</v>
      </c>
      <c r="M62" s="20">
        <f t="shared" ca="1" si="36"/>
        <v>0.93</v>
      </c>
      <c r="N62" s="21">
        <f t="shared" ca="1" si="37"/>
        <v>64.7</v>
      </c>
      <c r="O62" s="20">
        <f t="shared" ca="1" si="38"/>
        <v>0.59</v>
      </c>
      <c r="P62" s="4">
        <f t="shared" ca="1" si="6"/>
        <v>0</v>
      </c>
      <c r="Q62" s="11" t="str">
        <f t="shared" ca="1" si="7"/>
        <v>-</v>
      </c>
      <c r="R62" s="4">
        <f t="shared" ca="1" si="8"/>
        <v>2</v>
      </c>
      <c r="S62" s="11">
        <f t="shared" ca="1" si="9"/>
        <v>0.69</v>
      </c>
      <c r="T62" s="4">
        <f t="shared" ca="1" si="10"/>
        <v>6</v>
      </c>
      <c r="U62" s="11">
        <f t="shared" ca="1" si="11"/>
        <v>0.94</v>
      </c>
      <c r="V62" s="11">
        <f t="shared" ca="1" si="12"/>
        <v>0.89</v>
      </c>
      <c r="W62" s="11">
        <f t="shared" ca="1" si="13"/>
        <v>0.97</v>
      </c>
      <c r="X62" s="4">
        <f t="shared" ca="1" si="14"/>
        <v>1.24</v>
      </c>
      <c r="Y62" s="11">
        <f t="shared" ca="1" si="15"/>
        <v>0.87</v>
      </c>
      <c r="Z62" s="4">
        <f t="shared" ca="1" si="16"/>
        <v>91.7</v>
      </c>
      <c r="AA62" s="12">
        <f t="shared" ca="1" si="17"/>
        <v>9.8000000000000004E-2</v>
      </c>
      <c r="AB62" s="12">
        <f t="shared" ca="1" si="18"/>
        <v>0.16200000000000001</v>
      </c>
      <c r="AC62" s="12">
        <f t="shared" ca="1" si="19"/>
        <v>0.69</v>
      </c>
      <c r="AD62" s="17">
        <f t="shared" ca="1" si="20"/>
        <v>0.111731843575419</v>
      </c>
      <c r="AE62" s="11">
        <f t="shared" ca="1" si="21"/>
        <v>1.1399999999999999</v>
      </c>
      <c r="AF62" s="12">
        <f t="shared" ca="1" si="22"/>
        <v>0.45810055865921789</v>
      </c>
      <c r="AG62" s="12">
        <f t="shared" ca="1" si="23"/>
        <v>7.8212290502793297E-2</v>
      </c>
      <c r="AH62" s="4">
        <f t="shared" ca="1" si="24"/>
        <v>0</v>
      </c>
      <c r="AI62" s="4">
        <f t="shared" ca="1" si="25"/>
        <v>0.12</v>
      </c>
      <c r="AJ62" s="12">
        <f t="shared" ca="1" si="26"/>
        <v>0.20799999999999999</v>
      </c>
      <c r="AK62" s="4">
        <f t="shared" ca="1" si="27"/>
        <v>0.14000000000000001</v>
      </c>
      <c r="AL62" s="12">
        <f t="shared" ca="1" si="28"/>
        <v>0.21199999999999999</v>
      </c>
      <c r="AM62" s="12">
        <f t="shared" ca="1" si="29"/>
        <v>0.625</v>
      </c>
      <c r="AN62" s="12">
        <f t="shared" ca="1" si="30"/>
        <v>0.25</v>
      </c>
      <c r="AO62" s="12">
        <f t="shared" ca="1" si="31"/>
        <v>0.125</v>
      </c>
      <c r="AP62" s="12">
        <f t="shared" ca="1" si="39"/>
        <v>0.125</v>
      </c>
      <c r="AQ62" s="12">
        <f t="shared" ca="1" si="40"/>
        <v>0.125</v>
      </c>
    </row>
    <row r="63" spans="1:56" ht="19.899999999999999" customHeight="1" x14ac:dyDescent="0.3">
      <c r="A63" s="4">
        <v>59</v>
      </c>
      <c r="B63" s="13" t="str">
        <f t="shared" ref="B63:D63" ca="1" si="97">INDIRECT(ADDRESS(ROW($B161),COLUMN()))</f>
        <v>xKacpersky</v>
      </c>
      <c r="C63" s="5">
        <f t="shared" ca="1" si="97"/>
        <v>8</v>
      </c>
      <c r="D63" s="6">
        <f t="shared" ca="1" si="97"/>
        <v>0.93</v>
      </c>
      <c r="E63" s="15">
        <f t="shared" ca="1" si="1"/>
        <v>-19</v>
      </c>
      <c r="F63" s="6">
        <f t="shared" ca="1" si="2"/>
        <v>0.62</v>
      </c>
      <c r="G63" s="6">
        <f t="shared" ca="1" si="3"/>
        <v>0.73</v>
      </c>
      <c r="H63" s="7">
        <f t="shared" ca="1" si="4"/>
        <v>71</v>
      </c>
      <c r="I63" s="6">
        <f t="shared" ca="1" si="5"/>
        <v>-1.91</v>
      </c>
      <c r="J63" s="21">
        <f t="shared" ca="1" si="33"/>
        <v>73</v>
      </c>
      <c r="K63" s="20">
        <f t="shared" ca="1" si="34"/>
        <v>0.77</v>
      </c>
      <c r="L63" s="21">
        <f t="shared" ca="1" si="35"/>
        <v>70.400000000000006</v>
      </c>
      <c r="M63" s="20">
        <f t="shared" ca="1" si="36"/>
        <v>0.88</v>
      </c>
      <c r="N63" s="21">
        <f t="shared" ca="1" si="37"/>
        <v>70.400000000000006</v>
      </c>
      <c r="O63" s="20">
        <f t="shared" ca="1" si="38"/>
        <v>0.62</v>
      </c>
      <c r="P63" s="4">
        <f t="shared" ca="1" si="6"/>
        <v>0</v>
      </c>
      <c r="Q63" s="11" t="str">
        <f t="shared" ca="1" si="7"/>
        <v>-</v>
      </c>
      <c r="R63" s="4">
        <f t="shared" ca="1" si="8"/>
        <v>0</v>
      </c>
      <c r="S63" s="11" t="str">
        <f t="shared" ca="1" si="9"/>
        <v>-</v>
      </c>
      <c r="T63" s="4">
        <f t="shared" ca="1" si="10"/>
        <v>3</v>
      </c>
      <c r="U63" s="11">
        <f t="shared" ca="1" si="11"/>
        <v>1.1599999999999999</v>
      </c>
      <c r="V63" s="11">
        <f t="shared" ca="1" si="12"/>
        <v>0.8</v>
      </c>
      <c r="W63" s="11">
        <f t="shared" ca="1" si="13"/>
        <v>1.03</v>
      </c>
      <c r="X63" s="4">
        <f t="shared" ca="1" si="14"/>
        <v>1.4</v>
      </c>
      <c r="Y63" s="11">
        <f t="shared" ca="1" si="15"/>
        <v>0.85</v>
      </c>
      <c r="Z63" s="4">
        <f t="shared" ca="1" si="16"/>
        <v>88.4</v>
      </c>
      <c r="AA63" s="12">
        <f t="shared" ca="1" si="17"/>
        <v>5.2999999999999999E-2</v>
      </c>
      <c r="AB63" s="12">
        <f t="shared" ca="1" si="18"/>
        <v>0.25900000000000001</v>
      </c>
      <c r="AC63" s="12">
        <f t="shared" ca="1" si="19"/>
        <v>0.44400000000000001</v>
      </c>
      <c r="AD63" s="17">
        <f t="shared" ca="1" si="20"/>
        <v>0.1149425287356322</v>
      </c>
      <c r="AE63" s="11">
        <f t="shared" ca="1" si="21"/>
        <v>1</v>
      </c>
      <c r="AF63" s="12">
        <f t="shared" ca="1" si="22"/>
        <v>0.43678160919540232</v>
      </c>
      <c r="AG63" s="12">
        <f t="shared" ca="1" si="23"/>
        <v>0.15517241379310351</v>
      </c>
      <c r="AH63" s="4">
        <f t="shared" ca="1" si="24"/>
        <v>1</v>
      </c>
      <c r="AI63" s="4">
        <f t="shared" ca="1" si="25"/>
        <v>0.11</v>
      </c>
      <c r="AJ63" s="12">
        <f t="shared" ca="1" si="26"/>
        <v>0.185</v>
      </c>
      <c r="AK63" s="4">
        <f t="shared" ca="1" si="27"/>
        <v>0.2</v>
      </c>
      <c r="AL63" s="12">
        <f t="shared" ca="1" si="28"/>
        <v>0.26800000000000002</v>
      </c>
      <c r="AM63" s="12">
        <f t="shared" ca="1" si="29"/>
        <v>0.75</v>
      </c>
      <c r="AN63" s="12">
        <f t="shared" ca="1" si="30"/>
        <v>0.375</v>
      </c>
      <c r="AO63" s="12">
        <f t="shared" ca="1" si="31"/>
        <v>0.125</v>
      </c>
      <c r="AP63" s="12">
        <f t="shared" ca="1" si="39"/>
        <v>0.125</v>
      </c>
      <c r="AQ63" s="12">
        <f t="shared" ca="1" si="40"/>
        <v>0.125</v>
      </c>
    </row>
    <row r="64" spans="1:56" ht="19.899999999999999" customHeight="1" x14ac:dyDescent="0.3">
      <c r="A64" s="4">
        <v>60</v>
      </c>
      <c r="B64" s="13" t="str">
        <f t="shared" ref="B64:D64" ca="1" si="98">INDIRECT(ADDRESS(ROW($B162),COLUMN()))</f>
        <v>afro</v>
      </c>
      <c r="C64" s="5">
        <f t="shared" ca="1" si="98"/>
        <v>5</v>
      </c>
      <c r="D64" s="6">
        <f t="shared" ca="1" si="98"/>
        <v>0.92</v>
      </c>
      <c r="E64" s="15">
        <f t="shared" ca="1" si="1"/>
        <v>12</v>
      </c>
      <c r="F64" s="6">
        <f t="shared" ca="1" si="2"/>
        <v>0.66</v>
      </c>
      <c r="G64" s="6">
        <f t="shared" ca="1" si="3"/>
        <v>0.55000000000000004</v>
      </c>
      <c r="H64" s="7">
        <f t="shared" ca="1" si="4"/>
        <v>63.4</v>
      </c>
      <c r="I64" s="6">
        <f t="shared" ca="1" si="5"/>
        <v>-1.76</v>
      </c>
      <c r="J64" s="21">
        <f t="shared" ca="1" si="33"/>
        <v>74.8</v>
      </c>
      <c r="K64" s="20">
        <f t="shared" ca="1" si="34"/>
        <v>0.59</v>
      </c>
      <c r="L64" s="21">
        <f t="shared" ca="1" si="35"/>
        <v>67.099999999999994</v>
      </c>
      <c r="M64" s="20">
        <f t="shared" ca="1" si="36"/>
        <v>1.1299999999999999</v>
      </c>
      <c r="N64" s="21">
        <f t="shared" ca="1" si="37"/>
        <v>62.8</v>
      </c>
      <c r="O64" s="20">
        <f t="shared" ca="1" si="38"/>
        <v>0.62</v>
      </c>
      <c r="P64" s="4">
        <f t="shared" ca="1" si="6"/>
        <v>0</v>
      </c>
      <c r="Q64" s="11" t="str">
        <f t="shared" ca="1" si="7"/>
        <v>-</v>
      </c>
      <c r="R64" s="4">
        <f t="shared" ca="1" si="8"/>
        <v>0</v>
      </c>
      <c r="S64" s="11" t="str">
        <f t="shared" ca="1" si="9"/>
        <v>-</v>
      </c>
      <c r="T64" s="4">
        <f t="shared" ca="1" si="10"/>
        <v>0</v>
      </c>
      <c r="U64" s="11" t="str">
        <f t="shared" ca="1" si="11"/>
        <v>-</v>
      </c>
      <c r="V64" s="11">
        <f t="shared" ca="1" si="12"/>
        <v>0.89</v>
      </c>
      <c r="W64" s="11">
        <f t="shared" ca="1" si="13"/>
        <v>0.97</v>
      </c>
      <c r="X64" s="4">
        <f t="shared" ca="1" si="14"/>
        <v>0.57999999999999996</v>
      </c>
      <c r="Y64" s="11">
        <f t="shared" ca="1" si="15"/>
        <v>0.85</v>
      </c>
      <c r="Z64" s="4">
        <f t="shared" ca="1" si="16"/>
        <v>72.400000000000006</v>
      </c>
      <c r="AA64" s="12">
        <f t="shared" ca="1" si="17"/>
        <v>0.20300000000000001</v>
      </c>
      <c r="AB64" s="12">
        <f t="shared" ca="1" si="18"/>
        <v>0.14000000000000001</v>
      </c>
      <c r="AC64" s="12">
        <f t="shared" ca="1" si="19"/>
        <v>0.4</v>
      </c>
      <c r="AD64" s="17">
        <f t="shared" ca="1" si="20"/>
        <v>5.6074766355140193E-2</v>
      </c>
      <c r="AE64" s="11">
        <f t="shared" ca="1" si="21"/>
        <v>0.81</v>
      </c>
      <c r="AF64" s="12">
        <f t="shared" ca="1" si="22"/>
        <v>0.42056074766355139</v>
      </c>
      <c r="AG64" s="12">
        <f t="shared" ca="1" si="23"/>
        <v>0.15887850467289719</v>
      </c>
      <c r="AH64" s="4">
        <f t="shared" ca="1" si="24"/>
        <v>1</v>
      </c>
      <c r="AI64" s="4">
        <f t="shared" ca="1" si="25"/>
        <v>0.17</v>
      </c>
      <c r="AJ64" s="12">
        <f t="shared" ca="1" si="26"/>
        <v>0.254</v>
      </c>
      <c r="AK64" s="4">
        <f t="shared" ca="1" si="27"/>
        <v>0.08</v>
      </c>
      <c r="AL64" s="12">
        <f t="shared" ca="1" si="28"/>
        <v>0.153</v>
      </c>
      <c r="AM64" s="12">
        <f t="shared" ca="1" si="29"/>
        <v>0.4</v>
      </c>
      <c r="AN64" s="12">
        <f t="shared" ca="1" si="30"/>
        <v>0.2</v>
      </c>
      <c r="AO64" s="12">
        <f t="shared" ca="1" si="31"/>
        <v>0.2</v>
      </c>
      <c r="AP64" s="12">
        <f t="shared" ca="1" si="39"/>
        <v>0</v>
      </c>
      <c r="AQ64" s="12">
        <f t="shared" ca="1" si="40"/>
        <v>0</v>
      </c>
    </row>
    <row r="65" spans="1:43" ht="19.899999999999999" customHeight="1" x14ac:dyDescent="0.3">
      <c r="A65" s="4">
        <v>61</v>
      </c>
      <c r="B65" s="13" t="str">
        <f t="shared" ref="B65:D65" ca="1" si="99">INDIRECT(ADDRESS(ROW($B163),COLUMN()))</f>
        <v>Ro1f</v>
      </c>
      <c r="C65" s="5">
        <f t="shared" ca="1" si="99"/>
        <v>10</v>
      </c>
      <c r="D65" s="6">
        <f t="shared" ca="1" si="99"/>
        <v>0.92</v>
      </c>
      <c r="E65" s="15">
        <f t="shared" ca="1" si="1"/>
        <v>-34</v>
      </c>
      <c r="F65" s="6">
        <f t="shared" ca="1" si="2"/>
        <v>0.56999999999999995</v>
      </c>
      <c r="G65" s="6">
        <f t="shared" ca="1" si="3"/>
        <v>0.71</v>
      </c>
      <c r="H65" s="7">
        <f t="shared" ca="1" si="4"/>
        <v>69.3</v>
      </c>
      <c r="I65" s="6">
        <f t="shared" ca="1" si="5"/>
        <v>-1.52</v>
      </c>
      <c r="J65" s="21">
        <f t="shared" ca="1" si="33"/>
        <v>70.099999999999994</v>
      </c>
      <c r="K65" s="20">
        <f t="shared" ca="1" si="34"/>
        <v>0.73</v>
      </c>
      <c r="L65" s="21">
        <f t="shared" ca="1" si="35"/>
        <v>68.900000000000006</v>
      </c>
      <c r="M65" s="20">
        <f t="shared" ca="1" si="36"/>
        <v>0.94</v>
      </c>
      <c r="N65" s="21">
        <f t="shared" ca="1" si="37"/>
        <v>69.7</v>
      </c>
      <c r="O65" s="20">
        <f t="shared" ca="1" si="38"/>
        <v>0.59</v>
      </c>
      <c r="P65" s="4">
        <f t="shared" ca="1" si="6"/>
        <v>0</v>
      </c>
      <c r="Q65" s="11" t="str">
        <f t="shared" ca="1" si="7"/>
        <v>-</v>
      </c>
      <c r="R65" s="4">
        <f t="shared" ca="1" si="8"/>
        <v>1</v>
      </c>
      <c r="S65" s="11">
        <f t="shared" ca="1" si="9"/>
        <v>0.83</v>
      </c>
      <c r="T65" s="4">
        <f t="shared" ca="1" si="10"/>
        <v>1</v>
      </c>
      <c r="U65" s="11">
        <f t="shared" ca="1" si="11"/>
        <v>0.83</v>
      </c>
      <c r="V65" s="11">
        <f t="shared" ca="1" si="12"/>
        <v>0.79</v>
      </c>
      <c r="W65" s="11">
        <f t="shared" ca="1" si="13"/>
        <v>1.07</v>
      </c>
      <c r="X65" s="4">
        <f t="shared" ca="1" si="14"/>
        <v>0.78</v>
      </c>
      <c r="Y65" s="11">
        <f t="shared" ca="1" si="15"/>
        <v>0.78</v>
      </c>
      <c r="Z65" s="4">
        <f t="shared" ca="1" si="16"/>
        <v>98</v>
      </c>
      <c r="AA65" s="12">
        <f t="shared" ca="1" si="17"/>
        <v>0.06</v>
      </c>
      <c r="AB65" s="12">
        <f t="shared" ca="1" si="18"/>
        <v>0.17699999999999999</v>
      </c>
      <c r="AC65" s="12">
        <f t="shared" ca="1" si="19"/>
        <v>0.4</v>
      </c>
      <c r="AD65" s="17">
        <f t="shared" ca="1" si="20"/>
        <v>7.0866141732283464E-2</v>
      </c>
      <c r="AE65" s="11">
        <f t="shared" ca="1" si="21"/>
        <v>0.84</v>
      </c>
      <c r="AF65" s="12">
        <f t="shared" ca="1" si="22"/>
        <v>0.40944881889763779</v>
      </c>
      <c r="AG65" s="12">
        <f t="shared" ca="1" si="23"/>
        <v>0.12598425196850391</v>
      </c>
      <c r="AH65" s="4">
        <f t="shared" ca="1" si="24"/>
        <v>4</v>
      </c>
      <c r="AI65" s="4">
        <f t="shared" ca="1" si="25"/>
        <v>0.14000000000000001</v>
      </c>
      <c r="AJ65" s="12">
        <f t="shared" ca="1" si="26"/>
        <v>0.24</v>
      </c>
      <c r="AK65" s="4">
        <f t="shared" ca="1" si="27"/>
        <v>0.16</v>
      </c>
      <c r="AL65" s="12">
        <f t="shared" ca="1" si="28"/>
        <v>0.22800000000000001</v>
      </c>
      <c r="AM65" s="12">
        <f t="shared" ca="1" si="29"/>
        <v>0.5</v>
      </c>
      <c r="AN65" s="12">
        <f t="shared" ca="1" si="30"/>
        <v>0.3</v>
      </c>
      <c r="AO65" s="12">
        <f t="shared" ca="1" si="31"/>
        <v>0.2</v>
      </c>
      <c r="AP65" s="12">
        <f t="shared" ca="1" si="39"/>
        <v>0.1</v>
      </c>
      <c r="AQ65" s="12">
        <f t="shared" ca="1" si="40"/>
        <v>0.1</v>
      </c>
    </row>
    <row r="66" spans="1:43" ht="19.899999999999999" customHeight="1" x14ac:dyDescent="0.3">
      <c r="A66" s="4">
        <v>62</v>
      </c>
      <c r="B66" s="13" t="str">
        <f t="shared" ref="B66:D66" ca="1" si="100">INDIRECT(ADDRESS(ROW($B164),COLUMN()))</f>
        <v>stavn</v>
      </c>
      <c r="C66" s="5">
        <f t="shared" ca="1" si="100"/>
        <v>8</v>
      </c>
      <c r="D66" s="6">
        <f t="shared" ca="1" si="100"/>
        <v>0.91</v>
      </c>
      <c r="E66" s="15">
        <f t="shared" ca="1" si="1"/>
        <v>-4</v>
      </c>
      <c r="F66" s="6">
        <f t="shared" ca="1" si="2"/>
        <v>0.59</v>
      </c>
      <c r="G66" s="6">
        <f t="shared" ca="1" si="3"/>
        <v>0.61</v>
      </c>
      <c r="H66" s="7">
        <f t="shared" ca="1" si="4"/>
        <v>64.900000000000006</v>
      </c>
      <c r="I66" s="6">
        <f t="shared" ca="1" si="5"/>
        <v>-0.97</v>
      </c>
      <c r="J66" s="21">
        <f t="shared" ca="1" si="33"/>
        <v>71.3</v>
      </c>
      <c r="K66" s="20">
        <f t="shared" ca="1" si="34"/>
        <v>0.68</v>
      </c>
      <c r="L66" s="21">
        <f t="shared" ca="1" si="35"/>
        <v>67.099999999999994</v>
      </c>
      <c r="M66" s="20">
        <f t="shared" ca="1" si="36"/>
        <v>0.68</v>
      </c>
      <c r="N66" s="21">
        <f t="shared" ca="1" si="37"/>
        <v>63.6</v>
      </c>
      <c r="O66" s="20">
        <f t="shared" ca="1" si="38"/>
        <v>0.56999999999999995</v>
      </c>
      <c r="P66" s="4">
        <f t="shared" ca="1" si="6"/>
        <v>0</v>
      </c>
      <c r="Q66" s="11" t="str">
        <f t="shared" ca="1" si="7"/>
        <v>-</v>
      </c>
      <c r="R66" s="4">
        <f t="shared" ca="1" si="8"/>
        <v>0</v>
      </c>
      <c r="S66" s="11" t="str">
        <f t="shared" ca="1" si="9"/>
        <v>-</v>
      </c>
      <c r="T66" s="4">
        <f t="shared" ca="1" si="10"/>
        <v>3</v>
      </c>
      <c r="U66" s="11">
        <f t="shared" ca="1" si="11"/>
        <v>0.8</v>
      </c>
      <c r="V66" s="11">
        <f t="shared" ca="1" si="12"/>
        <v>0.71</v>
      </c>
      <c r="W66" s="11">
        <f t="shared" ca="1" si="13"/>
        <v>1.07</v>
      </c>
      <c r="X66" s="4">
        <f t="shared" ca="1" si="14"/>
        <v>0.67</v>
      </c>
      <c r="Y66" s="11">
        <f t="shared" ca="1" si="15"/>
        <v>0.82</v>
      </c>
      <c r="Z66" s="4">
        <f t="shared" ca="1" si="16"/>
        <v>87.6</v>
      </c>
      <c r="AA66" s="12">
        <f t="shared" ca="1" si="17"/>
        <v>0.11700000000000001</v>
      </c>
      <c r="AB66" s="12">
        <f t="shared" ca="1" si="18"/>
        <v>0.121</v>
      </c>
      <c r="AC66" s="12">
        <f t="shared" ca="1" si="19"/>
        <v>0.66700000000000004</v>
      </c>
      <c r="AD66" s="17">
        <f t="shared" ca="1" si="20"/>
        <v>8.0459770114942528E-2</v>
      </c>
      <c r="AE66" s="11">
        <f t="shared" ca="1" si="21"/>
        <v>1</v>
      </c>
      <c r="AF66" s="12">
        <f t="shared" ca="1" si="22"/>
        <v>0.46551724137931028</v>
      </c>
      <c r="AG66" s="12">
        <f t="shared" ca="1" si="23"/>
        <v>0.10919540229885059</v>
      </c>
      <c r="AH66" s="4">
        <f t="shared" ca="1" si="24"/>
        <v>1</v>
      </c>
      <c r="AI66" s="4">
        <f t="shared" ca="1" si="25"/>
        <v>0.14000000000000001</v>
      </c>
      <c r="AJ66" s="12">
        <f t="shared" ca="1" si="26"/>
        <v>0.23499999999999999</v>
      </c>
      <c r="AK66" s="4">
        <f t="shared" ca="1" si="27"/>
        <v>0.1</v>
      </c>
      <c r="AL66" s="12">
        <f t="shared" ca="1" si="28"/>
        <v>0.16</v>
      </c>
      <c r="AM66" s="12">
        <f t="shared" ca="1" si="29"/>
        <v>0.375</v>
      </c>
      <c r="AN66" s="12">
        <f t="shared" ca="1" si="30"/>
        <v>0.375</v>
      </c>
      <c r="AO66" s="12">
        <f t="shared" ca="1" si="31"/>
        <v>0.25</v>
      </c>
      <c r="AP66" s="12">
        <f t="shared" ca="1" si="39"/>
        <v>0.125</v>
      </c>
      <c r="AQ66" s="12">
        <f t="shared" ca="1" si="40"/>
        <v>0</v>
      </c>
    </row>
    <row r="67" spans="1:43" ht="19.899999999999999" customHeight="1" x14ac:dyDescent="0.3">
      <c r="A67" s="4">
        <v>63</v>
      </c>
      <c r="B67" s="13" t="str">
        <f t="shared" ref="B67:D67" ca="1" si="101">INDIRECT(ADDRESS(ROW($B165),COLUMN()))</f>
        <v>C4LLM3SU3</v>
      </c>
      <c r="C67" s="5">
        <f t="shared" ca="1" si="101"/>
        <v>5</v>
      </c>
      <c r="D67" s="6">
        <f t="shared" ca="1" si="101"/>
        <v>0.91</v>
      </c>
      <c r="E67" s="15">
        <f t="shared" ca="1" si="1"/>
        <v>-16</v>
      </c>
      <c r="F67" s="6">
        <f t="shared" ca="1" si="2"/>
        <v>0.61</v>
      </c>
      <c r="G67" s="6">
        <f t="shared" ca="1" si="3"/>
        <v>0.75</v>
      </c>
      <c r="H67" s="7">
        <f t="shared" ca="1" si="4"/>
        <v>72.900000000000006</v>
      </c>
      <c r="I67" s="6">
        <f t="shared" ca="1" si="5"/>
        <v>-2.87</v>
      </c>
      <c r="J67" s="21">
        <f t="shared" ca="1" si="33"/>
        <v>69.8</v>
      </c>
      <c r="K67" s="20">
        <f t="shared" ca="1" si="34"/>
        <v>0.77</v>
      </c>
      <c r="L67" s="21">
        <f t="shared" ca="1" si="35"/>
        <v>67</v>
      </c>
      <c r="M67" s="20">
        <f t="shared" ca="1" si="36"/>
        <v>1.03</v>
      </c>
      <c r="N67" s="21">
        <f t="shared" ca="1" si="37"/>
        <v>75</v>
      </c>
      <c r="O67" s="20">
        <f t="shared" ca="1" si="38"/>
        <v>0.64</v>
      </c>
      <c r="P67" s="4">
        <f t="shared" ca="1" si="6"/>
        <v>0</v>
      </c>
      <c r="Q67" s="11" t="str">
        <f t="shared" ca="1" si="7"/>
        <v>-</v>
      </c>
      <c r="R67" s="4">
        <f t="shared" ca="1" si="8"/>
        <v>0</v>
      </c>
      <c r="S67" s="11" t="str">
        <f t="shared" ca="1" si="9"/>
        <v>-</v>
      </c>
      <c r="T67" s="4">
        <f t="shared" ca="1" si="10"/>
        <v>4</v>
      </c>
      <c r="U67" s="11">
        <f t="shared" ca="1" si="11"/>
        <v>0.84</v>
      </c>
      <c r="V67" s="11">
        <f t="shared" ca="1" si="12"/>
        <v>0.82</v>
      </c>
      <c r="W67" s="11">
        <f t="shared" ca="1" si="13"/>
        <v>1.01</v>
      </c>
      <c r="X67" s="4">
        <f t="shared" ca="1" si="14"/>
        <v>1.25</v>
      </c>
      <c r="Y67" s="11">
        <f t="shared" ca="1" si="15"/>
        <v>0.9</v>
      </c>
      <c r="Z67" s="4">
        <f t="shared" ca="1" si="16"/>
        <v>102.8</v>
      </c>
      <c r="AA67" s="12">
        <f t="shared" ca="1" si="17"/>
        <v>4.4999999999999998E-2</v>
      </c>
      <c r="AB67" s="12">
        <f t="shared" ca="1" si="18"/>
        <v>0.216</v>
      </c>
      <c r="AC67" s="12">
        <f t="shared" ca="1" si="19"/>
        <v>0.52</v>
      </c>
      <c r="AD67" s="17">
        <f t="shared" ca="1" si="20"/>
        <v>0.1120689655172414</v>
      </c>
      <c r="AE67" s="11">
        <f t="shared" ca="1" si="21"/>
        <v>1.05</v>
      </c>
      <c r="AF67" s="12">
        <f t="shared" ca="1" si="22"/>
        <v>0.44827586206896552</v>
      </c>
      <c r="AG67" s="12">
        <f t="shared" ca="1" si="23"/>
        <v>0.12931034482758619</v>
      </c>
      <c r="AH67" s="4">
        <f t="shared" ca="1" si="24"/>
        <v>1</v>
      </c>
      <c r="AI67" s="4">
        <f t="shared" ca="1" si="25"/>
        <v>0.11</v>
      </c>
      <c r="AJ67" s="12">
        <f t="shared" ca="1" si="26"/>
        <v>0.183</v>
      </c>
      <c r="AK67" s="4">
        <f t="shared" ca="1" si="27"/>
        <v>0.12</v>
      </c>
      <c r="AL67" s="12">
        <f t="shared" ca="1" si="28"/>
        <v>0.161</v>
      </c>
      <c r="AM67" s="12">
        <f t="shared" ca="1" si="29"/>
        <v>0.6</v>
      </c>
      <c r="AN67" s="12">
        <f t="shared" ca="1" si="30"/>
        <v>0.4</v>
      </c>
      <c r="AO67" s="12">
        <f t="shared" ca="1" si="31"/>
        <v>0.2</v>
      </c>
      <c r="AP67" s="12">
        <f t="shared" ca="1" si="39"/>
        <v>0</v>
      </c>
      <c r="AQ67" s="12">
        <f t="shared" ca="1" si="40"/>
        <v>0</v>
      </c>
    </row>
    <row r="68" spans="1:43" ht="19.899999999999999" customHeight="1" x14ac:dyDescent="0.3">
      <c r="A68" s="4">
        <v>64</v>
      </c>
      <c r="B68" s="13" t="str">
        <f t="shared" ref="B68:D68" ca="1" si="102">INDIRECT(ADDRESS(ROW($B166),COLUMN()))</f>
        <v>HObbit</v>
      </c>
      <c r="C68" s="5">
        <f t="shared" ca="1" si="102"/>
        <v>15</v>
      </c>
      <c r="D68" s="6">
        <f t="shared" ca="1" si="102"/>
        <v>0.9</v>
      </c>
      <c r="E68" s="15">
        <f t="shared" ca="1" si="1"/>
        <v>-33</v>
      </c>
      <c r="F68" s="6">
        <f t="shared" ca="1" si="2"/>
        <v>0.57999999999999996</v>
      </c>
      <c r="G68" s="6">
        <f t="shared" ca="1" si="3"/>
        <v>0.67</v>
      </c>
      <c r="H68" s="7">
        <f t="shared" ca="1" si="4"/>
        <v>70.3</v>
      </c>
      <c r="I68" s="6">
        <f t="shared" ca="1" si="5"/>
        <v>-1.75</v>
      </c>
      <c r="J68" s="21">
        <f t="shared" ca="1" si="33"/>
        <v>71.3</v>
      </c>
      <c r="K68" s="20">
        <f t="shared" ca="1" si="34"/>
        <v>0.68</v>
      </c>
      <c r="L68" s="21">
        <f t="shared" ca="1" si="35"/>
        <v>66.099999999999994</v>
      </c>
      <c r="M68" s="20">
        <f t="shared" ca="1" si="36"/>
        <v>0.72</v>
      </c>
      <c r="N68" s="21">
        <f t="shared" ca="1" si="37"/>
        <v>69.599999999999994</v>
      </c>
      <c r="O68" s="20">
        <f t="shared" ca="1" si="38"/>
        <v>0.56999999999999995</v>
      </c>
      <c r="P68" s="4">
        <f t="shared" ca="1" si="6"/>
        <v>0</v>
      </c>
      <c r="Q68" s="11" t="str">
        <f t="shared" ca="1" si="7"/>
        <v>-</v>
      </c>
      <c r="R68" s="4">
        <f t="shared" ca="1" si="8"/>
        <v>0</v>
      </c>
      <c r="S68" s="11" t="str">
        <f t="shared" ca="1" si="9"/>
        <v>-</v>
      </c>
      <c r="T68" s="4">
        <f t="shared" ca="1" si="10"/>
        <v>6</v>
      </c>
      <c r="U68" s="11">
        <f t="shared" ca="1" si="11"/>
        <v>0.77</v>
      </c>
      <c r="V68" s="11">
        <f t="shared" ca="1" si="12"/>
        <v>0.94</v>
      </c>
      <c r="W68" s="11">
        <f t="shared" ca="1" si="13"/>
        <v>0.85</v>
      </c>
      <c r="X68" s="4">
        <f t="shared" ca="1" si="14"/>
        <v>0.85</v>
      </c>
      <c r="Y68" s="11">
        <f t="shared" ca="1" si="15"/>
        <v>0.82</v>
      </c>
      <c r="Z68" s="4">
        <f t="shared" ca="1" si="16"/>
        <v>94.2</v>
      </c>
      <c r="AA68" s="12">
        <f t="shared" ca="1" si="17"/>
        <v>9.0999999999999998E-2</v>
      </c>
      <c r="AB68" s="12">
        <f t="shared" ca="1" si="18"/>
        <v>0.217</v>
      </c>
      <c r="AC68" s="12">
        <f t="shared" ca="1" si="19"/>
        <v>0.41299999999999998</v>
      </c>
      <c r="AD68" s="17">
        <f t="shared" ca="1" si="20"/>
        <v>8.9855072463768115E-2</v>
      </c>
      <c r="AE68" s="11">
        <f t="shared" ca="1" si="21"/>
        <v>0.9</v>
      </c>
      <c r="AF68" s="12">
        <f t="shared" ca="1" si="22"/>
        <v>0.44637681159420289</v>
      </c>
      <c r="AG68" s="12">
        <f t="shared" ca="1" si="23"/>
        <v>0.11304347826086961</v>
      </c>
      <c r="AH68" s="4">
        <f t="shared" ca="1" si="24"/>
        <v>4</v>
      </c>
      <c r="AI68" s="4">
        <f t="shared" ca="1" si="25"/>
        <v>0.11</v>
      </c>
      <c r="AJ68" s="12">
        <f t="shared" ca="1" si="26"/>
        <v>0.19600000000000001</v>
      </c>
      <c r="AK68" s="4">
        <f t="shared" ca="1" si="27"/>
        <v>0.12</v>
      </c>
      <c r="AL68" s="12">
        <f t="shared" ca="1" si="28"/>
        <v>0.17699999999999999</v>
      </c>
      <c r="AM68" s="12">
        <f t="shared" ca="1" si="29"/>
        <v>0.6</v>
      </c>
      <c r="AN68" s="12">
        <f t="shared" ca="1" si="30"/>
        <v>0.4</v>
      </c>
      <c r="AO68" s="12">
        <f t="shared" ca="1" si="31"/>
        <v>0.26666666666666666</v>
      </c>
      <c r="AP68" s="12">
        <f t="shared" ca="1" si="39"/>
        <v>0.2</v>
      </c>
      <c r="AQ68" s="12">
        <f t="shared" ca="1" si="40"/>
        <v>0.2</v>
      </c>
    </row>
    <row r="69" spans="1:43" ht="19.899999999999999" customHeight="1" x14ac:dyDescent="0.3">
      <c r="A69" s="4">
        <v>65</v>
      </c>
      <c r="B69" s="13" t="str">
        <f t="shared" ref="B69:D69" ca="1" si="103">INDIRECT(ADDRESS(ROW($B167),COLUMN()))</f>
        <v>LNZ</v>
      </c>
      <c r="C69" s="5">
        <f t="shared" ca="1" si="103"/>
        <v>8</v>
      </c>
      <c r="D69" s="6">
        <f t="shared" ca="1" si="103"/>
        <v>0.86</v>
      </c>
      <c r="E69" s="15">
        <f t="shared" ref="E69:E84" ca="1" si="104">INDIRECT(ADDRESS(ROW($V167),COLUMN($V167)))</f>
        <v>-27</v>
      </c>
      <c r="F69" s="6">
        <f t="shared" ref="F69:F84" ca="1" si="105">INDIRECT(ADDRESS(ROW($P167),COLUMN($P167)))</f>
        <v>0.51</v>
      </c>
      <c r="G69" s="6">
        <f t="shared" ref="G69:G84" ca="1" si="106">INDIRECT(ADDRESS(ROW($L167),COLUMN($L167)))</f>
        <v>0.66</v>
      </c>
      <c r="H69" s="7">
        <f t="shared" ref="H69:H84" ca="1" si="107">INDIRECT(ADDRESS(ROW($O167),COLUMN($O167)))</f>
        <v>61.6</v>
      </c>
      <c r="I69" s="6">
        <f t="shared" ref="I69:I84" ca="1" si="108">INDIRECT(ADDRESS(ROW($N167),COLUMN($N167)))</f>
        <v>-2.92</v>
      </c>
      <c r="J69" s="21">
        <f t="shared" ca="1" si="33"/>
        <v>72.099999999999994</v>
      </c>
      <c r="K69" s="20">
        <f t="shared" ca="1" si="34"/>
        <v>0.66</v>
      </c>
      <c r="L69" s="21">
        <f t="shared" ca="1" si="35"/>
        <v>70</v>
      </c>
      <c r="M69" s="20">
        <f t="shared" ca="1" si="36"/>
        <v>0.86</v>
      </c>
      <c r="N69" s="21">
        <f t="shared" ca="1" si="37"/>
        <v>64</v>
      </c>
      <c r="O69" s="20">
        <f t="shared" ca="1" si="38"/>
        <v>0.53</v>
      </c>
      <c r="P69" s="4">
        <f t="shared" ref="P69:P84" ca="1" si="109">INDIRECT(ADDRESS(ROW($W167),COLUMN($W167)))</f>
        <v>0</v>
      </c>
      <c r="Q69" s="11" t="str">
        <f t="shared" ref="Q69:Q84" ca="1" si="110">INDIRECT(ADDRESS(ROW($X167),COLUMN($X167)))</f>
        <v>-</v>
      </c>
      <c r="R69" s="4">
        <f t="shared" ref="R69:R84" ca="1" si="111">INDIRECT(ADDRESS(ROW($Y167),COLUMN($Y167)))</f>
        <v>2</v>
      </c>
      <c r="S69" s="11">
        <f t="shared" ref="S69:S84" ca="1" si="112">INDIRECT(ADDRESS(ROW($Z167),COLUMN($Z167)))</f>
        <v>0.74</v>
      </c>
      <c r="T69" s="4">
        <f t="shared" ref="T69:T84" ca="1" si="113">INDIRECT(ADDRESS(ROW($AA167),COLUMN($AA167)))</f>
        <v>6</v>
      </c>
      <c r="U69" s="11">
        <f t="shared" ref="U69:U84" ca="1" si="114">INDIRECT(ADDRESS(ROW($AB167),COLUMN($AB167)))</f>
        <v>0.83</v>
      </c>
      <c r="V69" s="11">
        <f t="shared" ref="V69:V84" ca="1" si="115">INDIRECT(ADDRESS(ROW($F167),COLUMN($F167)))</f>
        <v>1.02</v>
      </c>
      <c r="W69" s="11">
        <f t="shared" ref="W69:W84" ca="1" si="116">INDIRECT(ADDRESS(ROW($G167),COLUMN($G167)))</f>
        <v>0.72</v>
      </c>
      <c r="X69" s="4">
        <f t="shared" ref="X69:X84" ca="1" si="117">INDIRECT(ADDRESS(ROW($K167),COLUMN($K167)))</f>
        <v>1.19</v>
      </c>
      <c r="Y69" s="11">
        <f t="shared" ref="Y69:Y84" ca="1" si="118">INDIRECT(ADDRESS(ROW($AN167),COLUMN($AN167)))</f>
        <v>0.68</v>
      </c>
      <c r="Z69" s="4">
        <f t="shared" ref="Z69:Z84" ca="1" si="119">INDIRECT(ADDRESS(ROW($AQ167),COLUMN($AQ167)))</f>
        <v>75.599999999999994</v>
      </c>
      <c r="AA69" s="12">
        <f t="shared" ref="AA69:AA84" ca="1" si="120">INDIRECT(ADDRESS(ROW($AS167),COLUMN($AS167)))</f>
        <v>7.5999999999999998E-2</v>
      </c>
      <c r="AB69" s="12">
        <f t="shared" ref="AB69:AB84" ca="1" si="121">INDIRECT(ADDRESS(ROW($H167),COLUMN($H167)))</f>
        <v>0.128</v>
      </c>
      <c r="AC69" s="12">
        <f t="shared" ref="AC69:AC84" ca="1" si="122">INDIRECT(ADDRESS(ROW($I167),COLUMN($I167)))</f>
        <v>0.39100000000000001</v>
      </c>
      <c r="AD69" s="17">
        <f t="shared" ref="AD69:AD84" ca="1" si="123">INDIRECT(ADDRESS(ROW($AC167),COLUMN($AC167)))</f>
        <v>5.027932960893855E-2</v>
      </c>
      <c r="AE69" s="11">
        <f t="shared" ref="AE69:AE84" ca="1" si="124">INDIRECT(ADDRESS(ROW($J167),COLUMN($J167)))</f>
        <v>0.79</v>
      </c>
      <c r="AF69" s="12">
        <f t="shared" ref="AF69:AF84" ca="1" si="125">INDIRECT(ADDRESS(ROW($AD167),COLUMN($AD167)))</f>
        <v>0.35754189944134079</v>
      </c>
      <c r="AG69" s="12">
        <f t="shared" ref="AG69:AG84" ca="1" si="126">INDIRECT(ADDRESS(ROW($AE167),COLUMN($AE167)))</f>
        <v>0.1229050279329609</v>
      </c>
      <c r="AH69" s="4">
        <f t="shared" ref="AH69:AH84" ca="1" si="127">INDIRECT(ADDRESS(ROW($AL167),COLUMN($AL167)))</f>
        <v>1</v>
      </c>
      <c r="AI69" s="4">
        <f t="shared" ref="AI69:AI84" ca="1" si="128">INDIRECT(ADDRESS(ROW($AY167),COLUMN($AY167)))</f>
        <v>0.11</v>
      </c>
      <c r="AJ69" s="12">
        <f t="shared" ref="AJ69:AJ84" ca="1" si="129">INDIRECT(ADDRESS(ROW($BY167),COLUMN($BY167)))</f>
        <v>0.217</v>
      </c>
      <c r="AK69" s="4">
        <f t="shared" ref="AK69:AK84" ca="1" si="130">INDIRECT(ADDRESS(ROW($BL167),COLUMN($BL167)))</f>
        <v>0.12</v>
      </c>
      <c r="AL69" s="12">
        <f t="shared" ref="AL69:AL84" ca="1" si="131">INDIRECT(ADDRESS(ROW($AZ167),COLUMN($AZ167)))</f>
        <v>0.17599999999999999</v>
      </c>
      <c r="AM69" s="12">
        <f t="shared" ref="AM69:AM84" ca="1" si="132">INDIRECT(ADDRESS(ROW($AG167),COLUMN($AG167)))/INDIRECT(ADDRESS(ROW($C167),COLUMN($C167)))</f>
        <v>0.625</v>
      </c>
      <c r="AN69" s="12">
        <f t="shared" ref="AN69:AN84" ca="1" si="133">INDIRECT(ADDRESS(ROW($AH167),COLUMN($AH167)))/INDIRECT(ADDRESS(ROW($C167),COLUMN($C167)))</f>
        <v>0.375</v>
      </c>
      <c r="AO69" s="12">
        <f t="shared" ref="AO69:AO84" ca="1" si="134">INDIRECT(ADDRESS(ROW($AI167),COLUMN($AI167)))/INDIRECT(ADDRESS(ROW($C167),COLUMN($C167)))</f>
        <v>0</v>
      </c>
      <c r="AP69" s="12">
        <f t="shared" ca="1" si="39"/>
        <v>0</v>
      </c>
      <c r="AQ69" s="12">
        <f t="shared" ca="1" si="40"/>
        <v>0</v>
      </c>
    </row>
    <row r="70" spans="1:43" ht="19.899999999999999" customHeight="1" x14ac:dyDescent="0.3">
      <c r="A70" s="4">
        <v>66</v>
      </c>
      <c r="B70" s="13" t="str">
        <f t="shared" ref="B70:D70" ca="1" si="135">INDIRECT(ADDRESS(ROW($B168),COLUMN()))</f>
        <v>Bymas</v>
      </c>
      <c r="C70" s="5">
        <f t="shared" ca="1" si="135"/>
        <v>5</v>
      </c>
      <c r="D70" s="6">
        <f t="shared" ca="1" si="135"/>
        <v>0.85</v>
      </c>
      <c r="E70" s="15">
        <f t="shared" ca="1" si="104"/>
        <v>-8</v>
      </c>
      <c r="F70" s="6">
        <f t="shared" ca="1" si="105"/>
        <v>0.53</v>
      </c>
      <c r="G70" s="6">
        <f t="shared" ca="1" si="106"/>
        <v>0.61</v>
      </c>
      <c r="H70" s="7">
        <f t="shared" ca="1" si="107"/>
        <v>57.5</v>
      </c>
      <c r="I70" s="6">
        <f t="shared" ca="1" si="108"/>
        <v>-2.09</v>
      </c>
      <c r="J70" s="21">
        <f t="shared" ref="J70:J84" ca="1" si="136">INDIRECT(ADDRESS(ROW($M168),COLUMN($M168)))</f>
        <v>73.8</v>
      </c>
      <c r="K70" s="20">
        <f t="shared" ref="K70:K84" ca="1" si="137">INDIRECT(ADDRESS(ROW($Q168),COLUMN($Q168)))</f>
        <v>0.63</v>
      </c>
      <c r="L70" s="21">
        <f t="shared" ref="L70:L84" ca="1" si="138">INDIRECT(ADDRESS(ROW($R168),COLUMN($R168)))</f>
        <v>65</v>
      </c>
      <c r="M70" s="20">
        <f t="shared" ref="M70:M84" ca="1" si="139">INDIRECT(ADDRESS(ROW($S168),COLUMN($S168)))</f>
        <v>0.8</v>
      </c>
      <c r="N70" s="21">
        <f t="shared" ref="N70:N84" ca="1" si="140">INDIRECT(ADDRESS(ROW($T168),COLUMN($T168)))</f>
        <v>57.7</v>
      </c>
      <c r="O70" s="20">
        <f t="shared" ref="O70:O84" ca="1" si="141">INDIRECT(ADDRESS(ROW($U168),COLUMN($U168)))</f>
        <v>0.55000000000000004</v>
      </c>
      <c r="P70" s="4">
        <f t="shared" ca="1" si="109"/>
        <v>0</v>
      </c>
      <c r="Q70" s="11" t="str">
        <f t="shared" ca="1" si="110"/>
        <v>-</v>
      </c>
      <c r="R70" s="4">
        <f t="shared" ca="1" si="111"/>
        <v>0</v>
      </c>
      <c r="S70" s="11" t="str">
        <f t="shared" ca="1" si="112"/>
        <v>-</v>
      </c>
      <c r="T70" s="4">
        <f t="shared" ca="1" si="113"/>
        <v>0</v>
      </c>
      <c r="U70" s="11" t="str">
        <f t="shared" ca="1" si="114"/>
        <v>-</v>
      </c>
      <c r="V70" s="11">
        <f t="shared" ca="1" si="115"/>
        <v>0.79</v>
      </c>
      <c r="W70" s="11">
        <f t="shared" ca="1" si="116"/>
        <v>0.91</v>
      </c>
      <c r="X70" s="4">
        <f t="shared" ca="1" si="117"/>
        <v>0.56000000000000005</v>
      </c>
      <c r="Y70" s="11">
        <f t="shared" ca="1" si="118"/>
        <v>0.67</v>
      </c>
      <c r="Z70" s="4">
        <f t="shared" ca="1" si="119"/>
        <v>66.599999999999994</v>
      </c>
      <c r="AA70" s="12">
        <f t="shared" ca="1" si="120"/>
        <v>0.186</v>
      </c>
      <c r="AB70" s="12">
        <f t="shared" ca="1" si="121"/>
        <v>0.13100000000000001</v>
      </c>
      <c r="AC70" s="12">
        <f t="shared" ca="1" si="122"/>
        <v>0.5</v>
      </c>
      <c r="AD70" s="17">
        <f t="shared" ca="1" si="123"/>
        <v>6.5420560747663545E-2</v>
      </c>
      <c r="AE70" s="11">
        <f t="shared" ca="1" si="124"/>
        <v>0.88</v>
      </c>
      <c r="AF70" s="12">
        <f t="shared" ca="1" si="125"/>
        <v>0.41121495327102803</v>
      </c>
      <c r="AG70" s="12">
        <f t="shared" ca="1" si="126"/>
        <v>0.10280373831775701</v>
      </c>
      <c r="AH70" s="4">
        <f t="shared" ca="1" si="127"/>
        <v>1</v>
      </c>
      <c r="AI70" s="4">
        <f t="shared" ca="1" si="128"/>
        <v>0.08</v>
      </c>
      <c r="AJ70" s="12">
        <f t="shared" ca="1" si="129"/>
        <v>0.158</v>
      </c>
      <c r="AK70" s="4">
        <f t="shared" ca="1" si="130"/>
        <v>0.09</v>
      </c>
      <c r="AL70" s="12">
        <f t="shared" ca="1" si="131"/>
        <v>0.154</v>
      </c>
      <c r="AM70" s="12">
        <f t="shared" ca="1" si="132"/>
        <v>0.6</v>
      </c>
      <c r="AN70" s="12">
        <f t="shared" ca="1" si="133"/>
        <v>0</v>
      </c>
      <c r="AO70" s="12">
        <f t="shared" ca="1" si="134"/>
        <v>0</v>
      </c>
      <c r="AP70" s="12">
        <f t="shared" ref="AP70:AP84" ca="1" si="142">INDIRECT(ADDRESS(ROW($AJ168),COLUMN($AJ168)))/INDIRECT(ADDRESS(ROW($C168),COLUMN($C168)))</f>
        <v>0</v>
      </c>
      <c r="AQ70" s="12">
        <f t="shared" ref="AQ70:AQ84" ca="1" si="143">INDIRECT(ADDRESS(ROW($AK168),COLUMN($AK168)))/INDIRECT(ADDRESS(ROW($C168),COLUMN($C168)))</f>
        <v>0</v>
      </c>
    </row>
    <row r="71" spans="1:43" ht="19.899999999999999" customHeight="1" x14ac:dyDescent="0.3">
      <c r="A71" s="4">
        <v>67</v>
      </c>
      <c r="B71" s="13" t="str">
        <f t="shared" ref="B71:D71" ca="1" si="144">INDIRECT(ADDRESS(ROW($B169),COLUMN()))</f>
        <v>AZUWU</v>
      </c>
      <c r="C71" s="5">
        <f t="shared" ca="1" si="144"/>
        <v>5</v>
      </c>
      <c r="D71" s="6">
        <f t="shared" ca="1" si="144"/>
        <v>0.83</v>
      </c>
      <c r="E71" s="15">
        <f t="shared" ca="1" si="104"/>
        <v>-15</v>
      </c>
      <c r="F71" s="6">
        <f t="shared" ca="1" si="105"/>
        <v>0.57999999999999996</v>
      </c>
      <c r="G71" s="6">
        <f t="shared" ca="1" si="106"/>
        <v>0.72</v>
      </c>
      <c r="H71" s="7">
        <f t="shared" ca="1" si="107"/>
        <v>69.5</v>
      </c>
      <c r="I71" s="6">
        <f t="shared" ca="1" si="108"/>
        <v>-2.58</v>
      </c>
      <c r="J71" s="21">
        <f t="shared" ca="1" si="136"/>
        <v>61.7</v>
      </c>
      <c r="K71" s="20">
        <f t="shared" ca="1" si="137"/>
        <v>0.76</v>
      </c>
      <c r="L71" s="21">
        <f t="shared" ca="1" si="138"/>
        <v>62.6</v>
      </c>
      <c r="M71" s="20">
        <f t="shared" ca="1" si="139"/>
        <v>1.08</v>
      </c>
      <c r="N71" s="21">
        <f t="shared" ca="1" si="140"/>
        <v>68.7</v>
      </c>
      <c r="O71" s="20">
        <f t="shared" ca="1" si="141"/>
        <v>0.57999999999999996</v>
      </c>
      <c r="P71" s="4">
        <f t="shared" ca="1" si="109"/>
        <v>0</v>
      </c>
      <c r="Q71" s="11" t="str">
        <f t="shared" ca="1" si="110"/>
        <v>-</v>
      </c>
      <c r="R71" s="4">
        <f t="shared" ca="1" si="111"/>
        <v>0</v>
      </c>
      <c r="S71" s="11" t="str">
        <f t="shared" ca="1" si="112"/>
        <v>-</v>
      </c>
      <c r="T71" s="4">
        <f t="shared" ca="1" si="113"/>
        <v>0</v>
      </c>
      <c r="U71" s="11" t="str">
        <f t="shared" ca="1" si="114"/>
        <v>-</v>
      </c>
      <c r="V71" s="11">
        <f t="shared" ca="1" si="115"/>
        <v>0.76</v>
      </c>
      <c r="W71" s="11">
        <f t="shared" ca="1" si="116"/>
        <v>0.91</v>
      </c>
      <c r="X71" s="4">
        <f t="shared" ca="1" si="117"/>
        <v>0.53</v>
      </c>
      <c r="Y71" s="11">
        <f t="shared" ca="1" si="118"/>
        <v>0.98</v>
      </c>
      <c r="Z71" s="4">
        <f t="shared" ca="1" si="119"/>
        <v>100</v>
      </c>
      <c r="AA71" s="12">
        <f t="shared" ca="1" si="120"/>
        <v>0.10199999999999999</v>
      </c>
      <c r="AB71" s="12">
        <f t="shared" ca="1" si="121"/>
        <v>0.29899999999999999</v>
      </c>
      <c r="AC71" s="12">
        <f t="shared" ca="1" si="122"/>
        <v>0.40600000000000003</v>
      </c>
      <c r="AD71" s="17">
        <f t="shared" ca="1" si="123"/>
        <v>0.1214953271028037</v>
      </c>
      <c r="AE71" s="11">
        <f t="shared" ca="1" si="124"/>
        <v>0.98</v>
      </c>
      <c r="AF71" s="12">
        <f t="shared" ca="1" si="125"/>
        <v>0.37383177570093462</v>
      </c>
      <c r="AG71" s="12">
        <f t="shared" ca="1" si="126"/>
        <v>0.14953271028037379</v>
      </c>
      <c r="AH71" s="4">
        <f t="shared" ca="1" si="127"/>
        <v>2</v>
      </c>
      <c r="AI71" s="4">
        <f t="shared" ca="1" si="128"/>
        <v>0.14000000000000001</v>
      </c>
      <c r="AJ71" s="12">
        <f t="shared" ca="1" si="129"/>
        <v>0.24199999999999999</v>
      </c>
      <c r="AK71" s="4">
        <f t="shared" ca="1" si="130"/>
        <v>0.15</v>
      </c>
      <c r="AL71" s="12">
        <f t="shared" ca="1" si="131"/>
        <v>0.20799999999999999</v>
      </c>
      <c r="AM71" s="12">
        <f t="shared" ca="1" si="132"/>
        <v>0.4</v>
      </c>
      <c r="AN71" s="12">
        <f t="shared" ca="1" si="133"/>
        <v>0.4</v>
      </c>
      <c r="AO71" s="12">
        <f t="shared" ca="1" si="134"/>
        <v>0.2</v>
      </c>
      <c r="AP71" s="12">
        <f t="shared" ca="1" si="142"/>
        <v>0.2</v>
      </c>
      <c r="AQ71" s="12">
        <f t="shared" ca="1" si="143"/>
        <v>0.2</v>
      </c>
    </row>
    <row r="72" spans="1:43" ht="19.899999999999999" customHeight="1" x14ac:dyDescent="0.3">
      <c r="A72" s="4">
        <v>68</v>
      </c>
      <c r="B72" s="13" t="str">
        <f t="shared" ref="B72:D72" ca="1" si="145">INDIRECT(ADDRESS(ROW($B170),COLUMN()))</f>
        <v>misutaaa</v>
      </c>
      <c r="C72" s="5">
        <f t="shared" ca="1" si="145"/>
        <v>5</v>
      </c>
      <c r="D72" s="6">
        <f t="shared" ca="1" si="145"/>
        <v>0.83</v>
      </c>
      <c r="E72" s="15">
        <f t="shared" ca="1" si="104"/>
        <v>-18</v>
      </c>
      <c r="F72" s="6">
        <f t="shared" ca="1" si="105"/>
        <v>0.56000000000000005</v>
      </c>
      <c r="G72" s="6">
        <f t="shared" ca="1" si="106"/>
        <v>0.74</v>
      </c>
      <c r="H72" s="7">
        <f t="shared" ca="1" si="107"/>
        <v>61.6</v>
      </c>
      <c r="I72" s="6">
        <f t="shared" ca="1" si="108"/>
        <v>-2.15</v>
      </c>
      <c r="J72" s="21">
        <f t="shared" ca="1" si="136"/>
        <v>56.9</v>
      </c>
      <c r="K72" s="20">
        <f t="shared" ca="1" si="137"/>
        <v>0.74</v>
      </c>
      <c r="L72" s="21">
        <f t="shared" ca="1" si="138"/>
        <v>52.9</v>
      </c>
      <c r="M72" s="20">
        <f t="shared" ca="1" si="139"/>
        <v>1.21</v>
      </c>
      <c r="N72" s="21">
        <f t="shared" ca="1" si="140"/>
        <v>62.6</v>
      </c>
      <c r="O72" s="20">
        <f t="shared" ca="1" si="141"/>
        <v>0.59</v>
      </c>
      <c r="P72" s="4">
        <f t="shared" ca="1" si="109"/>
        <v>0</v>
      </c>
      <c r="Q72" s="11" t="str">
        <f t="shared" ca="1" si="110"/>
        <v>-</v>
      </c>
      <c r="R72" s="4">
        <f t="shared" ca="1" si="111"/>
        <v>1</v>
      </c>
      <c r="S72" s="11">
        <f t="shared" ca="1" si="112"/>
        <v>1.0900000000000001</v>
      </c>
      <c r="T72" s="4">
        <f t="shared" ca="1" si="113"/>
        <v>1</v>
      </c>
      <c r="U72" s="11">
        <f t="shared" ca="1" si="114"/>
        <v>1.0900000000000001</v>
      </c>
      <c r="V72" s="11">
        <f t="shared" ca="1" si="115"/>
        <v>0.97</v>
      </c>
      <c r="W72" s="11">
        <f t="shared" ca="1" si="116"/>
        <v>0.64</v>
      </c>
      <c r="X72" s="4">
        <f t="shared" ca="1" si="117"/>
        <v>0.57999999999999996</v>
      </c>
      <c r="Y72" s="11">
        <f t="shared" ca="1" si="118"/>
        <v>1.19</v>
      </c>
      <c r="Z72" s="4">
        <f t="shared" ca="1" si="119"/>
        <v>117</v>
      </c>
      <c r="AA72" s="12">
        <f t="shared" ca="1" si="120"/>
        <v>9.0999999999999998E-2</v>
      </c>
      <c r="AB72" s="12">
        <f t="shared" ca="1" si="121"/>
        <v>0.186</v>
      </c>
      <c r="AC72" s="12">
        <f t="shared" ca="1" si="122"/>
        <v>0.42099999999999999</v>
      </c>
      <c r="AD72" s="17">
        <f t="shared" ca="1" si="123"/>
        <v>7.8431372549019607E-2</v>
      </c>
      <c r="AE72" s="11">
        <f t="shared" ca="1" si="124"/>
        <v>0.88</v>
      </c>
      <c r="AF72" s="12">
        <f t="shared" ca="1" si="125"/>
        <v>0.34313725490196079</v>
      </c>
      <c r="AG72" s="12">
        <f t="shared" ca="1" si="126"/>
        <v>0.1470588235294118</v>
      </c>
      <c r="AH72" s="4">
        <f t="shared" ca="1" si="127"/>
        <v>2</v>
      </c>
      <c r="AI72" s="4">
        <f t="shared" ca="1" si="128"/>
        <v>0.11</v>
      </c>
      <c r="AJ72" s="12">
        <f t="shared" ca="1" si="129"/>
        <v>0.193</v>
      </c>
      <c r="AK72" s="4">
        <f t="shared" ca="1" si="130"/>
        <v>0.1</v>
      </c>
      <c r="AL72" s="12">
        <f t="shared" ca="1" si="131"/>
        <v>0.13300000000000001</v>
      </c>
      <c r="AM72" s="12">
        <f t="shared" ca="1" si="132"/>
        <v>0.4</v>
      </c>
      <c r="AN72" s="12">
        <f t="shared" ca="1" si="133"/>
        <v>0.4</v>
      </c>
      <c r="AO72" s="12">
        <f t="shared" ca="1" si="134"/>
        <v>0.2</v>
      </c>
      <c r="AP72" s="12">
        <f t="shared" ca="1" si="142"/>
        <v>0</v>
      </c>
      <c r="AQ72" s="12">
        <f t="shared" ca="1" si="143"/>
        <v>0</v>
      </c>
    </row>
    <row r="73" spans="1:43" ht="19.899999999999999" customHeight="1" x14ac:dyDescent="0.3">
      <c r="A73" s="4">
        <v>69</v>
      </c>
      <c r="B73" s="13" t="str">
        <f t="shared" ref="B73:D73" ca="1" si="146">INDIRECT(ADDRESS(ROW($B171),COLUMN()))</f>
        <v>S1ren</v>
      </c>
      <c r="C73" s="5">
        <f t="shared" ca="1" si="146"/>
        <v>7</v>
      </c>
      <c r="D73" s="6">
        <f t="shared" ca="1" si="146"/>
        <v>0.82</v>
      </c>
      <c r="E73" s="15">
        <f t="shared" ca="1" si="104"/>
        <v>-28</v>
      </c>
      <c r="F73" s="6">
        <f t="shared" ca="1" si="105"/>
        <v>0.51</v>
      </c>
      <c r="G73" s="6">
        <f t="shared" ca="1" si="106"/>
        <v>0.7</v>
      </c>
      <c r="H73" s="7">
        <f t="shared" ca="1" si="107"/>
        <v>61.2</v>
      </c>
      <c r="I73" s="6">
        <f t="shared" ca="1" si="108"/>
        <v>-2.84</v>
      </c>
      <c r="J73" s="21">
        <f t="shared" ca="1" si="136"/>
        <v>68.5</v>
      </c>
      <c r="K73" s="20">
        <f t="shared" ca="1" si="137"/>
        <v>0.71</v>
      </c>
      <c r="L73" s="21">
        <f t="shared" ca="1" si="138"/>
        <v>68.2</v>
      </c>
      <c r="M73" s="20">
        <f t="shared" ca="1" si="139"/>
        <v>0.78</v>
      </c>
      <c r="N73" s="21">
        <f t="shared" ca="1" si="140"/>
        <v>61.4</v>
      </c>
      <c r="O73" s="20">
        <f t="shared" ca="1" si="141"/>
        <v>0.51</v>
      </c>
      <c r="P73" s="4">
        <f t="shared" ca="1" si="109"/>
        <v>0</v>
      </c>
      <c r="Q73" s="11" t="str">
        <f t="shared" ca="1" si="110"/>
        <v>-</v>
      </c>
      <c r="R73" s="4">
        <f t="shared" ca="1" si="111"/>
        <v>0</v>
      </c>
      <c r="S73" s="11" t="str">
        <f t="shared" ca="1" si="112"/>
        <v>-</v>
      </c>
      <c r="T73" s="4">
        <f t="shared" ca="1" si="113"/>
        <v>2</v>
      </c>
      <c r="U73" s="11">
        <f t="shared" ca="1" si="114"/>
        <v>0.44</v>
      </c>
      <c r="V73" s="11">
        <f t="shared" ca="1" si="115"/>
        <v>0.94</v>
      </c>
      <c r="W73" s="11">
        <f t="shared" ca="1" si="116"/>
        <v>0.72</v>
      </c>
      <c r="X73" s="4">
        <f t="shared" ca="1" si="117"/>
        <v>0.6</v>
      </c>
      <c r="Y73" s="11">
        <f t="shared" ca="1" si="118"/>
        <v>0.77</v>
      </c>
      <c r="Z73" s="4">
        <f t="shared" ca="1" si="119"/>
        <v>84.7</v>
      </c>
      <c r="AA73" s="12">
        <f t="shared" ca="1" si="120"/>
        <v>2.7E-2</v>
      </c>
      <c r="AB73" s="12">
        <f t="shared" ca="1" si="121"/>
        <v>0.17100000000000001</v>
      </c>
      <c r="AC73" s="12">
        <f t="shared" ca="1" si="122"/>
        <v>0.36</v>
      </c>
      <c r="AD73" s="17">
        <f t="shared" ca="1" si="123"/>
        <v>6.1643835616438353E-2</v>
      </c>
      <c r="AE73" s="11">
        <f t="shared" ca="1" si="124"/>
        <v>0.79</v>
      </c>
      <c r="AF73" s="12">
        <f t="shared" ca="1" si="125"/>
        <v>0.36986301369863012</v>
      </c>
      <c r="AG73" s="12">
        <f t="shared" ca="1" si="126"/>
        <v>0.1095890410958904</v>
      </c>
      <c r="AH73" s="4">
        <f t="shared" ca="1" si="127"/>
        <v>0</v>
      </c>
      <c r="AI73" s="4">
        <f t="shared" ca="1" si="128"/>
        <v>0.18</v>
      </c>
      <c r="AJ73" s="12">
        <f t="shared" ca="1" si="129"/>
        <v>0.35099999999999998</v>
      </c>
      <c r="AK73" s="4">
        <f t="shared" ca="1" si="130"/>
        <v>0.22</v>
      </c>
      <c r="AL73" s="12">
        <f t="shared" ca="1" si="131"/>
        <v>0.314</v>
      </c>
      <c r="AM73" s="12">
        <f t="shared" ca="1" si="132"/>
        <v>0.5714285714285714</v>
      </c>
      <c r="AN73" s="12">
        <f t="shared" ca="1" si="133"/>
        <v>0.42857142857142855</v>
      </c>
      <c r="AO73" s="12">
        <f t="shared" ca="1" si="134"/>
        <v>0.14285714285714285</v>
      </c>
      <c r="AP73" s="12">
        <f t="shared" ca="1" si="142"/>
        <v>0</v>
      </c>
      <c r="AQ73" s="12">
        <f t="shared" ca="1" si="143"/>
        <v>0</v>
      </c>
    </row>
    <row r="74" spans="1:43" ht="19.899999999999999" customHeight="1" x14ac:dyDescent="0.3">
      <c r="A74" s="4">
        <v>70</v>
      </c>
      <c r="B74" s="13" t="str">
        <f t="shared" ref="B74:D74" ca="1" si="147">INDIRECT(ADDRESS(ROW($B172),COLUMN()))</f>
        <v>dex</v>
      </c>
      <c r="C74" s="5">
        <f t="shared" ca="1" si="147"/>
        <v>10</v>
      </c>
      <c r="D74" s="6">
        <f t="shared" ca="1" si="147"/>
        <v>0.79</v>
      </c>
      <c r="E74" s="15">
        <f t="shared" ca="1" si="104"/>
        <v>-34</v>
      </c>
      <c r="F74" s="6">
        <f t="shared" ca="1" si="105"/>
        <v>0.56999999999999995</v>
      </c>
      <c r="G74" s="6">
        <f t="shared" ca="1" si="106"/>
        <v>0.7</v>
      </c>
      <c r="H74" s="7">
        <f t="shared" ca="1" si="107"/>
        <v>63.8</v>
      </c>
      <c r="I74" s="6">
        <f t="shared" ca="1" si="108"/>
        <v>-3.09</v>
      </c>
      <c r="J74" s="21">
        <f t="shared" ca="1" si="136"/>
        <v>64.599999999999994</v>
      </c>
      <c r="K74" s="20">
        <f t="shared" ca="1" si="137"/>
        <v>0.71</v>
      </c>
      <c r="L74" s="21">
        <f t="shared" ca="1" si="138"/>
        <v>60.5</v>
      </c>
      <c r="M74" s="20">
        <f t="shared" ca="1" si="139"/>
        <v>0.88</v>
      </c>
      <c r="N74" s="21">
        <f t="shared" ca="1" si="140"/>
        <v>63.5</v>
      </c>
      <c r="O74" s="20">
        <f t="shared" ca="1" si="141"/>
        <v>0.56000000000000005</v>
      </c>
      <c r="P74" s="4">
        <f t="shared" ca="1" si="109"/>
        <v>0</v>
      </c>
      <c r="Q74" s="11" t="str">
        <f t="shared" ca="1" si="110"/>
        <v>-</v>
      </c>
      <c r="R74" s="4">
        <f t="shared" ca="1" si="111"/>
        <v>1</v>
      </c>
      <c r="S74" s="11">
        <f t="shared" ca="1" si="112"/>
        <v>0.88</v>
      </c>
      <c r="T74" s="4">
        <f t="shared" ca="1" si="113"/>
        <v>1</v>
      </c>
      <c r="U74" s="11">
        <f t="shared" ca="1" si="114"/>
        <v>0.88</v>
      </c>
      <c r="V74" s="11">
        <f t="shared" ca="1" si="115"/>
        <v>0.79</v>
      </c>
      <c r="W74" s="11">
        <f t="shared" ca="1" si="116"/>
        <v>0.8</v>
      </c>
      <c r="X74" s="4">
        <f t="shared" ca="1" si="117"/>
        <v>0.47</v>
      </c>
      <c r="Y74" s="11">
        <f t="shared" ca="1" si="118"/>
        <v>0.89</v>
      </c>
      <c r="Z74" s="4">
        <f t="shared" ca="1" si="119"/>
        <v>93.9</v>
      </c>
      <c r="AA74" s="12">
        <f t="shared" ca="1" si="120"/>
        <v>8.2000000000000003E-2</v>
      </c>
      <c r="AB74" s="12">
        <f t="shared" ca="1" si="121"/>
        <v>0.23200000000000001</v>
      </c>
      <c r="AC74" s="12">
        <f t="shared" ca="1" si="122"/>
        <v>0.33900000000000002</v>
      </c>
      <c r="AD74" s="17">
        <f t="shared" ca="1" si="123"/>
        <v>7.874015748031496E-2</v>
      </c>
      <c r="AE74" s="11">
        <f t="shared" ca="1" si="124"/>
        <v>0.8</v>
      </c>
      <c r="AF74" s="12">
        <f t="shared" ca="1" si="125"/>
        <v>0.40157480314960631</v>
      </c>
      <c r="AG74" s="12">
        <f t="shared" ca="1" si="126"/>
        <v>0.12598425196850391</v>
      </c>
      <c r="AH74" s="4">
        <f t="shared" ca="1" si="127"/>
        <v>1</v>
      </c>
      <c r="AI74" s="4">
        <f t="shared" ca="1" si="128"/>
        <v>0.12</v>
      </c>
      <c r="AJ74" s="12">
        <f t="shared" ca="1" si="129"/>
        <v>0.215</v>
      </c>
      <c r="AK74" s="4">
        <f t="shared" ca="1" si="130"/>
        <v>0.09</v>
      </c>
      <c r="AL74" s="12">
        <f t="shared" ca="1" si="131"/>
        <v>0.13500000000000001</v>
      </c>
      <c r="AM74" s="12">
        <f t="shared" ca="1" si="132"/>
        <v>0.3</v>
      </c>
      <c r="AN74" s="12">
        <f t="shared" ca="1" si="133"/>
        <v>0.1</v>
      </c>
      <c r="AO74" s="12">
        <f t="shared" ca="1" si="134"/>
        <v>0</v>
      </c>
      <c r="AP74" s="12">
        <f t="shared" ca="1" si="142"/>
        <v>0</v>
      </c>
      <c r="AQ74" s="12">
        <f t="shared" ca="1" si="143"/>
        <v>0</v>
      </c>
    </row>
    <row r="75" spans="1:43" ht="19.899999999999999" customHeight="1" x14ac:dyDescent="0.3">
      <c r="A75" s="4">
        <v>71</v>
      </c>
      <c r="B75" s="13" t="str">
        <f t="shared" ref="B75:D75" ca="1" si="148">INDIRECT(ADDRESS(ROW($B173),COLUMN()))</f>
        <v>alex666</v>
      </c>
      <c r="C75" s="5">
        <f t="shared" ca="1" si="148"/>
        <v>7</v>
      </c>
      <c r="D75" s="6">
        <f t="shared" ca="1" si="148"/>
        <v>0.79</v>
      </c>
      <c r="E75" s="15">
        <f t="shared" ca="1" si="104"/>
        <v>-37</v>
      </c>
      <c r="F75" s="6">
        <f t="shared" ca="1" si="105"/>
        <v>0.47</v>
      </c>
      <c r="G75" s="6">
        <f t="shared" ca="1" si="106"/>
        <v>0.68</v>
      </c>
      <c r="H75" s="7">
        <f t="shared" ca="1" si="107"/>
        <v>60.9</v>
      </c>
      <c r="I75" s="6">
        <f t="shared" ca="1" si="108"/>
        <v>-2.52</v>
      </c>
      <c r="J75" s="21">
        <f t="shared" ca="1" si="136"/>
        <v>67.599999999999994</v>
      </c>
      <c r="K75" s="20">
        <f t="shared" ca="1" si="137"/>
        <v>0.68</v>
      </c>
      <c r="L75" s="21">
        <f t="shared" ca="1" si="138"/>
        <v>66.099999999999994</v>
      </c>
      <c r="M75" s="20">
        <f t="shared" ca="1" si="139"/>
        <v>0.65</v>
      </c>
      <c r="N75" s="21">
        <f t="shared" ca="1" si="140"/>
        <v>63.2</v>
      </c>
      <c r="O75" s="20">
        <f t="shared" ca="1" si="141"/>
        <v>0.49</v>
      </c>
      <c r="P75" s="4">
        <f t="shared" ca="1" si="109"/>
        <v>0</v>
      </c>
      <c r="Q75" s="11" t="str">
        <f t="shared" ca="1" si="110"/>
        <v>-</v>
      </c>
      <c r="R75" s="4">
        <f t="shared" ca="1" si="111"/>
        <v>0</v>
      </c>
      <c r="S75" s="11" t="str">
        <f t="shared" ca="1" si="112"/>
        <v>-</v>
      </c>
      <c r="T75" s="4">
        <f t="shared" ca="1" si="113"/>
        <v>0</v>
      </c>
      <c r="U75" s="11" t="str">
        <f t="shared" ca="1" si="114"/>
        <v>-</v>
      </c>
      <c r="V75" s="11">
        <f t="shared" ca="1" si="115"/>
        <v>0.91</v>
      </c>
      <c r="W75" s="11">
        <f t="shared" ca="1" si="116"/>
        <v>0.68</v>
      </c>
      <c r="X75" s="4">
        <f t="shared" ca="1" si="117"/>
        <v>0.57999999999999996</v>
      </c>
      <c r="Y75" s="11">
        <f t="shared" ca="1" si="118"/>
        <v>0.67</v>
      </c>
      <c r="Z75" s="4">
        <f t="shared" ca="1" si="119"/>
        <v>79</v>
      </c>
      <c r="AA75" s="12">
        <f t="shared" ca="1" si="120"/>
        <v>4.4999999999999998E-2</v>
      </c>
      <c r="AB75" s="12">
        <f t="shared" ca="1" si="121"/>
        <v>0.16800000000000001</v>
      </c>
      <c r="AC75" s="12">
        <f t="shared" ca="1" si="122"/>
        <v>0.34499999999999997</v>
      </c>
      <c r="AD75" s="17">
        <f t="shared" ca="1" si="123"/>
        <v>5.7803468208092477E-2</v>
      </c>
      <c r="AE75" s="11">
        <f t="shared" ca="1" si="124"/>
        <v>0.77</v>
      </c>
      <c r="AF75" s="12">
        <f t="shared" ca="1" si="125"/>
        <v>0.36416184971098259</v>
      </c>
      <c r="AG75" s="12">
        <f t="shared" ca="1" si="126"/>
        <v>0.10404624277456651</v>
      </c>
      <c r="AH75" s="4">
        <f t="shared" ca="1" si="127"/>
        <v>0</v>
      </c>
      <c r="AI75" s="4">
        <f t="shared" ca="1" si="128"/>
        <v>0.12</v>
      </c>
      <c r="AJ75" s="12">
        <f t="shared" ca="1" si="129"/>
        <v>0.25900000000000001</v>
      </c>
      <c r="AK75" s="4">
        <f t="shared" ca="1" si="130"/>
        <v>0.12</v>
      </c>
      <c r="AL75" s="12">
        <f t="shared" ca="1" si="131"/>
        <v>0.17799999999999999</v>
      </c>
      <c r="AM75" s="12">
        <f t="shared" ca="1" si="132"/>
        <v>0.42857142857142855</v>
      </c>
      <c r="AN75" s="12">
        <f t="shared" ca="1" si="133"/>
        <v>0.14285714285714285</v>
      </c>
      <c r="AO75" s="12">
        <f t="shared" ca="1" si="134"/>
        <v>0</v>
      </c>
      <c r="AP75" s="12">
        <f t="shared" ca="1" si="142"/>
        <v>0</v>
      </c>
      <c r="AQ75" s="12">
        <f t="shared" ca="1" si="143"/>
        <v>0</v>
      </c>
    </row>
    <row r="76" spans="1:43" ht="19.899999999999999" customHeight="1" x14ac:dyDescent="0.3">
      <c r="A76" s="4">
        <v>72</v>
      </c>
      <c r="B76" s="13" t="str">
        <f t="shared" ref="B76:D76" ca="1" si="149">INDIRECT(ADDRESS(ROW($B174),COLUMN()))</f>
        <v>stressarN</v>
      </c>
      <c r="C76" s="5">
        <f t="shared" ca="1" si="149"/>
        <v>4</v>
      </c>
      <c r="D76" s="6">
        <f t="shared" ca="1" si="149"/>
        <v>0.79</v>
      </c>
      <c r="E76" s="15">
        <f t="shared" ca="1" si="104"/>
        <v>-14</v>
      </c>
      <c r="F76" s="6">
        <f t="shared" ca="1" si="105"/>
        <v>0.61</v>
      </c>
      <c r="G76" s="6">
        <f t="shared" ca="1" si="106"/>
        <v>0.81</v>
      </c>
      <c r="H76" s="7">
        <f t="shared" ca="1" si="107"/>
        <v>62.7</v>
      </c>
      <c r="I76" s="6">
        <f t="shared" ca="1" si="108"/>
        <v>-3.96</v>
      </c>
      <c r="J76" s="21">
        <f t="shared" ca="1" si="136"/>
        <v>52.9</v>
      </c>
      <c r="K76" s="20">
        <f t="shared" ca="1" si="137"/>
        <v>0.82</v>
      </c>
      <c r="L76" s="21">
        <f t="shared" ca="1" si="138"/>
        <v>53.2</v>
      </c>
      <c r="M76" s="20">
        <f t="shared" ca="1" si="139"/>
        <v>1.25</v>
      </c>
      <c r="N76" s="21">
        <f t="shared" ca="1" si="140"/>
        <v>63.7</v>
      </c>
      <c r="O76" s="20">
        <f t="shared" ca="1" si="141"/>
        <v>0.64</v>
      </c>
      <c r="P76" s="4">
        <f t="shared" ca="1" si="109"/>
        <v>0</v>
      </c>
      <c r="Q76" s="11" t="str">
        <f t="shared" ca="1" si="110"/>
        <v>-</v>
      </c>
      <c r="R76" s="4">
        <f t="shared" ca="1" si="111"/>
        <v>2</v>
      </c>
      <c r="S76" s="11">
        <f t="shared" ca="1" si="112"/>
        <v>0.66</v>
      </c>
      <c r="T76" s="4">
        <f t="shared" ca="1" si="113"/>
        <v>2</v>
      </c>
      <c r="U76" s="11">
        <f t="shared" ca="1" si="114"/>
        <v>0.66</v>
      </c>
      <c r="V76" s="11">
        <f t="shared" ca="1" si="115"/>
        <v>1.1299999999999999</v>
      </c>
      <c r="W76" s="11">
        <f t="shared" ca="1" si="116"/>
        <v>0.51</v>
      </c>
      <c r="X76" s="4">
        <f t="shared" ca="1" si="117"/>
        <v>0.96</v>
      </c>
      <c r="Y76" s="11">
        <f t="shared" ca="1" si="118"/>
        <v>1.28</v>
      </c>
      <c r="Z76" s="4">
        <f t="shared" ca="1" si="119"/>
        <v>116.8</v>
      </c>
      <c r="AA76" s="12">
        <f t="shared" ca="1" si="120"/>
        <v>5.8000000000000003E-2</v>
      </c>
      <c r="AB76" s="12">
        <f t="shared" ca="1" si="121"/>
        <v>0.214</v>
      </c>
      <c r="AC76" s="12">
        <f t="shared" ca="1" si="122"/>
        <v>0.4</v>
      </c>
      <c r="AD76" s="17">
        <f t="shared" ca="1" si="123"/>
        <v>8.5714285714285715E-2</v>
      </c>
      <c r="AE76" s="11">
        <f t="shared" ca="1" si="124"/>
        <v>0.88</v>
      </c>
      <c r="AF76" s="12">
        <f t="shared" ca="1" si="125"/>
        <v>0.4</v>
      </c>
      <c r="AG76" s="12">
        <f t="shared" ca="1" si="126"/>
        <v>0.12857142857142859</v>
      </c>
      <c r="AH76" s="4">
        <f t="shared" ca="1" si="127"/>
        <v>1</v>
      </c>
      <c r="AI76" s="4">
        <f t="shared" ca="1" si="128"/>
        <v>0.19</v>
      </c>
      <c r="AJ76" s="12">
        <f t="shared" ca="1" si="129"/>
        <v>0.30199999999999999</v>
      </c>
      <c r="AK76" s="4">
        <f t="shared" ca="1" si="130"/>
        <v>0.09</v>
      </c>
      <c r="AL76" s="12">
        <f t="shared" ca="1" si="131"/>
        <v>0.105</v>
      </c>
      <c r="AM76" s="12">
        <f t="shared" ca="1" si="132"/>
        <v>0.25</v>
      </c>
      <c r="AN76" s="12">
        <f t="shared" ca="1" si="133"/>
        <v>0.25</v>
      </c>
      <c r="AO76" s="12">
        <f t="shared" ca="1" si="134"/>
        <v>0</v>
      </c>
      <c r="AP76" s="12">
        <f t="shared" ca="1" si="142"/>
        <v>0</v>
      </c>
      <c r="AQ76" s="12">
        <f t="shared" ca="1" si="143"/>
        <v>0</v>
      </c>
    </row>
    <row r="77" spans="1:43" ht="19.899999999999999" customHeight="1" x14ac:dyDescent="0.3">
      <c r="A77" s="4">
        <v>73</v>
      </c>
      <c r="B77" s="13" t="str">
        <f t="shared" ref="B77:D77" ca="1" si="150">INDIRECT(ADDRESS(ROW($B175),COLUMN()))</f>
        <v>SELLTER</v>
      </c>
      <c r="C77" s="5">
        <f t="shared" ca="1" si="150"/>
        <v>11</v>
      </c>
      <c r="D77" s="6">
        <f t="shared" ca="1" si="150"/>
        <v>0.77</v>
      </c>
      <c r="E77" s="15">
        <f t="shared" ca="1" si="104"/>
        <v>-60</v>
      </c>
      <c r="F77" s="6">
        <f t="shared" ca="1" si="105"/>
        <v>0.49</v>
      </c>
      <c r="G77" s="6">
        <f t="shared" ca="1" si="106"/>
        <v>0.72</v>
      </c>
      <c r="H77" s="7">
        <f t="shared" ca="1" si="107"/>
        <v>56.8</v>
      </c>
      <c r="I77" s="6">
        <f t="shared" ca="1" si="108"/>
        <v>-3.03</v>
      </c>
      <c r="J77" s="21">
        <f t="shared" ca="1" si="136"/>
        <v>67.400000000000006</v>
      </c>
      <c r="K77" s="20">
        <f t="shared" ca="1" si="137"/>
        <v>0.74</v>
      </c>
      <c r="L77" s="21">
        <f t="shared" ca="1" si="138"/>
        <v>67.5</v>
      </c>
      <c r="M77" s="20">
        <f t="shared" ca="1" si="139"/>
        <v>0.81</v>
      </c>
      <c r="N77" s="21">
        <f t="shared" ca="1" si="140"/>
        <v>58.6</v>
      </c>
      <c r="O77" s="20">
        <f t="shared" ca="1" si="141"/>
        <v>0.51</v>
      </c>
      <c r="P77" s="4">
        <f t="shared" ca="1" si="109"/>
        <v>0</v>
      </c>
      <c r="Q77" s="11" t="str">
        <f t="shared" ca="1" si="110"/>
        <v>-</v>
      </c>
      <c r="R77" s="4">
        <f t="shared" ca="1" si="111"/>
        <v>3</v>
      </c>
      <c r="S77" s="11">
        <f t="shared" ca="1" si="112"/>
        <v>0.76</v>
      </c>
      <c r="T77" s="4">
        <f t="shared" ca="1" si="113"/>
        <v>5</v>
      </c>
      <c r="U77" s="11">
        <f t="shared" ca="1" si="114"/>
        <v>0.82</v>
      </c>
      <c r="V77" s="11">
        <f t="shared" ca="1" si="115"/>
        <v>0.71</v>
      </c>
      <c r="W77" s="11">
        <f t="shared" ca="1" si="116"/>
        <v>0.84</v>
      </c>
      <c r="X77" s="4">
        <f t="shared" ca="1" si="117"/>
        <v>0.95</v>
      </c>
      <c r="Y77" s="11">
        <f t="shared" ca="1" si="118"/>
        <v>0.6</v>
      </c>
      <c r="Z77" s="4">
        <f t="shared" ca="1" si="119"/>
        <v>72.3</v>
      </c>
      <c r="AA77" s="12">
        <f t="shared" ca="1" si="120"/>
        <v>8.1000000000000003E-2</v>
      </c>
      <c r="AB77" s="12">
        <f t="shared" ca="1" si="121"/>
        <v>0.19700000000000001</v>
      </c>
      <c r="AC77" s="12">
        <f t="shared" ca="1" si="122"/>
        <v>0.34599999999999997</v>
      </c>
      <c r="AD77" s="17">
        <f t="shared" ca="1" si="123"/>
        <v>6.8181818181818177E-2</v>
      </c>
      <c r="AE77" s="11">
        <f t="shared" ca="1" si="124"/>
        <v>0.79</v>
      </c>
      <c r="AF77" s="12">
        <f t="shared" ca="1" si="125"/>
        <v>0.37121212121212122</v>
      </c>
      <c r="AG77" s="12">
        <f t="shared" ca="1" si="126"/>
        <v>9.0909090909090912E-2</v>
      </c>
      <c r="AH77" s="4">
        <f t="shared" ca="1" si="127"/>
        <v>2</v>
      </c>
      <c r="AI77" s="4">
        <f t="shared" ca="1" si="128"/>
        <v>0.13</v>
      </c>
      <c r="AJ77" s="12">
        <f t="shared" ca="1" si="129"/>
        <v>0.27100000000000002</v>
      </c>
      <c r="AK77" s="4">
        <f t="shared" ca="1" si="130"/>
        <v>0.14000000000000001</v>
      </c>
      <c r="AL77" s="12">
        <f t="shared" ca="1" si="131"/>
        <v>0.19</v>
      </c>
      <c r="AM77" s="12">
        <f t="shared" ca="1" si="132"/>
        <v>0.36363636363636365</v>
      </c>
      <c r="AN77" s="12">
        <f t="shared" ca="1" si="133"/>
        <v>0.27272727272727271</v>
      </c>
      <c r="AO77" s="12">
        <f t="shared" ca="1" si="134"/>
        <v>0.18181818181818182</v>
      </c>
      <c r="AP77" s="12">
        <f t="shared" ca="1" si="142"/>
        <v>0</v>
      </c>
      <c r="AQ77" s="12">
        <f t="shared" ca="1" si="143"/>
        <v>0</v>
      </c>
    </row>
    <row r="78" spans="1:43" ht="19.899999999999999" customHeight="1" x14ac:dyDescent="0.3">
      <c r="A78" s="4">
        <v>74</v>
      </c>
      <c r="B78" s="13" t="str">
        <f t="shared" ref="B78:D78" ca="1" si="151">INDIRECT(ADDRESS(ROW($B176),COLUMN()))</f>
        <v>EmiliaQAQ</v>
      </c>
      <c r="C78" s="5">
        <f t="shared" ca="1" si="151"/>
        <v>5</v>
      </c>
      <c r="D78" s="6">
        <f t="shared" ca="1" si="151"/>
        <v>0.76</v>
      </c>
      <c r="E78" s="15">
        <f t="shared" ca="1" si="104"/>
        <v>-16</v>
      </c>
      <c r="F78" s="6">
        <f t="shared" ca="1" si="105"/>
        <v>0.52</v>
      </c>
      <c r="G78" s="6">
        <f t="shared" ca="1" si="106"/>
        <v>0.66</v>
      </c>
      <c r="H78" s="7">
        <f t="shared" ca="1" si="107"/>
        <v>59.4</v>
      </c>
      <c r="I78" s="6">
        <f t="shared" ca="1" si="108"/>
        <v>-4.41</v>
      </c>
      <c r="J78" s="21">
        <f t="shared" ca="1" si="136"/>
        <v>64.7</v>
      </c>
      <c r="K78" s="20">
        <f t="shared" ca="1" si="137"/>
        <v>0.65</v>
      </c>
      <c r="L78" s="21">
        <f t="shared" ca="1" si="138"/>
        <v>61.7</v>
      </c>
      <c r="M78" s="20">
        <f t="shared" ca="1" si="139"/>
        <v>0.9</v>
      </c>
      <c r="N78" s="21">
        <f t="shared" ca="1" si="140"/>
        <v>58.4</v>
      </c>
      <c r="O78" s="20">
        <f t="shared" ca="1" si="141"/>
        <v>0.51</v>
      </c>
      <c r="P78" s="4">
        <f t="shared" ca="1" si="109"/>
        <v>0</v>
      </c>
      <c r="Q78" s="11" t="str">
        <f t="shared" ca="1" si="110"/>
        <v>-</v>
      </c>
      <c r="R78" s="4">
        <f t="shared" ca="1" si="111"/>
        <v>0</v>
      </c>
      <c r="S78" s="11" t="str">
        <f t="shared" ca="1" si="112"/>
        <v>-</v>
      </c>
      <c r="T78" s="4">
        <f t="shared" ca="1" si="113"/>
        <v>4</v>
      </c>
      <c r="U78" s="11">
        <f t="shared" ca="1" si="114"/>
        <v>0.73</v>
      </c>
      <c r="V78" s="11">
        <f t="shared" ca="1" si="115"/>
        <v>0.69</v>
      </c>
      <c r="W78" s="11">
        <f t="shared" ca="1" si="116"/>
        <v>0.85</v>
      </c>
      <c r="X78" s="4">
        <f t="shared" ca="1" si="117"/>
        <v>1.1499999999999999</v>
      </c>
      <c r="Y78" s="11">
        <f t="shared" ca="1" si="118"/>
        <v>0.86</v>
      </c>
      <c r="Z78" s="4">
        <f t="shared" ca="1" si="119"/>
        <v>93.3</v>
      </c>
      <c r="AA78" s="12">
        <f t="shared" ca="1" si="120"/>
        <v>9.0999999999999998E-2</v>
      </c>
      <c r="AB78" s="12">
        <f t="shared" ca="1" si="121"/>
        <v>0.19</v>
      </c>
      <c r="AC78" s="12">
        <f t="shared" ca="1" si="122"/>
        <v>0.40899999999999997</v>
      </c>
      <c r="AD78" s="17">
        <f t="shared" ca="1" si="123"/>
        <v>7.7586206896551727E-2</v>
      </c>
      <c r="AE78" s="11">
        <f t="shared" ca="1" si="124"/>
        <v>0.87</v>
      </c>
      <c r="AF78" s="12">
        <f t="shared" ca="1" si="125"/>
        <v>0.35344827586206901</v>
      </c>
      <c r="AG78" s="12">
        <f t="shared" ca="1" si="126"/>
        <v>0.12931034482758619</v>
      </c>
      <c r="AH78" s="4">
        <f t="shared" ca="1" si="127"/>
        <v>1</v>
      </c>
      <c r="AI78" s="4">
        <f t="shared" ca="1" si="128"/>
        <v>0.11</v>
      </c>
      <c r="AJ78" s="12">
        <f t="shared" ca="1" si="129"/>
        <v>0.217</v>
      </c>
      <c r="AK78" s="4">
        <f t="shared" ca="1" si="130"/>
        <v>0.13</v>
      </c>
      <c r="AL78" s="12">
        <f t="shared" ca="1" si="131"/>
        <v>0.19700000000000001</v>
      </c>
      <c r="AM78" s="12">
        <f t="shared" ca="1" si="132"/>
        <v>0.2</v>
      </c>
      <c r="AN78" s="12">
        <f t="shared" ca="1" si="133"/>
        <v>0</v>
      </c>
      <c r="AO78" s="12">
        <f t="shared" ca="1" si="134"/>
        <v>0</v>
      </c>
      <c r="AP78" s="12">
        <f t="shared" ca="1" si="142"/>
        <v>0</v>
      </c>
      <c r="AQ78" s="12">
        <f t="shared" ca="1" si="143"/>
        <v>0</v>
      </c>
    </row>
    <row r="79" spans="1:43" ht="19.899999999999999" customHeight="1" x14ac:dyDescent="0.3">
      <c r="A79" s="4">
        <v>75</v>
      </c>
      <c r="B79" s="13" t="str">
        <f t="shared" ref="B79:D79" ca="1" si="152">INDIRECT(ADDRESS(ROW($B177),COLUMN()))</f>
        <v>Maka</v>
      </c>
      <c r="C79" s="5">
        <f t="shared" ca="1" si="152"/>
        <v>5</v>
      </c>
      <c r="D79" s="6">
        <f t="shared" ca="1" si="152"/>
        <v>0.76</v>
      </c>
      <c r="E79" s="15">
        <f t="shared" ca="1" si="104"/>
        <v>-25</v>
      </c>
      <c r="F79" s="6">
        <f t="shared" ca="1" si="105"/>
        <v>0.46</v>
      </c>
      <c r="G79" s="6">
        <f t="shared" ca="1" si="106"/>
        <v>0.71</v>
      </c>
      <c r="H79" s="7">
        <f t="shared" ca="1" si="107"/>
        <v>53.2</v>
      </c>
      <c r="I79" s="6">
        <f t="shared" ca="1" si="108"/>
        <v>-2.5299999999999998</v>
      </c>
      <c r="J79" s="21">
        <f t="shared" ca="1" si="136"/>
        <v>66.7</v>
      </c>
      <c r="K79" s="20">
        <f t="shared" ca="1" si="137"/>
        <v>0.74</v>
      </c>
      <c r="L79" s="21">
        <f t="shared" ca="1" si="138"/>
        <v>72.2</v>
      </c>
      <c r="M79" s="20">
        <f t="shared" ca="1" si="139"/>
        <v>0.52</v>
      </c>
      <c r="N79" s="21">
        <f t="shared" ca="1" si="140"/>
        <v>54.6</v>
      </c>
      <c r="O79" s="20">
        <f t="shared" ca="1" si="141"/>
        <v>0.47</v>
      </c>
      <c r="P79" s="4">
        <f t="shared" ca="1" si="109"/>
        <v>0</v>
      </c>
      <c r="Q79" s="11" t="str">
        <f t="shared" ca="1" si="110"/>
        <v>-</v>
      </c>
      <c r="R79" s="4">
        <f t="shared" ca="1" si="111"/>
        <v>1</v>
      </c>
      <c r="S79" s="11">
        <f t="shared" ca="1" si="112"/>
        <v>0.56000000000000005</v>
      </c>
      <c r="T79" s="4">
        <f t="shared" ca="1" si="113"/>
        <v>1</v>
      </c>
      <c r="U79" s="11">
        <f t="shared" ca="1" si="114"/>
        <v>0.56000000000000005</v>
      </c>
      <c r="V79" s="11">
        <f t="shared" ca="1" si="115"/>
        <v>0.73</v>
      </c>
      <c r="W79" s="11">
        <f t="shared" ca="1" si="116"/>
        <v>0.8</v>
      </c>
      <c r="X79" s="4">
        <f t="shared" ca="1" si="117"/>
        <v>1.04</v>
      </c>
      <c r="Y79" s="11">
        <f t="shared" ca="1" si="118"/>
        <v>0.56000000000000005</v>
      </c>
      <c r="Z79" s="4">
        <f t="shared" ca="1" si="119"/>
        <v>61.7</v>
      </c>
      <c r="AA79" s="12">
        <f t="shared" ca="1" si="120"/>
        <v>6.0999999999999999E-2</v>
      </c>
      <c r="AB79" s="12">
        <f t="shared" ca="1" si="121"/>
        <v>0.186</v>
      </c>
      <c r="AC79" s="12">
        <f t="shared" ca="1" si="122"/>
        <v>0.57899999999999996</v>
      </c>
      <c r="AD79" s="17">
        <f t="shared" ca="1" si="123"/>
        <v>0.10784313725490199</v>
      </c>
      <c r="AE79" s="11">
        <f t="shared" ca="1" si="124"/>
        <v>1.08</v>
      </c>
      <c r="AF79" s="12">
        <f t="shared" ca="1" si="125"/>
        <v>0.37254901960784309</v>
      </c>
      <c r="AG79" s="12">
        <f t="shared" ca="1" si="126"/>
        <v>7.8431372549019607E-2</v>
      </c>
      <c r="AH79" s="4">
        <f t="shared" ca="1" si="127"/>
        <v>2</v>
      </c>
      <c r="AI79" s="4">
        <f t="shared" ca="1" si="128"/>
        <v>0.09</v>
      </c>
      <c r="AJ79" s="12">
        <f t="shared" ca="1" si="129"/>
        <v>0.191</v>
      </c>
      <c r="AK79" s="4">
        <f t="shared" ca="1" si="130"/>
        <v>0.09</v>
      </c>
      <c r="AL79" s="12">
        <f t="shared" ca="1" si="131"/>
        <v>0.125</v>
      </c>
      <c r="AM79" s="12">
        <f t="shared" ca="1" si="132"/>
        <v>0.4</v>
      </c>
      <c r="AN79" s="12">
        <f t="shared" ca="1" si="133"/>
        <v>0</v>
      </c>
      <c r="AO79" s="12">
        <f t="shared" ca="1" si="134"/>
        <v>0</v>
      </c>
      <c r="AP79" s="12">
        <f t="shared" ca="1" si="142"/>
        <v>0</v>
      </c>
      <c r="AQ79" s="12">
        <f t="shared" ca="1" si="143"/>
        <v>0</v>
      </c>
    </row>
    <row r="80" spans="1:43" ht="19.899999999999999" customHeight="1" x14ac:dyDescent="0.3">
      <c r="A80" s="4">
        <v>76</v>
      </c>
      <c r="B80" s="13" t="str">
        <f t="shared" ref="B80:D80" ca="1" si="153">INDIRECT(ADDRESS(ROW($B178),COLUMN()))</f>
        <v>Boombl4</v>
      </c>
      <c r="C80" s="5">
        <f t="shared" ca="1" si="153"/>
        <v>7</v>
      </c>
      <c r="D80" s="6">
        <f t="shared" ca="1" si="153"/>
        <v>0.73</v>
      </c>
      <c r="E80" s="15">
        <f t="shared" ca="1" si="104"/>
        <v>-34</v>
      </c>
      <c r="F80" s="6">
        <f t="shared" ca="1" si="105"/>
        <v>0.49</v>
      </c>
      <c r="G80" s="6">
        <f t="shared" ca="1" si="106"/>
        <v>0.73</v>
      </c>
      <c r="H80" s="7">
        <f t="shared" ca="1" si="107"/>
        <v>62.6</v>
      </c>
      <c r="I80" s="6">
        <f t="shared" ca="1" si="108"/>
        <v>-4.7300000000000004</v>
      </c>
      <c r="J80" s="21">
        <f t="shared" ca="1" si="136"/>
        <v>67.099999999999994</v>
      </c>
      <c r="K80" s="20">
        <f t="shared" ca="1" si="137"/>
        <v>0.72</v>
      </c>
      <c r="L80" s="21">
        <f t="shared" ca="1" si="138"/>
        <v>65.3</v>
      </c>
      <c r="M80" s="20">
        <f t="shared" ca="1" si="139"/>
        <v>0.6</v>
      </c>
      <c r="N80" s="21">
        <f t="shared" ca="1" si="140"/>
        <v>63.1</v>
      </c>
      <c r="O80" s="20">
        <f t="shared" ca="1" si="141"/>
        <v>0.5</v>
      </c>
      <c r="P80" s="4">
        <f t="shared" ca="1" si="109"/>
        <v>0</v>
      </c>
      <c r="Q80" s="11" t="str">
        <f t="shared" ca="1" si="110"/>
        <v>-</v>
      </c>
      <c r="R80" s="4">
        <f t="shared" ca="1" si="111"/>
        <v>0</v>
      </c>
      <c r="S80" s="11" t="str">
        <f t="shared" ca="1" si="112"/>
        <v>-</v>
      </c>
      <c r="T80" s="4">
        <f t="shared" ca="1" si="113"/>
        <v>2</v>
      </c>
      <c r="U80" s="11">
        <f t="shared" ca="1" si="114"/>
        <v>0.6</v>
      </c>
      <c r="V80" s="11">
        <f t="shared" ca="1" si="115"/>
        <v>0.85</v>
      </c>
      <c r="W80" s="11">
        <f t="shared" ca="1" si="116"/>
        <v>0.64</v>
      </c>
      <c r="X80" s="4">
        <f t="shared" ca="1" si="117"/>
        <v>0.76</v>
      </c>
      <c r="Y80" s="11">
        <f t="shared" ca="1" si="118"/>
        <v>0.63</v>
      </c>
      <c r="Z80" s="4">
        <f t="shared" ca="1" si="119"/>
        <v>72.099999999999994</v>
      </c>
      <c r="AA80" s="12">
        <f t="shared" ca="1" si="120"/>
        <v>4.1000000000000002E-2</v>
      </c>
      <c r="AB80" s="12">
        <f t="shared" ca="1" si="121"/>
        <v>0.20499999999999999</v>
      </c>
      <c r="AC80" s="12">
        <f t="shared" ca="1" si="122"/>
        <v>0.33300000000000002</v>
      </c>
      <c r="AD80" s="17">
        <f t="shared" ca="1" si="123"/>
        <v>6.8493150684931503E-2</v>
      </c>
      <c r="AE80" s="11">
        <f t="shared" ca="1" si="124"/>
        <v>0.78</v>
      </c>
      <c r="AF80" s="12">
        <f t="shared" ca="1" si="125"/>
        <v>0.39726027397260272</v>
      </c>
      <c r="AG80" s="12">
        <f t="shared" ca="1" si="126"/>
        <v>8.2191780821917804E-2</v>
      </c>
      <c r="AH80" s="4">
        <f t="shared" ca="1" si="127"/>
        <v>0</v>
      </c>
      <c r="AI80" s="4">
        <f t="shared" ca="1" si="128"/>
        <v>0.18</v>
      </c>
      <c r="AJ80" s="12">
        <f t="shared" ca="1" si="129"/>
        <v>0.36099999999999999</v>
      </c>
      <c r="AK80" s="4">
        <f t="shared" ca="1" si="130"/>
        <v>0.17</v>
      </c>
      <c r="AL80" s="12">
        <f t="shared" ca="1" si="131"/>
        <v>0.23599999999999999</v>
      </c>
      <c r="AM80" s="12">
        <f t="shared" ca="1" si="132"/>
        <v>0.42857142857142855</v>
      </c>
      <c r="AN80" s="12">
        <f t="shared" ca="1" si="133"/>
        <v>0.14285714285714285</v>
      </c>
      <c r="AO80" s="12">
        <f t="shared" ca="1" si="134"/>
        <v>0</v>
      </c>
      <c r="AP80" s="12">
        <f t="shared" ca="1" si="142"/>
        <v>0</v>
      </c>
      <c r="AQ80" s="12">
        <f t="shared" ca="1" si="143"/>
        <v>0</v>
      </c>
    </row>
    <row r="81" spans="1:43" ht="19.899999999999999" customHeight="1" x14ac:dyDescent="0.3">
      <c r="A81" s="4">
        <v>77</v>
      </c>
      <c r="B81" s="13" t="str">
        <f t="shared" ref="B81:D81" ca="1" si="154">INDIRECT(ADDRESS(ROW($B179),COLUMN()))</f>
        <v>SHOCK</v>
      </c>
      <c r="C81" s="5">
        <f t="shared" ca="1" si="154"/>
        <v>4</v>
      </c>
      <c r="D81" s="6">
        <f t="shared" ca="1" si="154"/>
        <v>0.7</v>
      </c>
      <c r="E81" s="15">
        <f t="shared" ca="1" si="104"/>
        <v>-28</v>
      </c>
      <c r="F81" s="6">
        <f t="shared" ca="1" si="105"/>
        <v>0.46</v>
      </c>
      <c r="G81" s="6">
        <f t="shared" ca="1" si="106"/>
        <v>0.86</v>
      </c>
      <c r="H81" s="7">
        <f t="shared" ca="1" si="107"/>
        <v>55.2</v>
      </c>
      <c r="I81" s="6">
        <f t="shared" ca="1" si="108"/>
        <v>-3.62</v>
      </c>
      <c r="J81" s="21">
        <f t="shared" ca="1" si="136"/>
        <v>55.7</v>
      </c>
      <c r="K81" s="20">
        <f t="shared" ca="1" si="137"/>
        <v>0.83</v>
      </c>
      <c r="L81" s="21">
        <f t="shared" ca="1" si="138"/>
        <v>56</v>
      </c>
      <c r="M81" s="20">
        <f t="shared" ca="1" si="139"/>
        <v>0.76</v>
      </c>
      <c r="N81" s="21">
        <f t="shared" ca="1" si="140"/>
        <v>58.3</v>
      </c>
      <c r="O81" s="20">
        <f t="shared" ca="1" si="141"/>
        <v>0.5</v>
      </c>
      <c r="P81" s="4">
        <f t="shared" ca="1" si="109"/>
        <v>0</v>
      </c>
      <c r="Q81" s="11" t="str">
        <f t="shared" ca="1" si="110"/>
        <v>-</v>
      </c>
      <c r="R81" s="4">
        <f t="shared" ca="1" si="111"/>
        <v>2</v>
      </c>
      <c r="S81" s="11">
        <f t="shared" ca="1" si="112"/>
        <v>0.62</v>
      </c>
      <c r="T81" s="4">
        <f t="shared" ca="1" si="113"/>
        <v>2</v>
      </c>
      <c r="U81" s="11">
        <f t="shared" ca="1" si="114"/>
        <v>0.62</v>
      </c>
      <c r="V81" s="11">
        <f t="shared" ca="1" si="115"/>
        <v>0.55000000000000004</v>
      </c>
      <c r="W81" s="11">
        <f t="shared" ca="1" si="116"/>
        <v>0.81</v>
      </c>
      <c r="X81" s="4">
        <f t="shared" ca="1" si="117"/>
        <v>0.37</v>
      </c>
      <c r="Y81" s="11">
        <f t="shared" ca="1" si="118"/>
        <v>0.78</v>
      </c>
      <c r="Z81" s="4">
        <f t="shared" ca="1" si="119"/>
        <v>80.900000000000006</v>
      </c>
      <c r="AA81" s="12">
        <f t="shared" ca="1" si="120"/>
        <v>3.7999999999999999E-2</v>
      </c>
      <c r="AB81" s="12">
        <f t="shared" ca="1" si="121"/>
        <v>0.129</v>
      </c>
      <c r="AC81" s="12">
        <f t="shared" ca="1" si="122"/>
        <v>0.55600000000000005</v>
      </c>
      <c r="AD81" s="17">
        <f t="shared" ca="1" si="123"/>
        <v>7.1428571428571425E-2</v>
      </c>
      <c r="AE81" s="11">
        <f t="shared" ca="1" si="124"/>
        <v>0.93</v>
      </c>
      <c r="AF81" s="12">
        <f t="shared" ca="1" si="125"/>
        <v>0.37142857142857139</v>
      </c>
      <c r="AG81" s="12">
        <f t="shared" ca="1" si="126"/>
        <v>7.1428571428571425E-2</v>
      </c>
      <c r="AH81" s="4">
        <f t="shared" ca="1" si="127"/>
        <v>2</v>
      </c>
      <c r="AI81" s="4">
        <f t="shared" ca="1" si="128"/>
        <v>0.1</v>
      </c>
      <c r="AJ81" s="12">
        <f t="shared" ca="1" si="129"/>
        <v>0.219</v>
      </c>
      <c r="AK81" s="4">
        <f t="shared" ca="1" si="130"/>
        <v>0.1</v>
      </c>
      <c r="AL81" s="12">
        <f t="shared" ca="1" si="131"/>
        <v>0.11700000000000001</v>
      </c>
      <c r="AM81" s="12">
        <f t="shared" ca="1" si="132"/>
        <v>0.25</v>
      </c>
      <c r="AN81" s="12">
        <f t="shared" ca="1" si="133"/>
        <v>0.25</v>
      </c>
      <c r="AO81" s="12">
        <f t="shared" ca="1" si="134"/>
        <v>0</v>
      </c>
      <c r="AP81" s="12">
        <f t="shared" ca="1" si="142"/>
        <v>0</v>
      </c>
      <c r="AQ81" s="12">
        <f t="shared" ca="1" si="143"/>
        <v>0</v>
      </c>
    </row>
    <row r="82" spans="1:43" ht="19.899999999999999" customHeight="1" x14ac:dyDescent="0.3">
      <c r="A82" s="4">
        <v>78</v>
      </c>
      <c r="B82" s="13" t="str">
        <f t="shared" ref="B82:D82" ca="1" si="155">INDIRECT(ADDRESS(ROW($B180),COLUMN()))</f>
        <v>kisserek</v>
      </c>
      <c r="C82" s="5">
        <f t="shared" ca="1" si="155"/>
        <v>4</v>
      </c>
      <c r="D82" s="6">
        <f t="shared" ca="1" si="155"/>
        <v>0.64</v>
      </c>
      <c r="E82" s="15">
        <f t="shared" ca="1" si="104"/>
        <v>-29</v>
      </c>
      <c r="F82" s="6">
        <f t="shared" ca="1" si="105"/>
        <v>0.43</v>
      </c>
      <c r="G82" s="6">
        <f t="shared" ca="1" si="106"/>
        <v>0.84</v>
      </c>
      <c r="H82" s="7">
        <f t="shared" ca="1" si="107"/>
        <v>60.2</v>
      </c>
      <c r="I82" s="6">
        <f t="shared" ca="1" si="108"/>
        <v>-6.17</v>
      </c>
      <c r="J82" s="21">
        <f t="shared" ca="1" si="136"/>
        <v>64.3</v>
      </c>
      <c r="K82" s="20">
        <f t="shared" ca="1" si="137"/>
        <v>0.85</v>
      </c>
      <c r="L82" s="21">
        <f t="shared" ca="1" si="138"/>
        <v>63.7</v>
      </c>
      <c r="M82" s="20">
        <f t="shared" ca="1" si="139"/>
        <v>0.62</v>
      </c>
      <c r="N82" s="21">
        <f t="shared" ca="1" si="140"/>
        <v>63.4</v>
      </c>
      <c r="O82" s="20">
        <f t="shared" ca="1" si="141"/>
        <v>0.46</v>
      </c>
      <c r="P82" s="4">
        <f t="shared" ca="1" si="109"/>
        <v>0</v>
      </c>
      <c r="Q82" s="11" t="str">
        <f t="shared" ca="1" si="110"/>
        <v>-</v>
      </c>
      <c r="R82" s="4">
        <f t="shared" ca="1" si="111"/>
        <v>2</v>
      </c>
      <c r="S82" s="11">
        <f t="shared" ca="1" si="112"/>
        <v>0.71</v>
      </c>
      <c r="T82" s="4">
        <f t="shared" ca="1" si="113"/>
        <v>2</v>
      </c>
      <c r="U82" s="11">
        <f t="shared" ca="1" si="114"/>
        <v>0.71</v>
      </c>
      <c r="V82" s="11">
        <f t="shared" ca="1" si="115"/>
        <v>0.54</v>
      </c>
      <c r="W82" s="11">
        <f t="shared" ca="1" si="116"/>
        <v>0.71</v>
      </c>
      <c r="X82" s="4">
        <f t="shared" ca="1" si="117"/>
        <v>0.57999999999999996</v>
      </c>
      <c r="Y82" s="11">
        <f t="shared" ca="1" si="118"/>
        <v>0.78</v>
      </c>
      <c r="Z82" s="4">
        <f t="shared" ca="1" si="119"/>
        <v>86.6</v>
      </c>
      <c r="AA82" s="12">
        <f t="shared" ca="1" si="120"/>
        <v>5.8000000000000003E-2</v>
      </c>
      <c r="AB82" s="12">
        <f t="shared" ca="1" si="121"/>
        <v>0.32900000000000001</v>
      </c>
      <c r="AC82" s="12">
        <f t="shared" ca="1" si="122"/>
        <v>0.435</v>
      </c>
      <c r="AD82" s="17">
        <f t="shared" ca="1" si="123"/>
        <v>0.14285714285714279</v>
      </c>
      <c r="AE82" s="11">
        <f t="shared" ca="1" si="124"/>
        <v>1.07</v>
      </c>
      <c r="AF82" s="12">
        <f t="shared" ca="1" si="125"/>
        <v>0.34285714285714292</v>
      </c>
      <c r="AG82" s="12">
        <f t="shared" ca="1" si="126"/>
        <v>8.5714285714285715E-2</v>
      </c>
      <c r="AH82" s="4">
        <f t="shared" ca="1" si="127"/>
        <v>1</v>
      </c>
      <c r="AI82" s="4">
        <f t="shared" ca="1" si="128"/>
        <v>0.04</v>
      </c>
      <c r="AJ82" s="12">
        <f t="shared" ca="1" si="129"/>
        <v>0.1</v>
      </c>
      <c r="AK82" s="4">
        <f t="shared" ca="1" si="130"/>
        <v>0.16</v>
      </c>
      <c r="AL82" s="12">
        <f t="shared" ca="1" si="131"/>
        <v>0.186</v>
      </c>
      <c r="AM82" s="12">
        <f t="shared" ca="1" si="132"/>
        <v>0</v>
      </c>
      <c r="AN82" s="12">
        <f t="shared" ca="1" si="133"/>
        <v>0</v>
      </c>
      <c r="AO82" s="12">
        <f t="shared" ca="1" si="134"/>
        <v>0</v>
      </c>
      <c r="AP82" s="12">
        <f t="shared" ca="1" si="142"/>
        <v>0</v>
      </c>
      <c r="AQ82" s="12">
        <f t="shared" ca="1" si="143"/>
        <v>0</v>
      </c>
    </row>
    <row r="83" spans="1:43" ht="19.899999999999999" customHeight="1" x14ac:dyDescent="0.3">
      <c r="A83" s="4">
        <v>79</v>
      </c>
      <c r="B83" s="13" t="str">
        <f t="shared" ref="B83:D83" ca="1" si="156">INDIRECT(ADDRESS(ROW($B181),COLUMN()))</f>
        <v>beastik</v>
      </c>
      <c r="C83" s="5">
        <f t="shared" ca="1" si="156"/>
        <v>4</v>
      </c>
      <c r="D83" s="6">
        <f t="shared" ca="1" si="156"/>
        <v>0.63</v>
      </c>
      <c r="E83" s="15">
        <f t="shared" ca="1" si="104"/>
        <v>-27</v>
      </c>
      <c r="F83" s="6">
        <f t="shared" ca="1" si="105"/>
        <v>0.47</v>
      </c>
      <c r="G83" s="6">
        <f t="shared" ca="1" si="106"/>
        <v>0.86</v>
      </c>
      <c r="H83" s="7">
        <f t="shared" ca="1" si="107"/>
        <v>50.7</v>
      </c>
      <c r="I83" s="6">
        <f t="shared" ca="1" si="108"/>
        <v>-4.24</v>
      </c>
      <c r="J83" s="21">
        <f t="shared" ca="1" si="136"/>
        <v>55.7</v>
      </c>
      <c r="K83" s="20">
        <f t="shared" ca="1" si="137"/>
        <v>0.83</v>
      </c>
      <c r="L83" s="21">
        <f t="shared" ca="1" si="138"/>
        <v>52.1</v>
      </c>
      <c r="M83" s="20">
        <f t="shared" ca="1" si="139"/>
        <v>0.72</v>
      </c>
      <c r="N83" s="21">
        <f t="shared" ca="1" si="140"/>
        <v>53.9</v>
      </c>
      <c r="O83" s="20">
        <f t="shared" ca="1" si="141"/>
        <v>0.53</v>
      </c>
      <c r="P83" s="4">
        <f t="shared" ca="1" si="109"/>
        <v>0</v>
      </c>
      <c r="Q83" s="11" t="str">
        <f t="shared" ca="1" si="110"/>
        <v>-</v>
      </c>
      <c r="R83" s="4">
        <f t="shared" ca="1" si="111"/>
        <v>2</v>
      </c>
      <c r="S83" s="11">
        <f t="shared" ca="1" si="112"/>
        <v>0.66</v>
      </c>
      <c r="T83" s="4">
        <f t="shared" ca="1" si="113"/>
        <v>2</v>
      </c>
      <c r="U83" s="11">
        <f t="shared" ca="1" si="114"/>
        <v>0.66</v>
      </c>
      <c r="V83" s="11">
        <f t="shared" ca="1" si="115"/>
        <v>0.65</v>
      </c>
      <c r="W83" s="11">
        <f t="shared" ca="1" si="116"/>
        <v>0.61</v>
      </c>
      <c r="X83" s="4">
        <f t="shared" ca="1" si="117"/>
        <v>0.47</v>
      </c>
      <c r="Y83" s="11">
        <f t="shared" ca="1" si="118"/>
        <v>0.72</v>
      </c>
      <c r="Z83" s="4">
        <f t="shared" ca="1" si="119"/>
        <v>70.2</v>
      </c>
      <c r="AA83" s="12">
        <f t="shared" ca="1" si="120"/>
        <v>7.6999999999999999E-2</v>
      </c>
      <c r="AB83" s="12">
        <f t="shared" ca="1" si="121"/>
        <v>0.22900000000000001</v>
      </c>
      <c r="AC83" s="12">
        <f t="shared" ca="1" si="122"/>
        <v>0.125</v>
      </c>
      <c r="AD83" s="17">
        <f t="shared" ca="1" si="123"/>
        <v>2.8571428571428571E-2</v>
      </c>
      <c r="AE83" s="11">
        <f t="shared" ca="1" si="124"/>
        <v>0.48</v>
      </c>
      <c r="AF83" s="12">
        <f t="shared" ca="1" si="125"/>
        <v>0.37142857142857139</v>
      </c>
      <c r="AG83" s="12">
        <f t="shared" ca="1" si="126"/>
        <v>0.1</v>
      </c>
      <c r="AH83" s="4">
        <f t="shared" ca="1" si="127"/>
        <v>1</v>
      </c>
      <c r="AI83" s="4">
        <f t="shared" ca="1" si="128"/>
        <v>0.06</v>
      </c>
      <c r="AJ83" s="12">
        <f t="shared" ca="1" si="129"/>
        <v>0.121</v>
      </c>
      <c r="AK83" s="4">
        <f t="shared" ca="1" si="130"/>
        <v>0.11</v>
      </c>
      <c r="AL83" s="12">
        <f t="shared" ca="1" si="131"/>
        <v>0.13300000000000001</v>
      </c>
      <c r="AM83" s="12">
        <f t="shared" ca="1" si="132"/>
        <v>0</v>
      </c>
      <c r="AN83" s="12">
        <f t="shared" ca="1" si="133"/>
        <v>0</v>
      </c>
      <c r="AO83" s="12">
        <f t="shared" ca="1" si="134"/>
        <v>0</v>
      </c>
      <c r="AP83" s="12">
        <f t="shared" ca="1" si="142"/>
        <v>0</v>
      </c>
      <c r="AQ83" s="12">
        <f t="shared" ca="1" si="143"/>
        <v>0</v>
      </c>
    </row>
    <row r="84" spans="1:43" ht="19.899999999999999" customHeight="1" x14ac:dyDescent="0.3">
      <c r="A84" s="4">
        <v>80</v>
      </c>
      <c r="B84" s="13" t="str">
        <f t="shared" ref="B84:D84" ca="1" si="157">INDIRECT(ADDRESS(ROW($B182),COLUMN()))</f>
        <v>Graviti</v>
      </c>
      <c r="C84" s="5">
        <f t="shared" ca="1" si="157"/>
        <v>5</v>
      </c>
      <c r="D84" s="6">
        <f t="shared" ca="1" si="157"/>
        <v>0.57999999999999996</v>
      </c>
      <c r="E84" s="15">
        <f t="shared" ca="1" si="104"/>
        <v>-40</v>
      </c>
      <c r="F84" s="6">
        <f t="shared" ca="1" si="105"/>
        <v>0.36</v>
      </c>
      <c r="G84" s="6">
        <f t="shared" ca="1" si="106"/>
        <v>0.75</v>
      </c>
      <c r="H84" s="7">
        <f t="shared" ca="1" si="107"/>
        <v>45</v>
      </c>
      <c r="I84" s="6">
        <f t="shared" ca="1" si="108"/>
        <v>-5.62</v>
      </c>
      <c r="J84" s="21">
        <f t="shared" ca="1" si="136"/>
        <v>53.9</v>
      </c>
      <c r="K84" s="20">
        <f t="shared" ca="1" si="137"/>
        <v>0.77</v>
      </c>
      <c r="L84" s="21">
        <f t="shared" ca="1" si="138"/>
        <v>57.7</v>
      </c>
      <c r="M84" s="20">
        <f t="shared" ca="1" si="139"/>
        <v>0.49</v>
      </c>
      <c r="N84" s="21">
        <f t="shared" ca="1" si="140"/>
        <v>46.7</v>
      </c>
      <c r="O84" s="20">
        <f t="shared" ca="1" si="141"/>
        <v>0.4</v>
      </c>
      <c r="P84" s="4">
        <f t="shared" ca="1" si="109"/>
        <v>0</v>
      </c>
      <c r="Q84" s="11" t="str">
        <f t="shared" ca="1" si="110"/>
        <v>-</v>
      </c>
      <c r="R84" s="4">
        <f t="shared" ca="1" si="111"/>
        <v>1</v>
      </c>
      <c r="S84" s="11">
        <f t="shared" ca="1" si="112"/>
        <v>0.65</v>
      </c>
      <c r="T84" s="4">
        <f t="shared" ca="1" si="113"/>
        <v>1</v>
      </c>
      <c r="U84" s="11">
        <f t="shared" ca="1" si="114"/>
        <v>0.65</v>
      </c>
      <c r="V84" s="11">
        <f t="shared" ca="1" si="115"/>
        <v>0.56999999999999995</v>
      </c>
      <c r="W84" s="11">
        <f t="shared" ca="1" si="116"/>
        <v>0.57999999999999996</v>
      </c>
      <c r="X84" s="4">
        <f t="shared" ca="1" si="117"/>
        <v>0.05</v>
      </c>
      <c r="Y84" s="11">
        <f t="shared" ca="1" si="118"/>
        <v>0.56000000000000005</v>
      </c>
      <c r="Z84" s="4">
        <f t="shared" ca="1" si="119"/>
        <v>70.900000000000006</v>
      </c>
      <c r="AA84" s="12">
        <f t="shared" ca="1" si="120"/>
        <v>7.5999999999999998E-2</v>
      </c>
      <c r="AB84" s="12">
        <f t="shared" ca="1" si="121"/>
        <v>0.28399999999999997</v>
      </c>
      <c r="AC84" s="12">
        <f t="shared" ca="1" si="122"/>
        <v>0.41399999999999998</v>
      </c>
      <c r="AD84" s="17">
        <f t="shared" ca="1" si="123"/>
        <v>0.1176470588235294</v>
      </c>
      <c r="AE84" s="11">
        <f t="shared" ca="1" si="124"/>
        <v>0.98</v>
      </c>
      <c r="AF84" s="12">
        <f t="shared" ca="1" si="125"/>
        <v>0.3235294117647059</v>
      </c>
      <c r="AG84" s="12">
        <f t="shared" ca="1" si="126"/>
        <v>3.9215686274509803E-2</v>
      </c>
      <c r="AH84" s="4">
        <f t="shared" ca="1" si="127"/>
        <v>0</v>
      </c>
      <c r="AI84" s="4">
        <f t="shared" ca="1" si="128"/>
        <v>0.05</v>
      </c>
      <c r="AJ84" s="12">
        <f t="shared" ca="1" si="129"/>
        <v>0.13500000000000001</v>
      </c>
      <c r="AK84" s="4">
        <f t="shared" ca="1" si="130"/>
        <v>0.14000000000000001</v>
      </c>
      <c r="AL84" s="12">
        <f t="shared" ca="1" si="131"/>
        <v>0.182</v>
      </c>
      <c r="AM84" s="12">
        <f t="shared" ca="1" si="132"/>
        <v>0</v>
      </c>
      <c r="AN84" s="12">
        <f t="shared" ca="1" si="133"/>
        <v>0</v>
      </c>
      <c r="AO84" s="12">
        <f t="shared" ca="1" si="134"/>
        <v>0</v>
      </c>
      <c r="AP84" s="12">
        <f t="shared" ca="1" si="142"/>
        <v>0</v>
      </c>
      <c r="AQ84" s="12">
        <f t="shared" ca="1" si="143"/>
        <v>0</v>
      </c>
    </row>
    <row r="85" spans="1:43" ht="19.899999999999999" customHeight="1" x14ac:dyDescent="0.3">
      <c r="A85" s="4"/>
      <c r="B85" s="13"/>
      <c r="C85" s="5"/>
      <c r="D85" s="6"/>
      <c r="E85" s="15"/>
      <c r="F85" s="6"/>
      <c r="G85" s="6"/>
      <c r="H85" s="7"/>
      <c r="I85" s="6"/>
      <c r="J85" s="21"/>
      <c r="K85" s="20"/>
      <c r="L85" s="21"/>
      <c r="M85" s="20"/>
      <c r="N85" s="21"/>
      <c r="O85" s="20"/>
      <c r="P85" s="4"/>
      <c r="Q85" s="11"/>
      <c r="R85" s="4"/>
      <c r="S85" s="11"/>
      <c r="T85" s="4"/>
      <c r="U85" s="11"/>
      <c r="V85" s="11"/>
      <c r="W85" s="11"/>
      <c r="X85" s="4"/>
      <c r="Y85" s="11"/>
      <c r="Z85" s="4"/>
      <c r="AA85" s="12"/>
      <c r="AB85" s="12"/>
      <c r="AC85" s="12"/>
      <c r="AD85" s="17"/>
      <c r="AE85" s="11"/>
      <c r="AF85" s="12"/>
      <c r="AG85" s="12"/>
      <c r="AH85" s="4"/>
      <c r="AI85" s="4"/>
      <c r="AJ85" s="12"/>
      <c r="AK85" s="4"/>
      <c r="AL85" s="12"/>
      <c r="AM85" s="12"/>
      <c r="AN85" s="12"/>
      <c r="AO85" s="12"/>
      <c r="AP85" s="12"/>
      <c r="AQ85" s="12"/>
    </row>
    <row r="86" spans="1:43" ht="19.899999999999999" customHeight="1" x14ac:dyDescent="0.3">
      <c r="A86" s="4"/>
      <c r="B86" s="13"/>
      <c r="C86" s="5"/>
      <c r="D86" s="6"/>
      <c r="E86" s="15"/>
      <c r="F86" s="6"/>
      <c r="G86" s="6"/>
      <c r="H86" s="7"/>
      <c r="I86" s="6"/>
      <c r="J86" s="21"/>
      <c r="K86" s="20"/>
      <c r="L86" s="21"/>
      <c r="M86" s="20"/>
      <c r="N86" s="21"/>
      <c r="O86" s="20"/>
      <c r="P86" s="4"/>
      <c r="Q86" s="11"/>
      <c r="R86" s="4"/>
      <c r="S86" s="11"/>
      <c r="T86" s="4"/>
      <c r="U86" s="11"/>
      <c r="V86" s="11"/>
      <c r="W86" s="11"/>
      <c r="X86" s="4"/>
      <c r="Y86" s="11"/>
      <c r="Z86" s="4"/>
      <c r="AA86" s="12"/>
      <c r="AB86" s="12"/>
      <c r="AC86" s="12"/>
      <c r="AD86" s="17"/>
      <c r="AE86" s="11"/>
      <c r="AF86" s="12"/>
      <c r="AG86" s="12"/>
      <c r="AH86" s="4"/>
      <c r="AI86" s="4"/>
      <c r="AJ86" s="12"/>
      <c r="AK86" s="4"/>
      <c r="AL86" s="12"/>
      <c r="AM86" s="12"/>
      <c r="AN86" s="12"/>
      <c r="AO86" s="12"/>
      <c r="AP86" s="12"/>
      <c r="AQ86" s="12"/>
    </row>
    <row r="102" spans="2:90" ht="19.899999999999999" customHeight="1" x14ac:dyDescent="0.3">
      <c r="B102" s="8" t="s">
        <v>125</v>
      </c>
      <c r="C102" s="8" t="s">
        <v>11</v>
      </c>
      <c r="D102" s="8" t="s">
        <v>12</v>
      </c>
      <c r="E102" s="8" t="s">
        <v>13</v>
      </c>
      <c r="F102" s="8" t="s">
        <v>14</v>
      </c>
      <c r="G102" s="8" t="s">
        <v>15</v>
      </c>
      <c r="H102" s="8" t="s">
        <v>16</v>
      </c>
      <c r="I102" s="8" t="s">
        <v>17</v>
      </c>
      <c r="J102" s="8" t="s">
        <v>18</v>
      </c>
      <c r="K102" s="8" t="s">
        <v>19</v>
      </c>
      <c r="L102" s="8" t="s">
        <v>20</v>
      </c>
      <c r="M102" s="8" t="s">
        <v>21</v>
      </c>
      <c r="N102" s="8" t="s">
        <v>113</v>
      </c>
      <c r="O102" s="8" t="s">
        <v>22</v>
      </c>
      <c r="P102" s="8" t="s">
        <v>23</v>
      </c>
      <c r="Q102" s="8" t="s">
        <v>114</v>
      </c>
      <c r="R102" s="8" t="s">
        <v>115</v>
      </c>
      <c r="S102" s="8" t="s">
        <v>116</v>
      </c>
      <c r="T102" s="8" t="s">
        <v>117</v>
      </c>
      <c r="U102" s="8" t="s">
        <v>118</v>
      </c>
      <c r="V102" s="8" t="s">
        <v>52</v>
      </c>
      <c r="W102" s="8" t="s">
        <v>24</v>
      </c>
      <c r="X102" s="8" t="s">
        <v>25</v>
      </c>
      <c r="Y102" s="8" t="s">
        <v>26</v>
      </c>
      <c r="Z102" s="8" t="s">
        <v>27</v>
      </c>
      <c r="AA102" s="8" t="s">
        <v>53</v>
      </c>
      <c r="AB102" s="8" t="s">
        <v>54</v>
      </c>
      <c r="AC102" s="8" t="s">
        <v>55</v>
      </c>
      <c r="AD102" s="8" t="s">
        <v>56</v>
      </c>
      <c r="AE102" s="8" t="s">
        <v>57</v>
      </c>
      <c r="AF102" s="8" t="s">
        <v>58</v>
      </c>
      <c r="AG102" s="8" t="s">
        <v>28</v>
      </c>
      <c r="AH102" s="8" t="s">
        <v>29</v>
      </c>
      <c r="AI102" s="8" t="s">
        <v>30</v>
      </c>
      <c r="AJ102" s="8" t="s">
        <v>31</v>
      </c>
      <c r="AK102" s="8" t="s">
        <v>124</v>
      </c>
      <c r="AL102" s="8" t="s">
        <v>59</v>
      </c>
      <c r="AM102" s="8" t="s">
        <v>60</v>
      </c>
      <c r="AN102" s="8" t="s">
        <v>40</v>
      </c>
      <c r="AO102" s="8" t="s">
        <v>90</v>
      </c>
      <c r="AP102" s="8" t="s">
        <v>41</v>
      </c>
      <c r="AQ102" s="8" t="s">
        <v>42</v>
      </c>
      <c r="AR102" s="8" t="s">
        <v>43</v>
      </c>
      <c r="AS102" s="8" t="s">
        <v>44</v>
      </c>
      <c r="AT102" s="8" t="s">
        <v>49</v>
      </c>
      <c r="AU102" s="8" t="s">
        <v>45</v>
      </c>
      <c r="AV102" s="8" t="s">
        <v>46</v>
      </c>
      <c r="AW102" s="8" t="s">
        <v>47</v>
      </c>
      <c r="AX102" s="8" t="s">
        <v>48</v>
      </c>
      <c r="AY102" s="8" t="s">
        <v>61</v>
      </c>
      <c r="AZ102" s="8" t="s">
        <v>75</v>
      </c>
      <c r="BA102" s="8" t="s">
        <v>63</v>
      </c>
      <c r="BB102" s="8" t="s">
        <v>64</v>
      </c>
      <c r="BC102" s="8" t="s">
        <v>65</v>
      </c>
      <c r="BD102" s="8" t="s">
        <v>66</v>
      </c>
      <c r="BE102" s="8" t="s">
        <v>67</v>
      </c>
      <c r="BF102" s="8" t="s">
        <v>68</v>
      </c>
      <c r="BG102" s="8" t="s">
        <v>69</v>
      </c>
      <c r="BH102" s="8" t="s">
        <v>70</v>
      </c>
      <c r="BI102" s="8" t="s">
        <v>71</v>
      </c>
      <c r="BJ102" s="8" t="s">
        <v>76</v>
      </c>
      <c r="BK102" s="8" t="s">
        <v>77</v>
      </c>
      <c r="BL102" s="8" t="s">
        <v>62</v>
      </c>
      <c r="BM102" s="8" t="s">
        <v>78</v>
      </c>
      <c r="BN102" s="8" t="s">
        <v>79</v>
      </c>
      <c r="BO102" s="8" t="s">
        <v>80</v>
      </c>
      <c r="BP102" s="8" t="s">
        <v>81</v>
      </c>
      <c r="BQ102" s="8" t="s">
        <v>82</v>
      </c>
      <c r="BR102" s="8" t="s">
        <v>83</v>
      </c>
      <c r="BS102" s="8" t="s">
        <v>84</v>
      </c>
      <c r="BT102" s="8" t="s">
        <v>85</v>
      </c>
      <c r="BU102" s="8" t="s">
        <v>86</v>
      </c>
      <c r="BV102" s="8" t="s">
        <v>87</v>
      </c>
      <c r="BW102" s="8" t="s">
        <v>88</v>
      </c>
      <c r="BX102" s="8" t="s">
        <v>89</v>
      </c>
      <c r="BY102" s="8" t="s">
        <v>105</v>
      </c>
      <c r="CD102" s="8"/>
      <c r="CE102" s="8"/>
      <c r="CF102" s="8"/>
      <c r="CG102" s="8"/>
      <c r="CH102" s="8"/>
      <c r="CI102" s="8"/>
      <c r="CJ102" s="8"/>
      <c r="CK102" s="8"/>
      <c r="CL102" s="8"/>
    </row>
    <row r="103" spans="2:90" ht="19.899999999999999" customHeight="1" x14ac:dyDescent="0.3">
      <c r="B103" s="8" t="s">
        <v>127</v>
      </c>
      <c r="C103" s="8">
        <v>7</v>
      </c>
      <c r="D103" s="8">
        <v>1.44</v>
      </c>
      <c r="E103" s="8">
        <v>146</v>
      </c>
      <c r="F103" s="8">
        <v>1.41</v>
      </c>
      <c r="G103" s="8">
        <v>1.47</v>
      </c>
      <c r="H103" s="9">
        <v>0.28799999999999998</v>
      </c>
      <c r="I103" s="9">
        <v>0.47599999999999998</v>
      </c>
      <c r="J103" s="8">
        <v>1.1000000000000001</v>
      </c>
      <c r="K103" s="8">
        <v>1.44</v>
      </c>
      <c r="L103" s="8">
        <v>0.75</v>
      </c>
      <c r="M103" s="8">
        <v>75.3</v>
      </c>
      <c r="N103" s="8">
        <v>4.9000000000000004</v>
      </c>
      <c r="O103" s="8">
        <v>97.8</v>
      </c>
      <c r="P103" s="8">
        <v>0.88</v>
      </c>
      <c r="Q103" s="8">
        <v>0.76</v>
      </c>
      <c r="R103" s="8">
        <v>72.8</v>
      </c>
      <c r="S103" s="8">
        <v>1.34</v>
      </c>
      <c r="T103" s="8">
        <v>97.6</v>
      </c>
      <c r="U103" s="8">
        <v>0.89</v>
      </c>
      <c r="V103" s="8">
        <v>19</v>
      </c>
      <c r="W103" s="8">
        <v>0</v>
      </c>
      <c r="X103" s="8" t="s">
        <v>91</v>
      </c>
      <c r="Y103" s="8">
        <v>0</v>
      </c>
      <c r="Z103" s="8" t="s">
        <v>91</v>
      </c>
      <c r="AA103" s="8">
        <v>2</v>
      </c>
      <c r="AB103" s="8">
        <v>1.1299999999999999</v>
      </c>
      <c r="AC103" s="8">
        <v>0.13698630136986301</v>
      </c>
      <c r="AD103" s="8">
        <v>0.53424657534246578</v>
      </c>
      <c r="AE103" s="8">
        <v>0.23972602739726029</v>
      </c>
      <c r="AF103" s="8">
        <v>8.9041095890410954E-2</v>
      </c>
      <c r="AG103" s="8">
        <v>6</v>
      </c>
      <c r="AH103" s="8">
        <v>6</v>
      </c>
      <c r="AI103" s="8">
        <v>6</v>
      </c>
      <c r="AJ103" s="8">
        <v>6</v>
      </c>
      <c r="AK103" s="8">
        <v>4</v>
      </c>
      <c r="AL103" s="8">
        <v>2</v>
      </c>
      <c r="AM103" s="8">
        <v>4.1095890410958902E-2</v>
      </c>
      <c r="AN103" s="8">
        <v>1.25</v>
      </c>
      <c r="AO103" s="8">
        <v>0</v>
      </c>
      <c r="AP103" s="8" t="s">
        <v>91</v>
      </c>
      <c r="AQ103" s="8">
        <v>131</v>
      </c>
      <c r="AR103" s="9">
        <v>0.85</v>
      </c>
      <c r="AS103" s="9">
        <v>2.7E-2</v>
      </c>
      <c r="AT103" s="9">
        <v>0.23400000000000001</v>
      </c>
      <c r="AU103" s="8">
        <v>112</v>
      </c>
      <c r="AV103" s="9">
        <v>6.2E-2</v>
      </c>
      <c r="AW103" s="8">
        <v>0.50342465753424659</v>
      </c>
      <c r="AX103" s="8">
        <v>64.599999999999994</v>
      </c>
      <c r="AY103" s="8">
        <v>0.12</v>
      </c>
      <c r="AZ103" s="9">
        <v>0.20200000000000001</v>
      </c>
      <c r="BA103" s="8">
        <v>0.03</v>
      </c>
      <c r="BB103" s="8">
        <v>4.24</v>
      </c>
      <c r="BC103" s="8">
        <v>100</v>
      </c>
      <c r="BD103" s="8">
        <v>70</v>
      </c>
      <c r="BE103" s="8">
        <v>15</v>
      </c>
      <c r="BF103" s="8">
        <v>86</v>
      </c>
      <c r="BG103" s="8">
        <v>70</v>
      </c>
      <c r="BH103" s="8">
        <v>7</v>
      </c>
      <c r="BI103" s="8">
        <v>58</v>
      </c>
      <c r="BJ103" s="9">
        <v>0.56200000000000006</v>
      </c>
      <c r="BK103" s="8">
        <v>1.4867415730337079</v>
      </c>
      <c r="BL103" s="8">
        <v>0.15</v>
      </c>
      <c r="BM103" s="8">
        <v>7.0000000000000007E-2</v>
      </c>
      <c r="BN103" s="8">
        <v>0.14000000000000001</v>
      </c>
      <c r="BO103" s="9">
        <v>0.16400000000000001</v>
      </c>
      <c r="BP103" s="8">
        <v>3.38</v>
      </c>
      <c r="BQ103" s="8" t="s">
        <v>91</v>
      </c>
      <c r="BR103" s="8">
        <v>57</v>
      </c>
      <c r="BS103" s="8">
        <v>0.03</v>
      </c>
      <c r="BT103" s="9">
        <v>3.1E-2</v>
      </c>
      <c r="BU103" s="9">
        <v>2.1000000000000001E-2</v>
      </c>
      <c r="BV103" s="8">
        <v>0</v>
      </c>
      <c r="BW103" s="8">
        <v>0.66</v>
      </c>
      <c r="BX103" s="8">
        <v>2.37</v>
      </c>
      <c r="BY103" s="9">
        <v>0.14099999999999999</v>
      </c>
      <c r="CD103" s="8"/>
      <c r="CE103" s="9"/>
      <c r="CF103" s="8"/>
      <c r="CG103" s="8"/>
      <c r="CH103" s="9"/>
      <c r="CI103" s="9"/>
      <c r="CJ103" s="8"/>
      <c r="CK103" s="8"/>
      <c r="CL103" s="8"/>
    </row>
    <row r="104" spans="2:90" ht="19.899999999999999" customHeight="1" x14ac:dyDescent="0.3">
      <c r="B104" s="8" t="s">
        <v>135</v>
      </c>
      <c r="C104" s="8">
        <v>14</v>
      </c>
      <c r="D104" s="8">
        <v>1.26</v>
      </c>
      <c r="E104" s="8">
        <v>323</v>
      </c>
      <c r="F104" s="8">
        <v>1.27</v>
      </c>
      <c r="G104" s="8">
        <v>1.26</v>
      </c>
      <c r="H104" s="9">
        <v>0.192</v>
      </c>
      <c r="I104" s="9">
        <v>0.53200000000000003</v>
      </c>
      <c r="J104" s="8">
        <v>1.03</v>
      </c>
      <c r="K104" s="8">
        <v>1.59</v>
      </c>
      <c r="L104" s="8">
        <v>0.6</v>
      </c>
      <c r="M104" s="8">
        <v>74.900000000000006</v>
      </c>
      <c r="N104" s="8">
        <v>2.23</v>
      </c>
      <c r="O104" s="8">
        <v>84.2</v>
      </c>
      <c r="P104" s="8">
        <v>0.81</v>
      </c>
      <c r="Q104" s="8">
        <v>0.63</v>
      </c>
      <c r="R104" s="8">
        <v>73</v>
      </c>
      <c r="S104" s="8">
        <v>1.29</v>
      </c>
      <c r="T104" s="8">
        <v>83.2</v>
      </c>
      <c r="U104" s="8">
        <v>0.81</v>
      </c>
      <c r="V104" s="8">
        <v>66</v>
      </c>
      <c r="W104" s="8">
        <v>0</v>
      </c>
      <c r="X104" s="8" t="s">
        <v>91</v>
      </c>
      <c r="Y104" s="8">
        <v>2</v>
      </c>
      <c r="Z104" s="8">
        <v>1.89</v>
      </c>
      <c r="AA104" s="8">
        <v>5</v>
      </c>
      <c r="AB104" s="8">
        <v>1.23</v>
      </c>
      <c r="AC104" s="8">
        <v>0.1021671826625387</v>
      </c>
      <c r="AD104" s="8">
        <v>0.50773993808049533</v>
      </c>
      <c r="AE104" s="8">
        <v>0.2198142414860681</v>
      </c>
      <c r="AF104" s="8">
        <v>7.1207430340557279E-2</v>
      </c>
      <c r="AG104" s="8">
        <v>12</v>
      </c>
      <c r="AH104" s="8">
        <v>10</v>
      </c>
      <c r="AI104" s="8">
        <v>8</v>
      </c>
      <c r="AJ104" s="8">
        <v>7</v>
      </c>
      <c r="AK104" s="8">
        <v>5</v>
      </c>
      <c r="AL104" s="8">
        <v>6</v>
      </c>
      <c r="AM104" s="8">
        <v>2.4767801857585141E-2</v>
      </c>
      <c r="AN104" s="8">
        <v>1.06</v>
      </c>
      <c r="AO104" s="8">
        <v>0</v>
      </c>
      <c r="AP104" s="8" t="s">
        <v>91</v>
      </c>
      <c r="AQ104" s="8">
        <v>113.2</v>
      </c>
      <c r="AR104" s="9">
        <v>0.78800000000000003</v>
      </c>
      <c r="AS104" s="9">
        <v>8.8999999999999996E-2</v>
      </c>
      <c r="AT104" s="9">
        <v>0.253</v>
      </c>
      <c r="AU104" s="8">
        <v>104</v>
      </c>
      <c r="AV104" s="9">
        <v>7.6999999999999999E-2</v>
      </c>
      <c r="AW104" s="8">
        <v>0.45718518518518519</v>
      </c>
      <c r="AX104" s="8">
        <v>43.814814814814817</v>
      </c>
      <c r="AY104" s="8">
        <v>0.18</v>
      </c>
      <c r="AZ104" s="9">
        <v>0.215</v>
      </c>
      <c r="BA104" s="8">
        <v>0.04</v>
      </c>
      <c r="BB104" s="8">
        <v>4.18</v>
      </c>
      <c r="BC104" s="8">
        <v>96</v>
      </c>
      <c r="BD104" s="8">
        <v>43</v>
      </c>
      <c r="BE104" s="8">
        <v>59</v>
      </c>
      <c r="BF104" s="8">
        <v>55</v>
      </c>
      <c r="BG104" s="8">
        <v>57</v>
      </c>
      <c r="BH104" s="8">
        <v>1</v>
      </c>
      <c r="BI104" s="8">
        <v>47</v>
      </c>
      <c r="BJ104" s="9">
        <v>0.46</v>
      </c>
      <c r="BK104" s="8">
        <v>1.520059171597633</v>
      </c>
      <c r="BL104" s="8">
        <v>0.13</v>
      </c>
      <c r="BM104" s="8">
        <v>0.09</v>
      </c>
      <c r="BN104" s="8">
        <v>0.1</v>
      </c>
      <c r="BO104" s="9">
        <v>0.19800000000000001</v>
      </c>
      <c r="BP104" s="8">
        <v>3.04</v>
      </c>
      <c r="BQ104" s="9">
        <v>0.8</v>
      </c>
      <c r="BR104" s="8">
        <v>74</v>
      </c>
      <c r="BS104" s="8">
        <v>0.01</v>
      </c>
      <c r="BT104" s="9">
        <v>1.4999999999999999E-2</v>
      </c>
      <c r="BU104" s="9">
        <v>1.2E-2</v>
      </c>
      <c r="BV104" s="8">
        <v>0.31</v>
      </c>
      <c r="BW104" s="8">
        <v>0.51</v>
      </c>
      <c r="BX104" s="8">
        <v>2.12</v>
      </c>
      <c r="BY104" s="9">
        <v>0.218</v>
      </c>
      <c r="CD104" s="8"/>
      <c r="CE104" s="9"/>
      <c r="CF104" s="8"/>
      <c r="CG104" s="8"/>
      <c r="CH104" s="9"/>
      <c r="CI104" s="9"/>
      <c r="CJ104" s="8"/>
      <c r="CK104" s="8"/>
      <c r="CL104" s="8"/>
    </row>
    <row r="105" spans="2:90" ht="19.899999999999999" customHeight="1" x14ac:dyDescent="0.3">
      <c r="B105" s="8" t="s">
        <v>136</v>
      </c>
      <c r="C105" s="8">
        <v>8</v>
      </c>
      <c r="D105" s="8">
        <v>1.24</v>
      </c>
      <c r="E105" s="8">
        <v>179</v>
      </c>
      <c r="F105" s="8">
        <v>1.17</v>
      </c>
      <c r="G105" s="8">
        <v>1.3</v>
      </c>
      <c r="H105" s="9">
        <v>0.251</v>
      </c>
      <c r="I105" s="9">
        <v>0.53300000000000003</v>
      </c>
      <c r="J105" s="8">
        <v>1.1399999999999999</v>
      </c>
      <c r="K105" s="8">
        <v>0.9</v>
      </c>
      <c r="L105" s="8">
        <v>0.69</v>
      </c>
      <c r="M105" s="8">
        <v>69.8</v>
      </c>
      <c r="N105" s="8">
        <v>1.99</v>
      </c>
      <c r="O105" s="8">
        <v>87.4</v>
      </c>
      <c r="P105" s="8">
        <v>0.78</v>
      </c>
      <c r="Q105" s="8">
        <v>0.71</v>
      </c>
      <c r="R105" s="8">
        <v>67.599999999999994</v>
      </c>
      <c r="S105" s="8">
        <v>1.38</v>
      </c>
      <c r="T105" s="8">
        <v>86.5</v>
      </c>
      <c r="U105" s="8">
        <v>0.79</v>
      </c>
      <c r="V105" s="8">
        <v>16</v>
      </c>
      <c r="W105" s="8">
        <v>0</v>
      </c>
      <c r="X105" s="8" t="s">
        <v>91</v>
      </c>
      <c r="Y105" s="8">
        <v>2</v>
      </c>
      <c r="Z105" s="8">
        <v>1.41</v>
      </c>
      <c r="AA105" s="8">
        <v>6</v>
      </c>
      <c r="AB105" s="8">
        <v>1.1299999999999999</v>
      </c>
      <c r="AC105" s="8">
        <v>0.13407821229050279</v>
      </c>
      <c r="AD105" s="8">
        <v>0.49162011173184361</v>
      </c>
      <c r="AE105" s="8">
        <v>0.1955307262569832</v>
      </c>
      <c r="AF105" s="8">
        <v>6.1452513966480438E-2</v>
      </c>
      <c r="AG105" s="8">
        <v>7</v>
      </c>
      <c r="AH105" s="8">
        <v>7</v>
      </c>
      <c r="AI105" s="8">
        <v>5</v>
      </c>
      <c r="AJ105" s="8">
        <v>4</v>
      </c>
      <c r="AK105" s="8">
        <v>3</v>
      </c>
      <c r="AL105" s="8">
        <v>2</v>
      </c>
      <c r="AM105" s="8">
        <v>1.11731843575419E-2</v>
      </c>
      <c r="AN105" s="8">
        <v>1.24</v>
      </c>
      <c r="AO105" s="8">
        <v>0</v>
      </c>
      <c r="AP105" s="8" t="s">
        <v>91</v>
      </c>
      <c r="AQ105" s="8">
        <v>122.8</v>
      </c>
      <c r="AR105" s="9">
        <v>0.70799999999999996</v>
      </c>
      <c r="AS105" s="9">
        <v>6.5000000000000002E-2</v>
      </c>
      <c r="AT105" s="9">
        <v>0.16500000000000001</v>
      </c>
      <c r="AU105" s="8">
        <v>113</v>
      </c>
      <c r="AV105" s="9">
        <v>8.8999999999999996E-2</v>
      </c>
      <c r="AW105" s="8">
        <v>0.33826086956521739</v>
      </c>
      <c r="AX105" s="8">
        <v>53.923913043478258</v>
      </c>
      <c r="AY105" s="8">
        <v>0.13</v>
      </c>
      <c r="AZ105" s="9">
        <v>0.187</v>
      </c>
      <c r="BA105" s="8">
        <v>0.03</v>
      </c>
      <c r="BB105" s="8">
        <v>4.45</v>
      </c>
      <c r="BC105" s="8">
        <v>93</v>
      </c>
      <c r="BD105" s="8">
        <v>28</v>
      </c>
      <c r="BE105" s="8">
        <v>38</v>
      </c>
      <c r="BF105" s="8">
        <v>82</v>
      </c>
      <c r="BG105" s="8">
        <v>33</v>
      </c>
      <c r="BH105" s="8">
        <v>0</v>
      </c>
      <c r="BI105" s="8">
        <v>57</v>
      </c>
      <c r="BJ105" s="9">
        <v>0.51800000000000002</v>
      </c>
      <c r="BK105" s="8">
        <v>1.489047619047619</v>
      </c>
      <c r="BL105" s="8">
        <v>0.13</v>
      </c>
      <c r="BM105" s="8">
        <v>0.11</v>
      </c>
      <c r="BN105" s="8">
        <v>0.09</v>
      </c>
      <c r="BO105" s="9">
        <v>0.16200000000000001</v>
      </c>
      <c r="BP105" s="8">
        <v>3.02</v>
      </c>
      <c r="BQ105" s="9">
        <v>1</v>
      </c>
      <c r="BR105" s="8">
        <v>72</v>
      </c>
      <c r="BS105" s="8">
        <v>0</v>
      </c>
      <c r="BT105" s="9">
        <v>0</v>
      </c>
      <c r="BU105" s="8" t="s">
        <v>91</v>
      </c>
      <c r="BV105" s="8">
        <v>0.56000000000000005</v>
      </c>
      <c r="BW105" s="8">
        <v>0.6</v>
      </c>
      <c r="BX105" s="8">
        <v>2.16</v>
      </c>
      <c r="BY105" s="9">
        <v>0.17299999999999999</v>
      </c>
      <c r="CD105" s="8"/>
      <c r="CE105" s="9"/>
      <c r="CF105" s="8"/>
      <c r="CG105" s="8"/>
      <c r="CH105" s="9"/>
      <c r="CI105" s="9"/>
      <c r="CJ105" s="8"/>
      <c r="CK105" s="8"/>
      <c r="CL105" s="8"/>
    </row>
    <row r="106" spans="2:90" ht="19.899999999999999" customHeight="1" x14ac:dyDescent="0.3">
      <c r="B106" s="8" t="s">
        <v>137</v>
      </c>
      <c r="C106" s="8">
        <v>7</v>
      </c>
      <c r="D106" s="8">
        <v>1.23</v>
      </c>
      <c r="E106" s="8">
        <v>138</v>
      </c>
      <c r="F106" s="8">
        <v>1.53</v>
      </c>
      <c r="G106" s="8">
        <v>0.95</v>
      </c>
      <c r="H106" s="9">
        <v>0.13</v>
      </c>
      <c r="I106" s="9">
        <v>0.72199999999999998</v>
      </c>
      <c r="J106" s="8">
        <v>1.08</v>
      </c>
      <c r="K106" s="8">
        <v>1.55</v>
      </c>
      <c r="L106" s="8">
        <v>0.56000000000000005</v>
      </c>
      <c r="M106" s="8">
        <v>79.7</v>
      </c>
      <c r="N106" s="8">
        <v>1.59</v>
      </c>
      <c r="O106" s="8">
        <v>80.5</v>
      </c>
      <c r="P106" s="8">
        <v>0.84</v>
      </c>
      <c r="Q106" s="8">
        <v>0.61</v>
      </c>
      <c r="R106" s="8">
        <v>78.7</v>
      </c>
      <c r="S106" s="8">
        <v>1.1200000000000001</v>
      </c>
      <c r="T106" s="8">
        <v>75.599999999999994</v>
      </c>
      <c r="U106" s="8">
        <v>0.75</v>
      </c>
      <c r="V106" s="8">
        <v>39</v>
      </c>
      <c r="W106" s="8">
        <v>0</v>
      </c>
      <c r="X106" s="8" t="s">
        <v>91</v>
      </c>
      <c r="Y106" s="8">
        <v>0</v>
      </c>
      <c r="Z106" s="8" t="s">
        <v>91</v>
      </c>
      <c r="AA106" s="8">
        <v>4</v>
      </c>
      <c r="AB106" s="8">
        <v>1.2</v>
      </c>
      <c r="AC106" s="8">
        <v>9.420289855072464E-2</v>
      </c>
      <c r="AD106" s="8">
        <v>0.54347826086956519</v>
      </c>
      <c r="AE106" s="8">
        <v>0.2318840579710145</v>
      </c>
      <c r="AF106" s="8">
        <v>5.7971014492753617E-2</v>
      </c>
      <c r="AG106" s="8">
        <v>7</v>
      </c>
      <c r="AH106" s="8">
        <v>5</v>
      </c>
      <c r="AI106" s="8">
        <v>4</v>
      </c>
      <c r="AJ106" s="8">
        <v>4</v>
      </c>
      <c r="AK106" s="8">
        <v>3</v>
      </c>
      <c r="AL106" s="8">
        <v>2</v>
      </c>
      <c r="AM106" s="8">
        <v>1.4492753623188409E-2</v>
      </c>
      <c r="AN106" s="8">
        <v>1.05</v>
      </c>
      <c r="AO106" s="8">
        <v>0</v>
      </c>
      <c r="AP106" s="8" t="s">
        <v>91</v>
      </c>
      <c r="AQ106" s="8">
        <v>94.7</v>
      </c>
      <c r="AR106" s="9">
        <v>0.69199999999999995</v>
      </c>
      <c r="AS106" s="9">
        <v>8.5000000000000006E-2</v>
      </c>
      <c r="AT106" s="9">
        <v>0.34499999999999997</v>
      </c>
      <c r="AU106" s="8">
        <v>96</v>
      </c>
      <c r="AV106" s="9">
        <v>8.6999999999999994E-2</v>
      </c>
      <c r="AW106" s="8">
        <v>0.56016949152542372</v>
      </c>
      <c r="AX106" s="8">
        <v>61.486440677966101</v>
      </c>
      <c r="AY106" s="8">
        <v>0.18</v>
      </c>
      <c r="AZ106" s="9">
        <v>0.221</v>
      </c>
      <c r="BA106" s="8">
        <v>0.05</v>
      </c>
      <c r="BB106" s="8">
        <v>2.67</v>
      </c>
      <c r="BC106" s="8">
        <v>94</v>
      </c>
      <c r="BD106" s="8">
        <v>61</v>
      </c>
      <c r="BE106" s="8">
        <v>85</v>
      </c>
      <c r="BF106" s="8">
        <v>39</v>
      </c>
      <c r="BG106" s="8">
        <v>39</v>
      </c>
      <c r="BH106" s="8">
        <v>94</v>
      </c>
      <c r="BI106" s="8">
        <v>58</v>
      </c>
      <c r="BJ106" s="9">
        <v>0.32800000000000001</v>
      </c>
      <c r="BK106" s="8">
        <v>1.3859183673469391</v>
      </c>
      <c r="BL106" s="8">
        <v>0.12</v>
      </c>
      <c r="BM106" s="8">
        <v>0.17</v>
      </c>
      <c r="BN106" s="8">
        <v>0.12</v>
      </c>
      <c r="BO106" s="9">
        <v>0.217</v>
      </c>
      <c r="BP106" s="8">
        <v>2.17</v>
      </c>
      <c r="BQ106" s="9">
        <v>1</v>
      </c>
      <c r="BR106" s="8">
        <v>77</v>
      </c>
      <c r="BS106" s="8">
        <v>0.44</v>
      </c>
      <c r="BT106" s="9">
        <v>0.52600000000000002</v>
      </c>
      <c r="BU106" s="9">
        <v>0.29699999999999999</v>
      </c>
      <c r="BV106" s="8">
        <v>2.17</v>
      </c>
      <c r="BW106" s="8">
        <v>0.87</v>
      </c>
      <c r="BX106" s="8">
        <v>2.09</v>
      </c>
      <c r="BY106" s="9">
        <v>0.216</v>
      </c>
      <c r="CD106" s="8"/>
      <c r="CE106" s="9"/>
      <c r="CF106" s="8"/>
      <c r="CG106" s="8"/>
      <c r="CH106" s="9"/>
      <c r="CI106" s="9"/>
      <c r="CJ106" s="8"/>
      <c r="CK106" s="8"/>
      <c r="CL106" s="8"/>
    </row>
    <row r="107" spans="2:90" ht="19.899999999999999" customHeight="1" x14ac:dyDescent="0.3">
      <c r="B107" s="8" t="s">
        <v>138</v>
      </c>
      <c r="C107" s="8">
        <v>14</v>
      </c>
      <c r="D107" s="8">
        <v>1.19</v>
      </c>
      <c r="E107" s="8">
        <v>323</v>
      </c>
      <c r="F107" s="8">
        <v>1.1599999999999999</v>
      </c>
      <c r="G107" s="8">
        <v>1.22</v>
      </c>
      <c r="H107" s="9">
        <v>0.19500000000000001</v>
      </c>
      <c r="I107" s="9">
        <v>0.50800000000000001</v>
      </c>
      <c r="J107" s="8">
        <v>1</v>
      </c>
      <c r="K107" s="8">
        <v>1.08</v>
      </c>
      <c r="L107" s="8">
        <v>0.57999999999999996</v>
      </c>
      <c r="M107" s="8">
        <v>77.7</v>
      </c>
      <c r="N107" s="8">
        <v>1.94</v>
      </c>
      <c r="O107" s="8">
        <v>74.599999999999994</v>
      </c>
      <c r="P107" s="8">
        <v>0.67</v>
      </c>
      <c r="Q107" s="8">
        <v>0.57999999999999996</v>
      </c>
      <c r="R107" s="8">
        <v>74.8</v>
      </c>
      <c r="S107" s="8">
        <v>1.03</v>
      </c>
      <c r="T107" s="8">
        <v>75.900000000000006</v>
      </c>
      <c r="U107" s="8">
        <v>0.7</v>
      </c>
      <c r="V107" s="8">
        <v>31</v>
      </c>
      <c r="W107" s="8">
        <v>0</v>
      </c>
      <c r="X107" s="8" t="s">
        <v>91</v>
      </c>
      <c r="Y107" s="8">
        <v>2</v>
      </c>
      <c r="Z107" s="8">
        <v>1.47</v>
      </c>
      <c r="AA107" s="8">
        <v>5</v>
      </c>
      <c r="AB107" s="8">
        <v>1.1100000000000001</v>
      </c>
      <c r="AC107" s="8">
        <v>9.9071207430340563E-2</v>
      </c>
      <c r="AD107" s="8">
        <v>0.44272445820433443</v>
      </c>
      <c r="AE107" s="8">
        <v>0.1919504643962848</v>
      </c>
      <c r="AF107" s="8">
        <v>3.7151702786377708E-2</v>
      </c>
      <c r="AG107" s="8">
        <v>12</v>
      </c>
      <c r="AH107" s="8">
        <v>9</v>
      </c>
      <c r="AI107" s="8">
        <v>9</v>
      </c>
      <c r="AJ107" s="8">
        <v>8</v>
      </c>
      <c r="AK107" s="8">
        <v>6</v>
      </c>
      <c r="AL107" s="8">
        <v>0</v>
      </c>
      <c r="AM107" s="8">
        <v>0</v>
      </c>
      <c r="AN107" s="8">
        <v>0.93</v>
      </c>
      <c r="AO107" s="8">
        <v>0</v>
      </c>
      <c r="AP107" s="8" t="s">
        <v>91</v>
      </c>
      <c r="AQ107" s="8">
        <v>99.6</v>
      </c>
      <c r="AR107" s="9">
        <v>0.84399999999999997</v>
      </c>
      <c r="AS107" s="9">
        <v>0.156</v>
      </c>
      <c r="AT107" s="9">
        <v>0.252</v>
      </c>
      <c r="AU107" s="8">
        <v>110</v>
      </c>
      <c r="AV107" s="9">
        <v>6.8000000000000005E-2</v>
      </c>
      <c r="AW107" s="8">
        <v>0.31970370370370371</v>
      </c>
      <c r="AX107" s="8">
        <v>39.785185185185178</v>
      </c>
      <c r="AY107" s="8">
        <v>0.15</v>
      </c>
      <c r="AZ107" s="9">
        <v>0.27300000000000002</v>
      </c>
      <c r="BA107" s="8">
        <v>7.0000000000000007E-2</v>
      </c>
      <c r="BB107" s="8">
        <v>5.4</v>
      </c>
      <c r="BC107" s="8">
        <v>67</v>
      </c>
      <c r="BD107" s="8">
        <v>72</v>
      </c>
      <c r="BE107" s="8">
        <v>64</v>
      </c>
      <c r="BF107" s="8">
        <v>53</v>
      </c>
      <c r="BG107" s="8">
        <v>11</v>
      </c>
      <c r="BH107" s="8">
        <v>0</v>
      </c>
      <c r="BI107" s="8">
        <v>85</v>
      </c>
      <c r="BJ107" s="9">
        <v>0.61</v>
      </c>
      <c r="BK107" s="8">
        <v>1.5035502958579881</v>
      </c>
      <c r="BL107" s="8">
        <v>0.16</v>
      </c>
      <c r="BM107" s="8">
        <v>0.11</v>
      </c>
      <c r="BN107" s="8">
        <v>0.09</v>
      </c>
      <c r="BO107" s="9">
        <v>0.27600000000000002</v>
      </c>
      <c r="BP107" s="8">
        <v>3</v>
      </c>
      <c r="BQ107" s="8" t="s">
        <v>91</v>
      </c>
      <c r="BR107" s="8">
        <v>76</v>
      </c>
      <c r="BS107" s="8">
        <v>0.01</v>
      </c>
      <c r="BT107" s="9">
        <v>8.9999999999999993E-3</v>
      </c>
      <c r="BU107" s="8" t="s">
        <v>91</v>
      </c>
      <c r="BV107" s="8">
        <v>1.55</v>
      </c>
      <c r="BW107" s="8">
        <v>1.37</v>
      </c>
      <c r="BX107" s="8">
        <v>2.36</v>
      </c>
      <c r="BY107" s="9">
        <v>0.22500000000000001</v>
      </c>
      <c r="CD107" s="8"/>
      <c r="CE107" s="9"/>
      <c r="CF107" s="8"/>
      <c r="CG107" s="8"/>
      <c r="CH107" s="9"/>
      <c r="CI107" s="9"/>
      <c r="CJ107" s="8"/>
      <c r="CK107" s="8"/>
      <c r="CL107" s="8"/>
    </row>
    <row r="108" spans="2:90" ht="19.899999999999999" customHeight="1" x14ac:dyDescent="0.3">
      <c r="B108" s="8" t="s">
        <v>130</v>
      </c>
      <c r="C108" s="8">
        <v>16</v>
      </c>
      <c r="D108" s="8">
        <v>1.19</v>
      </c>
      <c r="E108" s="8">
        <v>366</v>
      </c>
      <c r="F108" s="8">
        <v>1.1399999999999999</v>
      </c>
      <c r="G108" s="8">
        <v>1.23</v>
      </c>
      <c r="H108" s="9">
        <v>0.191</v>
      </c>
      <c r="I108" s="9">
        <v>0.48599999999999999</v>
      </c>
      <c r="J108" s="8">
        <v>0.97</v>
      </c>
      <c r="K108" s="8">
        <v>1.37</v>
      </c>
      <c r="L108" s="8">
        <v>0.63</v>
      </c>
      <c r="M108" s="8">
        <v>75.400000000000006</v>
      </c>
      <c r="N108" s="8">
        <v>1.69</v>
      </c>
      <c r="O108" s="8">
        <v>80.900000000000006</v>
      </c>
      <c r="P108" s="8">
        <v>0.73</v>
      </c>
      <c r="Q108" s="8">
        <v>0.65</v>
      </c>
      <c r="R108" s="8">
        <v>71.599999999999994</v>
      </c>
      <c r="S108" s="8">
        <v>1.2</v>
      </c>
      <c r="T108" s="8">
        <v>80.599999999999994</v>
      </c>
      <c r="U108" s="8">
        <v>0.74</v>
      </c>
      <c r="V108" s="8">
        <v>34</v>
      </c>
      <c r="W108" s="8">
        <v>0</v>
      </c>
      <c r="X108" s="8" t="s">
        <v>91</v>
      </c>
      <c r="Y108" s="8">
        <v>0</v>
      </c>
      <c r="Z108" s="8" t="s">
        <v>91</v>
      </c>
      <c r="AA108" s="8">
        <v>3</v>
      </c>
      <c r="AB108" s="8">
        <v>1.36</v>
      </c>
      <c r="AC108" s="8">
        <v>9.2896174863387984E-2</v>
      </c>
      <c r="AD108" s="8">
        <v>0.47814207650273222</v>
      </c>
      <c r="AE108" s="8">
        <v>0.17759562841530049</v>
      </c>
      <c r="AF108" s="8">
        <v>5.737704918032787E-2</v>
      </c>
      <c r="AG108" s="8">
        <v>14</v>
      </c>
      <c r="AH108" s="8">
        <v>12</v>
      </c>
      <c r="AI108" s="8">
        <v>10</v>
      </c>
      <c r="AJ108" s="8">
        <v>7</v>
      </c>
      <c r="AK108" s="8">
        <v>4</v>
      </c>
      <c r="AL108" s="8">
        <v>3</v>
      </c>
      <c r="AM108" s="8">
        <v>8.1967213114754103E-3</v>
      </c>
      <c r="AN108" s="8">
        <v>1.03</v>
      </c>
      <c r="AO108" s="8">
        <v>0</v>
      </c>
      <c r="AP108" s="8" t="s">
        <v>91</v>
      </c>
      <c r="AQ108" s="8">
        <v>109.6</v>
      </c>
      <c r="AR108" s="9">
        <v>0.76500000000000001</v>
      </c>
      <c r="AS108" s="9">
        <v>0.10299999999999999</v>
      </c>
      <c r="AT108" s="9">
        <v>0.26300000000000001</v>
      </c>
      <c r="AU108" s="8">
        <v>111</v>
      </c>
      <c r="AV108" s="9">
        <v>6.3E-2</v>
      </c>
      <c r="AW108" s="8">
        <v>0.35739393939393937</v>
      </c>
      <c r="AX108" s="8">
        <v>45.938181818181839</v>
      </c>
      <c r="AY108" s="8">
        <v>0.14000000000000001</v>
      </c>
      <c r="AZ108" s="9">
        <v>0.24099999999999999</v>
      </c>
      <c r="BA108" s="8">
        <v>0.04</v>
      </c>
      <c r="BB108" s="8">
        <v>3.13</v>
      </c>
      <c r="BC108" s="8">
        <v>80</v>
      </c>
      <c r="BD108" s="8">
        <v>81</v>
      </c>
      <c r="BE108" s="8">
        <v>60</v>
      </c>
      <c r="BF108" s="8">
        <v>44</v>
      </c>
      <c r="BG108" s="8">
        <v>27</v>
      </c>
      <c r="BH108" s="8">
        <v>1</v>
      </c>
      <c r="BI108" s="8">
        <v>51</v>
      </c>
      <c r="BJ108" s="9">
        <v>0.68</v>
      </c>
      <c r="BK108" s="8">
        <v>1.404050632911392</v>
      </c>
      <c r="BL108" s="8">
        <v>0.15</v>
      </c>
      <c r="BM108" s="8">
        <v>0.13</v>
      </c>
      <c r="BN108" s="8">
        <v>0.13</v>
      </c>
      <c r="BO108" s="9">
        <v>0.219</v>
      </c>
      <c r="BP108" s="8">
        <v>2.68</v>
      </c>
      <c r="BQ108" s="9">
        <v>0.6</v>
      </c>
      <c r="BR108" s="8">
        <v>74</v>
      </c>
      <c r="BS108" s="8">
        <v>0.01</v>
      </c>
      <c r="BT108" s="9">
        <v>8.0000000000000002E-3</v>
      </c>
      <c r="BU108" s="9">
        <v>3.0000000000000001E-3</v>
      </c>
      <c r="BV108" s="8">
        <v>0.27</v>
      </c>
      <c r="BW108" s="8">
        <v>0.68</v>
      </c>
      <c r="BX108" s="8">
        <v>2.23</v>
      </c>
      <c r="BY108" s="9">
        <v>0.19900000000000001</v>
      </c>
      <c r="CD108" s="8"/>
      <c r="CE108" s="9"/>
      <c r="CF108" s="8"/>
      <c r="CG108" s="8"/>
      <c r="CH108" s="9"/>
      <c r="CI108" s="9"/>
      <c r="CJ108" s="8"/>
      <c r="CK108" s="8"/>
      <c r="CL108" s="8"/>
    </row>
    <row r="109" spans="2:90" ht="19.899999999999999" customHeight="1" x14ac:dyDescent="0.3">
      <c r="B109" s="8" t="s">
        <v>139</v>
      </c>
      <c r="C109" s="8">
        <v>11</v>
      </c>
      <c r="D109" s="8">
        <v>1.19</v>
      </c>
      <c r="E109" s="8">
        <v>264</v>
      </c>
      <c r="F109" s="8">
        <v>1.07</v>
      </c>
      <c r="G109" s="8">
        <v>1.3</v>
      </c>
      <c r="H109" s="9">
        <v>0.189</v>
      </c>
      <c r="I109" s="9">
        <v>0.64</v>
      </c>
      <c r="J109" s="8">
        <v>1.1599999999999999</v>
      </c>
      <c r="K109" s="8">
        <v>1.66</v>
      </c>
      <c r="L109" s="8">
        <v>0.72</v>
      </c>
      <c r="M109" s="8">
        <v>70.5</v>
      </c>
      <c r="N109" s="8">
        <v>1.32</v>
      </c>
      <c r="O109" s="8">
        <v>85.9</v>
      </c>
      <c r="P109" s="8">
        <v>0.76</v>
      </c>
      <c r="Q109" s="8">
        <v>0.73</v>
      </c>
      <c r="R109" s="8">
        <v>72</v>
      </c>
      <c r="S109" s="8">
        <v>1.34</v>
      </c>
      <c r="T109" s="8">
        <v>85.8</v>
      </c>
      <c r="U109" s="8">
        <v>0.75</v>
      </c>
      <c r="V109" s="8">
        <v>10</v>
      </c>
      <c r="W109" s="8">
        <v>0</v>
      </c>
      <c r="X109" s="8" t="s">
        <v>91</v>
      </c>
      <c r="Y109" s="8">
        <v>3</v>
      </c>
      <c r="Z109" s="8">
        <v>1.1499999999999999</v>
      </c>
      <c r="AA109" s="8">
        <v>5</v>
      </c>
      <c r="AB109" s="8">
        <v>1.23</v>
      </c>
      <c r="AC109" s="8">
        <v>0.1212121212121212</v>
      </c>
      <c r="AD109" s="8">
        <v>0.49621212121212122</v>
      </c>
      <c r="AE109" s="8">
        <v>0.1553030303030303</v>
      </c>
      <c r="AF109" s="8">
        <v>7.1969696969696975E-2</v>
      </c>
      <c r="AG109" s="8">
        <v>9</v>
      </c>
      <c r="AH109" s="8">
        <v>8</v>
      </c>
      <c r="AI109" s="8">
        <v>6</v>
      </c>
      <c r="AJ109" s="8">
        <v>3</v>
      </c>
      <c r="AK109" s="8">
        <v>3</v>
      </c>
      <c r="AL109" s="8">
        <v>6</v>
      </c>
      <c r="AM109" s="8">
        <v>4.5454545454545463E-2</v>
      </c>
      <c r="AN109" s="8">
        <v>1.1000000000000001</v>
      </c>
      <c r="AO109" s="8">
        <v>0</v>
      </c>
      <c r="AP109" s="8" t="s">
        <v>91</v>
      </c>
      <c r="AQ109" s="8">
        <v>119.8</v>
      </c>
      <c r="AR109" s="9">
        <v>0.75</v>
      </c>
      <c r="AS109" s="9">
        <v>0.03</v>
      </c>
      <c r="AT109" s="9">
        <v>0.22</v>
      </c>
      <c r="AU109" s="8">
        <v>113</v>
      </c>
      <c r="AV109" s="9">
        <v>0.106</v>
      </c>
      <c r="AW109" s="8">
        <v>0.43037037037037029</v>
      </c>
      <c r="AX109" s="8">
        <v>53.506666666666689</v>
      </c>
      <c r="AY109" s="8">
        <v>0.16</v>
      </c>
      <c r="AZ109" s="9">
        <v>0.22600000000000001</v>
      </c>
      <c r="BA109" s="8">
        <v>0.03</v>
      </c>
      <c r="BB109" s="8">
        <v>5.6</v>
      </c>
      <c r="BC109" s="8">
        <v>78</v>
      </c>
      <c r="BD109" s="8">
        <v>70</v>
      </c>
      <c r="BE109" s="8">
        <v>58</v>
      </c>
      <c r="BF109" s="8">
        <v>69</v>
      </c>
      <c r="BG109" s="8">
        <v>85</v>
      </c>
      <c r="BH109" s="8">
        <v>2</v>
      </c>
      <c r="BI109" s="8">
        <v>59</v>
      </c>
      <c r="BJ109" s="9">
        <v>0.53</v>
      </c>
      <c r="BK109" s="8">
        <v>1.3493506493506491</v>
      </c>
      <c r="BL109" s="8">
        <v>0.16</v>
      </c>
      <c r="BM109" s="8">
        <v>0.11</v>
      </c>
      <c r="BN109" s="8">
        <v>0.11</v>
      </c>
      <c r="BO109" s="9">
        <v>0.14000000000000001</v>
      </c>
      <c r="BP109" s="8">
        <v>3.08</v>
      </c>
      <c r="BQ109" s="9">
        <v>0.66700000000000004</v>
      </c>
      <c r="BR109" s="8">
        <v>68</v>
      </c>
      <c r="BS109" s="8">
        <v>0.02</v>
      </c>
      <c r="BT109" s="9">
        <v>0.02</v>
      </c>
      <c r="BU109" s="9">
        <v>8.0000000000000002E-3</v>
      </c>
      <c r="BV109" s="8">
        <v>0.76</v>
      </c>
      <c r="BW109" s="8">
        <v>0.48</v>
      </c>
      <c r="BX109" s="8">
        <v>2.65</v>
      </c>
      <c r="BY109" s="9">
        <v>0.21</v>
      </c>
      <c r="CD109" s="8"/>
      <c r="CE109" s="9"/>
      <c r="CF109" s="8"/>
      <c r="CG109" s="8"/>
      <c r="CH109" s="9"/>
      <c r="CI109" s="9"/>
      <c r="CJ109" s="8"/>
      <c r="CK109" s="8"/>
      <c r="CL109" s="8"/>
    </row>
    <row r="110" spans="2:90" ht="19.899999999999999" customHeight="1" x14ac:dyDescent="0.3">
      <c r="B110" s="8" t="s">
        <v>140</v>
      </c>
      <c r="C110" s="8">
        <v>7</v>
      </c>
      <c r="D110" s="8">
        <v>1.18</v>
      </c>
      <c r="E110" s="8">
        <v>138</v>
      </c>
      <c r="F110" s="8">
        <v>1.1100000000000001</v>
      </c>
      <c r="G110" s="8">
        <v>1.25</v>
      </c>
      <c r="H110" s="9">
        <v>0.23899999999999999</v>
      </c>
      <c r="I110" s="9">
        <v>0.36399999999999999</v>
      </c>
      <c r="J110" s="8">
        <v>0.85</v>
      </c>
      <c r="K110" s="8">
        <v>1.1100000000000001</v>
      </c>
      <c r="L110" s="8">
        <v>0.56999999999999995</v>
      </c>
      <c r="M110" s="8">
        <v>77.5</v>
      </c>
      <c r="N110" s="8">
        <v>1.88</v>
      </c>
      <c r="O110" s="8">
        <v>71.8</v>
      </c>
      <c r="P110" s="8">
        <v>0.65</v>
      </c>
      <c r="Q110" s="8">
        <v>0.6</v>
      </c>
      <c r="R110" s="8">
        <v>76.5</v>
      </c>
      <c r="S110" s="8">
        <v>1.08</v>
      </c>
      <c r="T110" s="8">
        <v>73</v>
      </c>
      <c r="U110" s="8">
        <v>0.7</v>
      </c>
      <c r="V110" s="8">
        <v>11</v>
      </c>
      <c r="W110" s="8">
        <v>0</v>
      </c>
      <c r="X110" s="8" t="s">
        <v>91</v>
      </c>
      <c r="Y110" s="8">
        <v>0</v>
      </c>
      <c r="Z110" s="8" t="s">
        <v>91</v>
      </c>
      <c r="AA110" s="8">
        <v>4</v>
      </c>
      <c r="AB110" s="8">
        <v>1.17</v>
      </c>
      <c r="AC110" s="8">
        <v>8.6956521739130432E-2</v>
      </c>
      <c r="AD110" s="8">
        <v>0.46376811594202899</v>
      </c>
      <c r="AE110" s="8">
        <v>0.1521739130434783</v>
      </c>
      <c r="AF110" s="8">
        <v>2.8985507246376808E-2</v>
      </c>
      <c r="AG110" s="8">
        <v>6</v>
      </c>
      <c r="AH110" s="8">
        <v>6</v>
      </c>
      <c r="AI110" s="8">
        <v>4</v>
      </c>
      <c r="AJ110" s="8">
        <v>3</v>
      </c>
      <c r="AK110" s="8">
        <v>1</v>
      </c>
      <c r="AL110" s="8">
        <v>2</v>
      </c>
      <c r="AM110" s="8">
        <v>1.4492753623188409E-2</v>
      </c>
      <c r="AN110" s="8">
        <v>0.85</v>
      </c>
      <c r="AO110" s="8">
        <v>0</v>
      </c>
      <c r="AP110" s="8" t="s">
        <v>91</v>
      </c>
      <c r="AQ110" s="8">
        <v>90.4</v>
      </c>
      <c r="AR110" s="9">
        <v>0.83299999999999996</v>
      </c>
      <c r="AS110" s="9">
        <v>8.5000000000000006E-2</v>
      </c>
      <c r="AT110" s="9">
        <v>0.28899999999999998</v>
      </c>
      <c r="AU110" s="8">
        <v>110</v>
      </c>
      <c r="AV110" s="9">
        <v>0.08</v>
      </c>
      <c r="AW110" s="8">
        <v>0.38728813559322051</v>
      </c>
      <c r="AX110" s="8">
        <v>46.894915254237283</v>
      </c>
      <c r="AY110" s="8">
        <v>0.15</v>
      </c>
      <c r="AZ110" s="9">
        <v>0.22800000000000001</v>
      </c>
      <c r="BA110" s="8">
        <v>0.03</v>
      </c>
      <c r="BB110" s="8">
        <v>2.9</v>
      </c>
      <c r="BC110" s="8">
        <v>45</v>
      </c>
      <c r="BD110" s="8">
        <v>49</v>
      </c>
      <c r="BE110" s="8">
        <v>77</v>
      </c>
      <c r="BF110" s="8">
        <v>48</v>
      </c>
      <c r="BG110" s="8">
        <v>38</v>
      </c>
      <c r="BH110" s="8">
        <v>0</v>
      </c>
      <c r="BI110" s="8">
        <v>20</v>
      </c>
      <c r="BJ110" s="9">
        <v>0.63300000000000001</v>
      </c>
      <c r="BK110" s="8">
        <v>1.361428571428571</v>
      </c>
      <c r="BL110" s="8">
        <v>0.13</v>
      </c>
      <c r="BM110" s="8">
        <v>0.14000000000000001</v>
      </c>
      <c r="BN110" s="8">
        <v>0.09</v>
      </c>
      <c r="BO110" s="9">
        <v>0.23899999999999999</v>
      </c>
      <c r="BP110" s="8">
        <v>2.48</v>
      </c>
      <c r="BQ110" s="9">
        <v>1</v>
      </c>
      <c r="BR110" s="8">
        <v>73</v>
      </c>
      <c r="BS110" s="8">
        <v>0.01</v>
      </c>
      <c r="BT110" s="9">
        <v>1.0999999999999999E-2</v>
      </c>
      <c r="BU110" s="9">
        <v>7.0000000000000001E-3</v>
      </c>
      <c r="BV110" s="8">
        <v>0</v>
      </c>
      <c r="BW110" s="8">
        <v>0.33</v>
      </c>
      <c r="BX110" s="8">
        <v>2.46</v>
      </c>
      <c r="BY110" s="9">
        <v>0.23300000000000001</v>
      </c>
      <c r="CD110" s="8"/>
      <c r="CE110" s="9"/>
      <c r="CF110" s="8"/>
      <c r="CG110" s="8"/>
      <c r="CH110" s="9"/>
      <c r="CI110" s="9"/>
      <c r="CJ110" s="8"/>
      <c r="CK110" s="8"/>
      <c r="CL110" s="8"/>
    </row>
    <row r="111" spans="2:90" ht="19.899999999999999" customHeight="1" x14ac:dyDescent="0.3">
      <c r="B111" s="8" t="s">
        <v>141</v>
      </c>
      <c r="C111" s="8">
        <v>14</v>
      </c>
      <c r="D111" s="8">
        <v>1.18</v>
      </c>
      <c r="E111" s="8">
        <v>323</v>
      </c>
      <c r="F111" s="8">
        <v>1.07</v>
      </c>
      <c r="G111" s="8">
        <v>1.28</v>
      </c>
      <c r="H111" s="9">
        <v>0.17299999999999999</v>
      </c>
      <c r="I111" s="9">
        <v>0.58899999999999997</v>
      </c>
      <c r="J111" s="8">
        <v>1.06</v>
      </c>
      <c r="K111" s="8">
        <v>1.43</v>
      </c>
      <c r="L111" s="8">
        <v>0.56000000000000005</v>
      </c>
      <c r="M111" s="8">
        <v>77.400000000000006</v>
      </c>
      <c r="N111" s="8">
        <v>1.97</v>
      </c>
      <c r="O111" s="8">
        <v>73.900000000000006</v>
      </c>
      <c r="P111" s="8">
        <v>0.79</v>
      </c>
      <c r="Q111" s="8">
        <v>0.62</v>
      </c>
      <c r="R111" s="8">
        <v>74.099999999999994</v>
      </c>
      <c r="S111" s="8">
        <v>1.1200000000000001</v>
      </c>
      <c r="T111" s="8">
        <v>71.2</v>
      </c>
      <c r="U111" s="8">
        <v>0.73</v>
      </c>
      <c r="V111" s="8">
        <v>74</v>
      </c>
      <c r="W111" s="8">
        <v>0</v>
      </c>
      <c r="X111" s="8" t="s">
        <v>91</v>
      </c>
      <c r="Y111" s="8">
        <v>2</v>
      </c>
      <c r="Z111" s="8">
        <v>1.27</v>
      </c>
      <c r="AA111" s="8">
        <v>5</v>
      </c>
      <c r="AB111" s="8">
        <v>0.95</v>
      </c>
      <c r="AC111" s="8">
        <v>0.1021671826625387</v>
      </c>
      <c r="AD111" s="8">
        <v>0.52321981424148611</v>
      </c>
      <c r="AE111" s="8">
        <v>0.20743034055727549</v>
      </c>
      <c r="AF111" s="8">
        <v>4.9535603715170282E-2</v>
      </c>
      <c r="AG111" s="8">
        <v>13</v>
      </c>
      <c r="AH111" s="8">
        <v>10</v>
      </c>
      <c r="AI111" s="8">
        <v>8</v>
      </c>
      <c r="AJ111" s="8">
        <v>5</v>
      </c>
      <c r="AK111" s="8">
        <v>5</v>
      </c>
      <c r="AL111" s="8">
        <v>7</v>
      </c>
      <c r="AM111" s="8">
        <v>2.7863777089783281E-2</v>
      </c>
      <c r="AN111" s="8">
        <v>0.99</v>
      </c>
      <c r="AO111" s="8">
        <v>0</v>
      </c>
      <c r="AP111" s="8" t="s">
        <v>91</v>
      </c>
      <c r="AQ111" s="8">
        <v>99.5</v>
      </c>
      <c r="AR111" s="9">
        <v>0.66700000000000004</v>
      </c>
      <c r="AS111" s="9">
        <v>0.156</v>
      </c>
      <c r="AT111" s="9">
        <v>0.24299999999999999</v>
      </c>
      <c r="AU111" s="8">
        <v>94</v>
      </c>
      <c r="AV111" s="9">
        <v>0.121</v>
      </c>
      <c r="AW111" s="8">
        <v>0.51022222222222224</v>
      </c>
      <c r="AX111" s="8">
        <v>38.249629629629638</v>
      </c>
      <c r="AY111" s="8">
        <v>0.13</v>
      </c>
      <c r="AZ111" s="9">
        <v>0.19900000000000001</v>
      </c>
      <c r="BA111" s="8">
        <v>0.09</v>
      </c>
      <c r="BB111" s="8">
        <v>1.64</v>
      </c>
      <c r="BC111" s="8">
        <v>81</v>
      </c>
      <c r="BD111" s="8">
        <v>20</v>
      </c>
      <c r="BE111" s="8">
        <v>23</v>
      </c>
      <c r="BF111" s="8">
        <v>48</v>
      </c>
      <c r="BG111" s="8">
        <v>70</v>
      </c>
      <c r="BH111" s="8">
        <v>94</v>
      </c>
      <c r="BI111" s="8">
        <v>58</v>
      </c>
      <c r="BJ111" s="9">
        <v>0.318</v>
      </c>
      <c r="BK111" s="8">
        <v>1.4175147928994081</v>
      </c>
      <c r="BL111" s="8">
        <v>0.11</v>
      </c>
      <c r="BM111" s="8">
        <v>0.08</v>
      </c>
      <c r="BN111" s="8">
        <v>0.06</v>
      </c>
      <c r="BO111" s="9">
        <v>0.189</v>
      </c>
      <c r="BP111" s="8">
        <v>1.76</v>
      </c>
      <c r="BQ111" s="9">
        <v>0.55600000000000005</v>
      </c>
      <c r="BR111" s="8">
        <v>78</v>
      </c>
      <c r="BS111" s="8">
        <v>0.44</v>
      </c>
      <c r="BT111" s="9">
        <v>0.55300000000000005</v>
      </c>
      <c r="BU111" s="9">
        <v>0.34699999999999998</v>
      </c>
      <c r="BV111" s="8">
        <v>1.24</v>
      </c>
      <c r="BW111" s="8">
        <v>1</v>
      </c>
      <c r="BX111" s="8">
        <v>2.3199999999999998</v>
      </c>
      <c r="BY111" s="9">
        <v>0.161</v>
      </c>
      <c r="CD111" s="8"/>
      <c r="CE111" s="9"/>
      <c r="CF111" s="8"/>
      <c r="CG111" s="8"/>
      <c r="CH111" s="9"/>
      <c r="CI111" s="9"/>
      <c r="CJ111" s="8"/>
      <c r="CK111" s="8"/>
      <c r="CL111" s="8"/>
    </row>
    <row r="112" spans="2:90" ht="19.899999999999999" customHeight="1" x14ac:dyDescent="0.3">
      <c r="B112" s="8" t="s">
        <v>142</v>
      </c>
      <c r="C112" s="8">
        <v>8</v>
      </c>
      <c r="D112" s="8">
        <v>1.17</v>
      </c>
      <c r="E112" s="8">
        <v>174</v>
      </c>
      <c r="F112" s="8">
        <v>1.24</v>
      </c>
      <c r="G112" s="8">
        <v>1.1200000000000001</v>
      </c>
      <c r="H112" s="9">
        <v>0.19500000000000001</v>
      </c>
      <c r="I112" s="9">
        <v>0.52900000000000003</v>
      </c>
      <c r="J112" s="8">
        <v>1.03</v>
      </c>
      <c r="K112" s="8">
        <v>0.98</v>
      </c>
      <c r="L112" s="8">
        <v>0.66</v>
      </c>
      <c r="M112" s="8">
        <v>71.3</v>
      </c>
      <c r="N112" s="8">
        <v>1.49</v>
      </c>
      <c r="O112" s="8">
        <v>80.400000000000006</v>
      </c>
      <c r="P112" s="8">
        <v>0.75</v>
      </c>
      <c r="Q112" s="8">
        <v>0.67</v>
      </c>
      <c r="R112" s="8">
        <v>68.7</v>
      </c>
      <c r="S112" s="8">
        <v>1.38</v>
      </c>
      <c r="T112" s="8">
        <v>82.8</v>
      </c>
      <c r="U112" s="8">
        <v>0.78</v>
      </c>
      <c r="V112" s="8">
        <v>16</v>
      </c>
      <c r="W112" s="8">
        <v>0</v>
      </c>
      <c r="X112" s="8" t="s">
        <v>91</v>
      </c>
      <c r="Y112" s="8">
        <v>0</v>
      </c>
      <c r="Z112" s="8" t="s">
        <v>91</v>
      </c>
      <c r="AA112" s="8">
        <v>3</v>
      </c>
      <c r="AB112" s="8">
        <v>1.51</v>
      </c>
      <c r="AC112" s="8">
        <v>0.10344827586206901</v>
      </c>
      <c r="AD112" s="8">
        <v>0.4885057471264368</v>
      </c>
      <c r="AE112" s="8">
        <v>0.18965517241379309</v>
      </c>
      <c r="AF112" s="8">
        <v>4.5977011494252873E-2</v>
      </c>
      <c r="AG112" s="8">
        <v>6</v>
      </c>
      <c r="AH112" s="8">
        <v>5</v>
      </c>
      <c r="AI112" s="8">
        <v>5</v>
      </c>
      <c r="AJ112" s="8">
        <v>4</v>
      </c>
      <c r="AK112" s="8">
        <v>1</v>
      </c>
      <c r="AL112" s="8">
        <v>2</v>
      </c>
      <c r="AM112" s="8">
        <v>3.4482758620689648E-2</v>
      </c>
      <c r="AN112" s="8">
        <v>1.1499999999999999</v>
      </c>
      <c r="AO112" s="8">
        <v>0</v>
      </c>
      <c r="AP112" s="8" t="s">
        <v>91</v>
      </c>
      <c r="AQ112" s="8">
        <v>109.2</v>
      </c>
      <c r="AR112" s="9">
        <v>0.66700000000000004</v>
      </c>
      <c r="AS112" s="9">
        <v>7.3999999999999996E-2</v>
      </c>
      <c r="AT112" s="9">
        <v>0.32300000000000001</v>
      </c>
      <c r="AU112" s="8">
        <v>108</v>
      </c>
      <c r="AV112" s="9">
        <v>8.5999999999999993E-2</v>
      </c>
      <c r="AW112" s="8">
        <v>0.40425531914893609</v>
      </c>
      <c r="AX112" s="8">
        <v>55.889361702127673</v>
      </c>
      <c r="AY112" s="8">
        <v>0.15</v>
      </c>
      <c r="AZ112" s="9">
        <v>0.123</v>
      </c>
      <c r="BA112" s="8">
        <v>0.06</v>
      </c>
      <c r="BB112" s="8">
        <v>4.38</v>
      </c>
      <c r="BC112" s="8">
        <v>85</v>
      </c>
      <c r="BD112" s="8">
        <v>6</v>
      </c>
      <c r="BE112" s="8">
        <v>51</v>
      </c>
      <c r="BF112" s="8">
        <v>52</v>
      </c>
      <c r="BG112" s="8">
        <v>71</v>
      </c>
      <c r="BH112" s="8">
        <v>0</v>
      </c>
      <c r="BI112" s="8">
        <v>66</v>
      </c>
      <c r="BJ112" s="9">
        <v>0.54600000000000004</v>
      </c>
      <c r="BK112" s="8">
        <v>1.473538461538461</v>
      </c>
      <c r="BL112" s="8">
        <v>0.08</v>
      </c>
      <c r="BM112" s="8">
        <v>0.09</v>
      </c>
      <c r="BN112" s="8">
        <v>0.06</v>
      </c>
      <c r="BO112" s="9">
        <v>0.19500000000000001</v>
      </c>
      <c r="BP112" s="8">
        <v>2.79</v>
      </c>
      <c r="BQ112" s="8" t="s">
        <v>91</v>
      </c>
      <c r="BR112" s="8">
        <v>66</v>
      </c>
      <c r="BS112" s="8">
        <v>0.01</v>
      </c>
      <c r="BT112" s="9">
        <v>8.0000000000000002E-3</v>
      </c>
      <c r="BU112" s="9">
        <v>6.0000000000000001E-3</v>
      </c>
      <c r="BV112" s="8">
        <v>0</v>
      </c>
      <c r="BW112" s="8">
        <v>0.74</v>
      </c>
      <c r="BX112" s="8">
        <v>2.2599999999999998</v>
      </c>
      <c r="BY112" s="9">
        <v>0.2</v>
      </c>
      <c r="CD112" s="8"/>
      <c r="CE112" s="9"/>
      <c r="CF112" s="8"/>
      <c r="CG112" s="8"/>
      <c r="CH112" s="9"/>
      <c r="CI112" s="9"/>
      <c r="CJ112" s="8"/>
      <c r="CK112" s="8"/>
      <c r="CL112" s="8"/>
    </row>
    <row r="113" spans="2:90" ht="19.899999999999999" customHeight="1" x14ac:dyDescent="0.3">
      <c r="B113" s="8" t="s">
        <v>126</v>
      </c>
      <c r="C113" s="8">
        <v>16</v>
      </c>
      <c r="D113" s="8">
        <v>1.1599999999999999</v>
      </c>
      <c r="E113" s="8">
        <v>366</v>
      </c>
      <c r="F113" s="8">
        <v>1.19</v>
      </c>
      <c r="G113" s="8">
        <v>1.1299999999999999</v>
      </c>
      <c r="H113" s="9">
        <v>0.23200000000000001</v>
      </c>
      <c r="I113" s="9">
        <v>0.51800000000000002</v>
      </c>
      <c r="J113" s="8">
        <v>1.08</v>
      </c>
      <c r="K113" s="8">
        <v>0.98</v>
      </c>
      <c r="L113" s="8">
        <v>0.65</v>
      </c>
      <c r="M113" s="8">
        <v>72.400000000000006</v>
      </c>
      <c r="N113" s="8">
        <v>1.4</v>
      </c>
      <c r="O113" s="8">
        <v>78.400000000000006</v>
      </c>
      <c r="P113" s="8">
        <v>0.7</v>
      </c>
      <c r="Q113" s="8">
        <v>0.68</v>
      </c>
      <c r="R113" s="8">
        <v>72.3</v>
      </c>
      <c r="S113" s="8">
        <v>1.2</v>
      </c>
      <c r="T113" s="8">
        <v>78.3</v>
      </c>
      <c r="U113" s="8">
        <v>0.73</v>
      </c>
      <c r="V113" s="8">
        <v>19</v>
      </c>
      <c r="W113" s="8">
        <v>0</v>
      </c>
      <c r="X113" s="8" t="s">
        <v>91</v>
      </c>
      <c r="Y113" s="8">
        <v>0</v>
      </c>
      <c r="Z113" s="8" t="s">
        <v>91</v>
      </c>
      <c r="AA113" s="8">
        <v>3</v>
      </c>
      <c r="AB113" s="8">
        <v>1.1599999999999999</v>
      </c>
      <c r="AC113" s="8">
        <v>0.1202185792349727</v>
      </c>
      <c r="AD113" s="8">
        <v>0.46174863387978138</v>
      </c>
      <c r="AE113" s="8">
        <v>0.1721311475409836</v>
      </c>
      <c r="AF113" s="8">
        <v>6.0109289617486343E-2</v>
      </c>
      <c r="AG113" s="8">
        <v>13</v>
      </c>
      <c r="AH113" s="8">
        <v>12</v>
      </c>
      <c r="AI113" s="8">
        <v>11</v>
      </c>
      <c r="AJ113" s="8">
        <v>7</v>
      </c>
      <c r="AK113" s="8">
        <v>4</v>
      </c>
      <c r="AL113" s="8">
        <v>4</v>
      </c>
      <c r="AM113" s="8">
        <v>1.912568306010929E-2</v>
      </c>
      <c r="AN113" s="8">
        <v>0.94</v>
      </c>
      <c r="AO113" s="8">
        <v>0</v>
      </c>
      <c r="AP113" s="8" t="s">
        <v>91</v>
      </c>
      <c r="AQ113" s="8">
        <v>100.5</v>
      </c>
      <c r="AR113" s="9">
        <v>0.68200000000000005</v>
      </c>
      <c r="AS113" s="9">
        <v>5.5E-2</v>
      </c>
      <c r="AT113" s="9">
        <v>0.20499999999999999</v>
      </c>
      <c r="AU113" s="8">
        <v>111</v>
      </c>
      <c r="AV113" s="9">
        <v>3.5999999999999997E-2</v>
      </c>
      <c r="AW113" s="8">
        <v>0.41854545454545461</v>
      </c>
      <c r="AX113" s="8">
        <v>51.478181818181817</v>
      </c>
      <c r="AY113" s="8">
        <v>0.14000000000000001</v>
      </c>
      <c r="AZ113" s="9">
        <v>0.222</v>
      </c>
      <c r="BA113" s="8">
        <v>0.04</v>
      </c>
      <c r="BB113" s="8">
        <v>3.55</v>
      </c>
      <c r="BC113" s="8">
        <v>72</v>
      </c>
      <c r="BD113" s="8">
        <v>57</v>
      </c>
      <c r="BE113" s="8">
        <v>50</v>
      </c>
      <c r="BF113" s="8">
        <v>71</v>
      </c>
      <c r="BG113" s="8">
        <v>43</v>
      </c>
      <c r="BH113" s="8">
        <v>0</v>
      </c>
      <c r="BI113" s="8">
        <v>49</v>
      </c>
      <c r="BJ113" s="9">
        <v>0.63200000000000001</v>
      </c>
      <c r="BK113" s="8">
        <v>1.2617721518987339</v>
      </c>
      <c r="BL113" s="8">
        <v>0.14000000000000001</v>
      </c>
      <c r="BM113" s="8">
        <v>0.13</v>
      </c>
      <c r="BN113" s="8">
        <v>0.1</v>
      </c>
      <c r="BO113" s="9">
        <v>0.20799999999999999</v>
      </c>
      <c r="BP113" s="8">
        <v>2.69</v>
      </c>
      <c r="BQ113" s="9">
        <v>1</v>
      </c>
      <c r="BR113" s="8">
        <v>68</v>
      </c>
      <c r="BS113" s="8">
        <v>0.01</v>
      </c>
      <c r="BT113" s="9">
        <v>8.0000000000000002E-3</v>
      </c>
      <c r="BU113" s="8" t="s">
        <v>91</v>
      </c>
      <c r="BV113" s="8">
        <v>0.27</v>
      </c>
      <c r="BW113" s="8">
        <v>0.61</v>
      </c>
      <c r="BX113" s="8">
        <v>1.97</v>
      </c>
      <c r="BY113" s="9">
        <v>0.19400000000000001</v>
      </c>
      <c r="CD113" s="8"/>
      <c r="CE113" s="9"/>
      <c r="CF113" s="8"/>
      <c r="CG113" s="8"/>
      <c r="CH113" s="9"/>
      <c r="CI113" s="9"/>
      <c r="CJ113" s="8"/>
      <c r="CK113" s="8"/>
      <c r="CL113" s="8"/>
    </row>
    <row r="114" spans="2:90" ht="19.899999999999999" customHeight="1" x14ac:dyDescent="0.3">
      <c r="B114" s="8" t="s">
        <v>143</v>
      </c>
      <c r="C114" s="8">
        <v>10</v>
      </c>
      <c r="D114" s="8">
        <v>1.1499999999999999</v>
      </c>
      <c r="E114" s="8">
        <v>254</v>
      </c>
      <c r="F114" s="8">
        <v>0.99</v>
      </c>
      <c r="G114" s="8">
        <v>1.33</v>
      </c>
      <c r="H114" s="9">
        <v>0.20899999999999999</v>
      </c>
      <c r="I114" s="9">
        <v>0.377</v>
      </c>
      <c r="J114" s="8">
        <v>0.84</v>
      </c>
      <c r="K114" s="8">
        <v>1.01</v>
      </c>
      <c r="L114" s="8">
        <v>0.67</v>
      </c>
      <c r="M114" s="8">
        <v>74.400000000000006</v>
      </c>
      <c r="N114" s="8">
        <v>0.63</v>
      </c>
      <c r="O114" s="8">
        <v>82.9</v>
      </c>
      <c r="P114" s="8">
        <v>0.74</v>
      </c>
      <c r="Q114" s="8">
        <v>0.69</v>
      </c>
      <c r="R114" s="8">
        <v>72.8</v>
      </c>
      <c r="S114" s="8">
        <v>1.1200000000000001</v>
      </c>
      <c r="T114" s="8">
        <v>84.3</v>
      </c>
      <c r="U114" s="8">
        <v>0.77</v>
      </c>
      <c r="V114" s="8">
        <v>18</v>
      </c>
      <c r="W114" s="8">
        <v>0</v>
      </c>
      <c r="X114" s="8" t="s">
        <v>91</v>
      </c>
      <c r="Y114" s="8">
        <v>1</v>
      </c>
      <c r="Z114" s="8">
        <v>1.02</v>
      </c>
      <c r="AA114" s="8">
        <v>1</v>
      </c>
      <c r="AB114" s="8">
        <v>1.02</v>
      </c>
      <c r="AC114" s="8">
        <v>7.874015748031496E-2</v>
      </c>
      <c r="AD114" s="8">
        <v>0.5</v>
      </c>
      <c r="AE114" s="8">
        <v>0.1889763779527559</v>
      </c>
      <c r="AF114" s="8">
        <v>5.1181102362204717E-2</v>
      </c>
      <c r="AG114" s="8">
        <v>8</v>
      </c>
      <c r="AH114" s="8">
        <v>7</v>
      </c>
      <c r="AI114" s="8">
        <v>5</v>
      </c>
      <c r="AJ114" s="8">
        <v>3</v>
      </c>
      <c r="AK114" s="8">
        <v>3</v>
      </c>
      <c r="AL114" s="8">
        <v>3</v>
      </c>
      <c r="AM114" s="8">
        <v>1.181102362204724E-2</v>
      </c>
      <c r="AN114" s="8">
        <v>1.05</v>
      </c>
      <c r="AO114" s="8">
        <v>0</v>
      </c>
      <c r="AP114" s="8" t="s">
        <v>91</v>
      </c>
      <c r="AQ114" s="8">
        <v>119.6</v>
      </c>
      <c r="AR114" s="9">
        <v>0.75</v>
      </c>
      <c r="AS114" s="9">
        <v>9.7000000000000003E-2</v>
      </c>
      <c r="AT114" s="9">
        <v>0.186</v>
      </c>
      <c r="AU114" s="8">
        <v>112</v>
      </c>
      <c r="AV114" s="9">
        <v>0.11</v>
      </c>
      <c r="AW114" s="8">
        <v>0.46268656716417911</v>
      </c>
      <c r="AX114" s="8">
        <v>50.034328358208967</v>
      </c>
      <c r="AY114" s="8">
        <v>0.13</v>
      </c>
      <c r="AZ114" s="9">
        <v>0.19400000000000001</v>
      </c>
      <c r="BA114" s="8">
        <v>0.03</v>
      </c>
      <c r="BB114" s="8">
        <v>4.82</v>
      </c>
      <c r="BC114" s="8">
        <v>86</v>
      </c>
      <c r="BD114" s="8">
        <v>47</v>
      </c>
      <c r="BE114" s="8">
        <v>46</v>
      </c>
      <c r="BF114" s="8">
        <v>34</v>
      </c>
      <c r="BG114" s="8">
        <v>38</v>
      </c>
      <c r="BH114" s="8">
        <v>0</v>
      </c>
      <c r="BI114" s="8">
        <v>65</v>
      </c>
      <c r="BJ114" s="9">
        <v>0.48899999999999999</v>
      </c>
      <c r="BK114" s="8">
        <v>1.300761904761905</v>
      </c>
      <c r="BL114" s="8">
        <v>0.13</v>
      </c>
      <c r="BM114" s="8">
        <v>0.13</v>
      </c>
      <c r="BN114" s="8">
        <v>0.11</v>
      </c>
      <c r="BO114" s="9">
        <v>0.185</v>
      </c>
      <c r="BP114" s="8">
        <v>3.19</v>
      </c>
      <c r="BQ114" s="9">
        <v>0.6</v>
      </c>
      <c r="BR114" s="8">
        <v>72</v>
      </c>
      <c r="BS114" s="8">
        <v>0</v>
      </c>
      <c r="BT114" s="9">
        <v>5.0000000000000001E-3</v>
      </c>
      <c r="BU114" s="9">
        <v>4.0000000000000001E-3</v>
      </c>
      <c r="BV114" s="8">
        <v>0.39</v>
      </c>
      <c r="BW114" s="8">
        <v>0.7</v>
      </c>
      <c r="BX114" s="8">
        <v>2.11</v>
      </c>
      <c r="BY114" s="9">
        <v>0.18099999999999999</v>
      </c>
      <c r="CD114" s="8"/>
      <c r="CE114" s="9"/>
      <c r="CF114" s="8"/>
      <c r="CG114" s="8"/>
      <c r="CH114" s="9"/>
      <c r="CI114" s="9"/>
      <c r="CJ114" s="8"/>
      <c r="CK114" s="8"/>
      <c r="CL114" s="8"/>
    </row>
    <row r="115" spans="2:90" ht="19.899999999999999" customHeight="1" x14ac:dyDescent="0.3">
      <c r="B115" s="8" t="s">
        <v>144</v>
      </c>
      <c r="C115" s="8">
        <v>15</v>
      </c>
      <c r="D115" s="8">
        <v>1.1499999999999999</v>
      </c>
      <c r="E115" s="8">
        <v>345</v>
      </c>
      <c r="F115" s="8">
        <v>1.04</v>
      </c>
      <c r="G115" s="8">
        <v>1.25</v>
      </c>
      <c r="H115" s="9">
        <v>0.186</v>
      </c>
      <c r="I115" s="9">
        <v>0.57799999999999996</v>
      </c>
      <c r="J115" s="8">
        <v>1.07</v>
      </c>
      <c r="K115" s="8">
        <v>1.28</v>
      </c>
      <c r="L115" s="8">
        <v>0.63</v>
      </c>
      <c r="M115" s="8">
        <v>73.599999999999994</v>
      </c>
      <c r="N115" s="8">
        <v>1.71</v>
      </c>
      <c r="O115" s="8">
        <v>70.400000000000006</v>
      </c>
      <c r="P115" s="8">
        <v>0.7</v>
      </c>
      <c r="Q115" s="8">
        <v>0.64</v>
      </c>
      <c r="R115" s="8">
        <v>69.900000000000006</v>
      </c>
      <c r="S115" s="8">
        <v>1.22</v>
      </c>
      <c r="T115" s="8">
        <v>71.7</v>
      </c>
      <c r="U115" s="8">
        <v>0.73</v>
      </c>
      <c r="V115" s="8">
        <v>23</v>
      </c>
      <c r="W115" s="8">
        <v>0</v>
      </c>
      <c r="X115" s="8" t="s">
        <v>91</v>
      </c>
      <c r="Y115" s="8">
        <v>0</v>
      </c>
      <c r="Z115" s="8" t="s">
        <v>91</v>
      </c>
      <c r="AA115" s="8">
        <v>6</v>
      </c>
      <c r="AB115" s="8">
        <v>0.96</v>
      </c>
      <c r="AC115" s="8">
        <v>0.1072463768115942</v>
      </c>
      <c r="AD115" s="8">
        <v>0.46666666666666667</v>
      </c>
      <c r="AE115" s="8">
        <v>0.16521739130434779</v>
      </c>
      <c r="AF115" s="8">
        <v>5.5072463768115941E-2</v>
      </c>
      <c r="AG115" s="8">
        <v>14</v>
      </c>
      <c r="AH115" s="8">
        <v>10</v>
      </c>
      <c r="AI115" s="8">
        <v>7</v>
      </c>
      <c r="AJ115" s="8">
        <v>5</v>
      </c>
      <c r="AK115" s="8">
        <v>4</v>
      </c>
      <c r="AL115" s="8">
        <v>8</v>
      </c>
      <c r="AM115" s="8">
        <v>5.5072463768115941E-2</v>
      </c>
      <c r="AN115" s="8">
        <v>1.01</v>
      </c>
      <c r="AO115" s="8">
        <v>0</v>
      </c>
      <c r="AP115" s="8" t="s">
        <v>91</v>
      </c>
      <c r="AQ115" s="8">
        <v>99.4</v>
      </c>
      <c r="AR115" s="9">
        <v>0.75700000000000001</v>
      </c>
      <c r="AS115" s="9">
        <v>0.122</v>
      </c>
      <c r="AT115" s="9">
        <v>0.24399999999999999</v>
      </c>
      <c r="AU115" s="8">
        <v>100</v>
      </c>
      <c r="AV115" s="9">
        <v>0.10100000000000001</v>
      </c>
      <c r="AW115" s="8">
        <v>0.36091463414634151</v>
      </c>
      <c r="AX115" s="8">
        <v>38.393902439024401</v>
      </c>
      <c r="AY115" s="8">
        <v>0.12</v>
      </c>
      <c r="AZ115" s="9">
        <v>0.19600000000000001</v>
      </c>
      <c r="BA115" s="8">
        <v>0.04</v>
      </c>
      <c r="BB115" s="8">
        <v>3.59</v>
      </c>
      <c r="BC115" s="8">
        <v>56</v>
      </c>
      <c r="BD115" s="8">
        <v>27</v>
      </c>
      <c r="BE115" s="8">
        <v>25</v>
      </c>
      <c r="BF115" s="8">
        <v>58</v>
      </c>
      <c r="BG115" s="8">
        <v>90</v>
      </c>
      <c r="BH115" s="8">
        <v>6</v>
      </c>
      <c r="BI115" s="8">
        <v>57</v>
      </c>
      <c r="BJ115" s="9">
        <v>0.5</v>
      </c>
      <c r="BK115" s="8">
        <v>1.2767222222222221</v>
      </c>
      <c r="BL115" s="8">
        <v>0.12</v>
      </c>
      <c r="BM115" s="8">
        <v>0.09</v>
      </c>
      <c r="BN115" s="8">
        <v>7.0000000000000007E-2</v>
      </c>
      <c r="BO115" s="9">
        <v>0.214</v>
      </c>
      <c r="BP115" s="8">
        <v>2.57</v>
      </c>
      <c r="BQ115" s="9">
        <v>0.6</v>
      </c>
      <c r="BR115" s="8">
        <v>83</v>
      </c>
      <c r="BS115" s="8">
        <v>0.03</v>
      </c>
      <c r="BT115" s="9">
        <v>0.05</v>
      </c>
      <c r="BU115" s="9">
        <v>4.1000000000000002E-2</v>
      </c>
      <c r="BV115" s="8">
        <v>0.28999999999999998</v>
      </c>
      <c r="BW115" s="8">
        <v>0.66</v>
      </c>
      <c r="BX115" s="8">
        <v>2.64</v>
      </c>
      <c r="BY115" s="9">
        <v>0.17399999999999999</v>
      </c>
      <c r="CD115" s="8"/>
      <c r="CE115" s="9"/>
      <c r="CF115" s="8"/>
      <c r="CG115" s="8"/>
      <c r="CH115" s="9"/>
      <c r="CI115" s="9"/>
      <c r="CJ115" s="8"/>
      <c r="CK115" s="8"/>
      <c r="CL115" s="8"/>
    </row>
    <row r="116" spans="2:90" ht="19.899999999999999" customHeight="1" x14ac:dyDescent="0.3">
      <c r="B116" s="8" t="s">
        <v>145</v>
      </c>
      <c r="C116" s="8">
        <v>11</v>
      </c>
      <c r="D116" s="8">
        <v>1.1399999999999999</v>
      </c>
      <c r="E116" s="8">
        <v>261</v>
      </c>
      <c r="F116" s="8">
        <v>1.19</v>
      </c>
      <c r="G116" s="8">
        <v>1.0900000000000001</v>
      </c>
      <c r="H116" s="9">
        <v>0.17599999999999999</v>
      </c>
      <c r="I116" s="9">
        <v>0.63</v>
      </c>
      <c r="J116" s="8">
        <v>1.1100000000000001</v>
      </c>
      <c r="K116" s="8">
        <v>1.38</v>
      </c>
      <c r="L116" s="8">
        <v>0.59</v>
      </c>
      <c r="M116" s="8">
        <v>80.8</v>
      </c>
      <c r="N116" s="8">
        <v>1.02</v>
      </c>
      <c r="O116" s="8">
        <v>82.3</v>
      </c>
      <c r="P116" s="8">
        <v>0.73</v>
      </c>
      <c r="Q116" s="8">
        <v>0.61</v>
      </c>
      <c r="R116" s="8">
        <v>76.2</v>
      </c>
      <c r="S116" s="8">
        <v>0.92</v>
      </c>
      <c r="T116" s="8">
        <v>80.7</v>
      </c>
      <c r="U116" s="8">
        <v>0.73</v>
      </c>
      <c r="V116" s="8">
        <v>37</v>
      </c>
      <c r="W116" s="8">
        <v>0</v>
      </c>
      <c r="X116" s="8" t="s">
        <v>91</v>
      </c>
      <c r="Y116" s="8">
        <v>1</v>
      </c>
      <c r="Z116" s="8">
        <v>1.76</v>
      </c>
      <c r="AA116" s="8">
        <v>6</v>
      </c>
      <c r="AB116" s="8">
        <v>1.1499999999999999</v>
      </c>
      <c r="AC116" s="8">
        <v>0.1111111111111111</v>
      </c>
      <c r="AD116" s="8">
        <v>0.52873563218390807</v>
      </c>
      <c r="AE116" s="8">
        <v>0.15708812260536401</v>
      </c>
      <c r="AF116" s="8">
        <v>3.8314176245210732E-2</v>
      </c>
      <c r="AG116" s="8">
        <v>10</v>
      </c>
      <c r="AH116" s="8">
        <v>8</v>
      </c>
      <c r="AI116" s="8">
        <v>6</v>
      </c>
      <c r="AJ116" s="8">
        <v>3</v>
      </c>
      <c r="AK116" s="8">
        <v>1</v>
      </c>
      <c r="AL116" s="8">
        <v>7</v>
      </c>
      <c r="AM116" s="8">
        <v>3.4482758620689648E-2</v>
      </c>
      <c r="AN116" s="8">
        <v>0.96</v>
      </c>
      <c r="AO116" s="8">
        <v>0</v>
      </c>
      <c r="AP116" s="8" t="s">
        <v>91</v>
      </c>
      <c r="AQ116" s="8">
        <v>100.5</v>
      </c>
      <c r="AR116" s="9">
        <v>0.621</v>
      </c>
      <c r="AS116" s="9">
        <v>0.17799999999999999</v>
      </c>
      <c r="AT116" s="9">
        <v>0.26300000000000001</v>
      </c>
      <c r="AU116" s="8">
        <v>113</v>
      </c>
      <c r="AV116" s="9">
        <v>0.18</v>
      </c>
      <c r="AW116" s="8">
        <v>0.51140740740740742</v>
      </c>
      <c r="AX116" s="8">
        <v>65.313333333333333</v>
      </c>
      <c r="AY116" s="8">
        <v>0.21</v>
      </c>
      <c r="AZ116" s="9">
        <v>0.15</v>
      </c>
      <c r="BA116" s="8">
        <v>0.04</v>
      </c>
      <c r="BB116" s="8">
        <v>8.6300000000000008</v>
      </c>
      <c r="BC116" s="8">
        <v>73</v>
      </c>
      <c r="BD116" s="8">
        <v>6</v>
      </c>
      <c r="BE116" s="8">
        <v>92</v>
      </c>
      <c r="BF116" s="8">
        <v>55</v>
      </c>
      <c r="BG116" s="8">
        <v>85</v>
      </c>
      <c r="BH116" s="8">
        <v>0</v>
      </c>
      <c r="BI116" s="8">
        <v>70</v>
      </c>
      <c r="BJ116" s="9">
        <v>0.42599999999999999</v>
      </c>
      <c r="BK116" s="8">
        <v>1.1952499999999999</v>
      </c>
      <c r="BL116" s="8">
        <v>0.09</v>
      </c>
      <c r="BM116" s="8">
        <v>0.15</v>
      </c>
      <c r="BN116" s="8">
        <v>7.0000000000000007E-2</v>
      </c>
      <c r="BO116" s="9">
        <v>0.26100000000000001</v>
      </c>
      <c r="BP116" s="8">
        <v>3.41</v>
      </c>
      <c r="BQ116" s="9">
        <v>0.71399999999999997</v>
      </c>
      <c r="BR116" s="8">
        <v>77</v>
      </c>
      <c r="BS116" s="8">
        <v>0</v>
      </c>
      <c r="BT116" s="9">
        <v>5.0000000000000001E-3</v>
      </c>
      <c r="BU116" s="9">
        <v>8.0000000000000002E-3</v>
      </c>
      <c r="BV116" s="8">
        <v>1.53</v>
      </c>
      <c r="BW116" s="8">
        <v>0.54</v>
      </c>
      <c r="BX116" s="8">
        <v>1.9</v>
      </c>
      <c r="BY116" s="9">
        <v>0.28399999999999997</v>
      </c>
      <c r="CD116" s="8"/>
      <c r="CE116" s="9"/>
      <c r="CF116" s="8"/>
      <c r="CG116" s="8"/>
      <c r="CH116" s="9"/>
      <c r="CI116" s="9"/>
      <c r="CJ116" s="8"/>
      <c r="CK116" s="8"/>
      <c r="CL116" s="8"/>
    </row>
    <row r="117" spans="2:90" ht="19.899999999999999" customHeight="1" x14ac:dyDescent="0.3">
      <c r="B117" s="8" t="s">
        <v>146</v>
      </c>
      <c r="C117" s="8">
        <v>5</v>
      </c>
      <c r="D117" s="8">
        <v>1.1399999999999999</v>
      </c>
      <c r="E117" s="8">
        <v>107</v>
      </c>
      <c r="F117" s="8">
        <v>1.1200000000000001</v>
      </c>
      <c r="G117" s="8">
        <v>1.17</v>
      </c>
      <c r="H117" s="9">
        <v>0.16800000000000001</v>
      </c>
      <c r="I117" s="9">
        <v>0.55600000000000005</v>
      </c>
      <c r="J117" s="8">
        <v>1.01</v>
      </c>
      <c r="K117" s="8">
        <v>0.73</v>
      </c>
      <c r="L117" s="8">
        <v>0.73</v>
      </c>
      <c r="M117" s="8">
        <v>72</v>
      </c>
      <c r="N117" s="8">
        <v>1.73</v>
      </c>
      <c r="O117" s="8">
        <v>82.6</v>
      </c>
      <c r="P117" s="8">
        <v>0.7</v>
      </c>
      <c r="Q117" s="8">
        <v>0.76</v>
      </c>
      <c r="R117" s="8">
        <v>70.5</v>
      </c>
      <c r="S117" s="8">
        <v>1.2</v>
      </c>
      <c r="T117" s="8">
        <v>85</v>
      </c>
      <c r="U117" s="8">
        <v>0.74</v>
      </c>
      <c r="V117" s="8">
        <v>-3</v>
      </c>
      <c r="W117" s="8">
        <v>0</v>
      </c>
      <c r="X117" s="8" t="s">
        <v>91</v>
      </c>
      <c r="Y117" s="8">
        <v>0</v>
      </c>
      <c r="Z117" s="8" t="s">
        <v>91</v>
      </c>
      <c r="AA117" s="8">
        <v>0</v>
      </c>
      <c r="AB117" s="8" t="s">
        <v>91</v>
      </c>
      <c r="AC117" s="8">
        <v>9.3457943925233641E-2</v>
      </c>
      <c r="AD117" s="8">
        <v>0.45794392523364491</v>
      </c>
      <c r="AE117" s="8">
        <v>0.16822429906542061</v>
      </c>
      <c r="AF117" s="8">
        <v>7.476635514018691E-2</v>
      </c>
      <c r="AG117" s="8">
        <v>5</v>
      </c>
      <c r="AH117" s="8">
        <v>3</v>
      </c>
      <c r="AI117" s="8">
        <v>2</v>
      </c>
      <c r="AJ117" s="8">
        <v>2</v>
      </c>
      <c r="AK117" s="8">
        <v>1</v>
      </c>
      <c r="AL117" s="8">
        <v>0</v>
      </c>
      <c r="AM117" s="8">
        <v>0</v>
      </c>
      <c r="AN117" s="8">
        <v>1.06</v>
      </c>
      <c r="AO117" s="8">
        <v>0</v>
      </c>
      <c r="AP117" s="8" t="s">
        <v>91</v>
      </c>
      <c r="AQ117" s="8">
        <v>114.2</v>
      </c>
      <c r="AR117" s="9">
        <v>0.7</v>
      </c>
      <c r="AS117" s="9">
        <v>6.8000000000000005E-2</v>
      </c>
      <c r="AT117" s="9">
        <v>0.29299999999999998</v>
      </c>
      <c r="AU117" s="8">
        <v>118</v>
      </c>
      <c r="AV117" s="9">
        <v>7.4999999999999997E-2</v>
      </c>
      <c r="AW117" s="8">
        <v>0.40881355932203378</v>
      </c>
      <c r="AX117" s="8">
        <v>56.891525423728787</v>
      </c>
      <c r="AY117" s="8">
        <v>0.17</v>
      </c>
      <c r="AZ117" s="9">
        <v>0.25600000000000001</v>
      </c>
      <c r="BA117" s="8">
        <v>7.0000000000000007E-2</v>
      </c>
      <c r="BB117" s="8">
        <v>7.74</v>
      </c>
      <c r="BC117" s="8">
        <v>74</v>
      </c>
      <c r="BD117" s="8">
        <v>90</v>
      </c>
      <c r="BE117" s="8">
        <v>76</v>
      </c>
      <c r="BF117" s="8">
        <v>41</v>
      </c>
      <c r="BG117" s="8">
        <v>11</v>
      </c>
      <c r="BH117" s="8">
        <v>0</v>
      </c>
      <c r="BI117" s="8">
        <v>88</v>
      </c>
      <c r="BJ117" s="9">
        <v>0.56000000000000005</v>
      </c>
      <c r="BK117" s="8">
        <v>1.68</v>
      </c>
      <c r="BL117" s="8">
        <v>0.19</v>
      </c>
      <c r="BM117" s="8">
        <v>0.11</v>
      </c>
      <c r="BN117" s="8">
        <v>0.12</v>
      </c>
      <c r="BO117" s="9">
        <v>0.19600000000000001</v>
      </c>
      <c r="BP117" s="8">
        <v>3.21</v>
      </c>
      <c r="BQ117" s="8" t="s">
        <v>91</v>
      </c>
      <c r="BR117" s="8">
        <v>71</v>
      </c>
      <c r="BS117" s="8">
        <v>0</v>
      </c>
      <c r="BT117" s="9">
        <v>0</v>
      </c>
      <c r="BU117" s="8" t="s">
        <v>91</v>
      </c>
      <c r="BV117" s="8">
        <v>0</v>
      </c>
      <c r="BW117" s="8">
        <v>0.82</v>
      </c>
      <c r="BX117" s="8">
        <v>2.58</v>
      </c>
      <c r="BY117" s="9">
        <v>0.24</v>
      </c>
      <c r="CD117" s="8"/>
      <c r="CE117" s="9"/>
      <c r="CF117" s="8"/>
      <c r="CG117" s="8"/>
      <c r="CH117" s="9"/>
      <c r="CI117" s="9"/>
      <c r="CJ117" s="8"/>
      <c r="CK117" s="8"/>
      <c r="CL117" s="8"/>
    </row>
    <row r="118" spans="2:90" ht="19.899999999999999" customHeight="1" x14ac:dyDescent="0.3">
      <c r="B118" s="8" t="s">
        <v>147</v>
      </c>
      <c r="C118" s="8">
        <v>11</v>
      </c>
      <c r="D118" s="8">
        <v>1.1399999999999999</v>
      </c>
      <c r="E118" s="8">
        <v>242</v>
      </c>
      <c r="F118" s="8">
        <v>1.1200000000000001</v>
      </c>
      <c r="G118" s="8">
        <v>1.1599999999999999</v>
      </c>
      <c r="H118" s="9">
        <v>0.30199999999999999</v>
      </c>
      <c r="I118" s="9">
        <v>0.53400000000000003</v>
      </c>
      <c r="J118" s="8">
        <v>1.24</v>
      </c>
      <c r="K118" s="8">
        <v>1.1499999999999999</v>
      </c>
      <c r="L118" s="8">
        <v>0.7</v>
      </c>
      <c r="M118" s="8">
        <v>69.8</v>
      </c>
      <c r="N118" s="8">
        <v>1.07</v>
      </c>
      <c r="O118" s="8">
        <v>86</v>
      </c>
      <c r="P118" s="8">
        <v>0.74</v>
      </c>
      <c r="Q118" s="8">
        <v>0.73</v>
      </c>
      <c r="R118" s="8">
        <v>68.599999999999994</v>
      </c>
      <c r="S118" s="8">
        <v>1.06</v>
      </c>
      <c r="T118" s="8">
        <v>84.4</v>
      </c>
      <c r="U118" s="8">
        <v>0.74</v>
      </c>
      <c r="V118" s="8">
        <v>10</v>
      </c>
      <c r="W118" s="8">
        <v>0</v>
      </c>
      <c r="X118" s="8" t="s">
        <v>91</v>
      </c>
      <c r="Y118" s="8">
        <v>2</v>
      </c>
      <c r="Z118" s="8">
        <v>1.22</v>
      </c>
      <c r="AA118" s="8">
        <v>7</v>
      </c>
      <c r="AB118" s="8">
        <v>0.92</v>
      </c>
      <c r="AC118" s="8">
        <v>0.16115702479338839</v>
      </c>
      <c r="AD118" s="8">
        <v>0.5</v>
      </c>
      <c r="AE118" s="8">
        <v>0.18595041322314049</v>
      </c>
      <c r="AF118" s="8">
        <v>5.3719008264462811E-2</v>
      </c>
      <c r="AG118" s="8">
        <v>9</v>
      </c>
      <c r="AH118" s="8">
        <v>8</v>
      </c>
      <c r="AI118" s="8">
        <v>7</v>
      </c>
      <c r="AJ118" s="8">
        <v>3</v>
      </c>
      <c r="AK118" s="8">
        <v>2</v>
      </c>
      <c r="AL118" s="8">
        <v>1</v>
      </c>
      <c r="AM118" s="8">
        <v>4.1322314049586778E-3</v>
      </c>
      <c r="AN118" s="8">
        <v>1.0900000000000001</v>
      </c>
      <c r="AO118" s="8">
        <v>0</v>
      </c>
      <c r="AP118" s="8" t="s">
        <v>91</v>
      </c>
      <c r="AQ118" s="8">
        <v>120.7</v>
      </c>
      <c r="AR118" s="9">
        <v>0.69199999999999995</v>
      </c>
      <c r="AS118" s="9">
        <v>4.3999999999999997E-2</v>
      </c>
      <c r="AT118" s="9">
        <v>0.19400000000000001</v>
      </c>
      <c r="AU118" s="8">
        <v>116</v>
      </c>
      <c r="AV118" s="9">
        <v>4.4999999999999998E-2</v>
      </c>
      <c r="AW118" s="8">
        <v>0.34858407079645998</v>
      </c>
      <c r="AX118" s="8">
        <v>46.386725663716803</v>
      </c>
      <c r="AY118" s="8">
        <v>0.12</v>
      </c>
      <c r="AZ118" s="9">
        <v>0.17599999999999999</v>
      </c>
      <c r="BA118" s="8">
        <v>8.0000000000000002E-3</v>
      </c>
      <c r="BB118" s="8">
        <v>5.09</v>
      </c>
      <c r="BC118" s="8">
        <v>88</v>
      </c>
      <c r="BD118" s="8">
        <v>29</v>
      </c>
      <c r="BE118" s="8">
        <v>24</v>
      </c>
      <c r="BF118" s="8">
        <v>88</v>
      </c>
      <c r="BG118" s="8">
        <v>15</v>
      </c>
      <c r="BH118" s="8">
        <v>0</v>
      </c>
      <c r="BI118" s="8">
        <v>51</v>
      </c>
      <c r="BJ118" s="9">
        <v>0.6</v>
      </c>
      <c r="BK118" s="8">
        <v>1.314347826086957</v>
      </c>
      <c r="BL118" s="8">
        <v>0.12</v>
      </c>
      <c r="BM118" s="8">
        <v>0.1</v>
      </c>
      <c r="BN118" s="8">
        <v>0.09</v>
      </c>
      <c r="BO118" s="9">
        <v>0.14899999999999999</v>
      </c>
      <c r="BP118" s="8">
        <v>2.9</v>
      </c>
      <c r="BQ118" s="9">
        <v>1</v>
      </c>
      <c r="BR118" s="8">
        <v>61</v>
      </c>
      <c r="BS118" s="8">
        <v>0</v>
      </c>
      <c r="BT118" s="9">
        <v>0</v>
      </c>
      <c r="BU118" s="8" t="s">
        <v>91</v>
      </c>
      <c r="BV118" s="8">
        <v>0.41</v>
      </c>
      <c r="BW118" s="8">
        <v>0.51</v>
      </c>
      <c r="BX118" s="8">
        <v>2.2000000000000002</v>
      </c>
      <c r="BY118" s="9">
        <v>0.161</v>
      </c>
      <c r="CD118" s="8"/>
      <c r="CE118" s="9"/>
      <c r="CF118" s="8"/>
      <c r="CG118" s="8"/>
      <c r="CH118" s="9"/>
      <c r="CI118" s="9"/>
      <c r="CJ118" s="8"/>
      <c r="CK118" s="8"/>
      <c r="CL118" s="8"/>
    </row>
    <row r="119" spans="2:90" ht="19.899999999999999" customHeight="1" x14ac:dyDescent="0.3">
      <c r="B119" s="8" t="s">
        <v>148</v>
      </c>
      <c r="C119" s="8">
        <v>7</v>
      </c>
      <c r="D119" s="8">
        <v>1.1200000000000001</v>
      </c>
      <c r="E119" s="8">
        <v>173</v>
      </c>
      <c r="F119" s="8">
        <v>1.4</v>
      </c>
      <c r="G119" s="8">
        <v>0.85</v>
      </c>
      <c r="H119" s="9">
        <v>0.214</v>
      </c>
      <c r="I119" s="9">
        <v>0.59499999999999997</v>
      </c>
      <c r="J119" s="8">
        <v>1.1599999999999999</v>
      </c>
      <c r="K119" s="8">
        <v>1.28</v>
      </c>
      <c r="L119" s="8">
        <v>0.68</v>
      </c>
      <c r="M119" s="8">
        <v>67.599999999999994</v>
      </c>
      <c r="N119" s="8">
        <v>2.09</v>
      </c>
      <c r="O119" s="8">
        <v>67.599999999999994</v>
      </c>
      <c r="P119" s="8">
        <v>0.76</v>
      </c>
      <c r="Q119" s="8">
        <v>0.73</v>
      </c>
      <c r="R119" s="8">
        <v>67.2</v>
      </c>
      <c r="S119" s="8">
        <v>1.17</v>
      </c>
      <c r="T119" s="8">
        <v>66.3</v>
      </c>
      <c r="U119" s="8">
        <v>0.73</v>
      </c>
      <c r="V119" s="8">
        <v>14</v>
      </c>
      <c r="W119" s="8">
        <v>0</v>
      </c>
      <c r="X119" s="8" t="s">
        <v>91</v>
      </c>
      <c r="Y119" s="8">
        <v>0</v>
      </c>
      <c r="Z119" s="8" t="s">
        <v>91</v>
      </c>
      <c r="AA119" s="8">
        <v>0</v>
      </c>
      <c r="AB119" s="8" t="s">
        <v>91</v>
      </c>
      <c r="AC119" s="8">
        <v>0.12716763005780349</v>
      </c>
      <c r="AD119" s="8">
        <v>0.49710982658959529</v>
      </c>
      <c r="AE119" s="8">
        <v>0.19653179190751449</v>
      </c>
      <c r="AF119" s="8">
        <v>5.2023121387283239E-2</v>
      </c>
      <c r="AG119" s="8">
        <v>7</v>
      </c>
      <c r="AH119" s="8">
        <v>6</v>
      </c>
      <c r="AI119" s="8">
        <v>2</v>
      </c>
      <c r="AJ119" s="8">
        <v>2</v>
      </c>
      <c r="AK119" s="8">
        <v>0</v>
      </c>
      <c r="AL119" s="8">
        <v>1</v>
      </c>
      <c r="AM119" s="8">
        <v>4.6242774566473993E-2</v>
      </c>
      <c r="AN119" s="8">
        <v>1.08</v>
      </c>
      <c r="AO119" s="8">
        <v>0</v>
      </c>
      <c r="AP119" s="8" t="s">
        <v>91</v>
      </c>
      <c r="AQ119" s="8">
        <v>94</v>
      </c>
      <c r="AR119" s="9">
        <v>0.90900000000000003</v>
      </c>
      <c r="AS119" s="9">
        <v>1.0999999999999999E-2</v>
      </c>
      <c r="AT119" s="9">
        <v>0.29499999999999998</v>
      </c>
      <c r="AU119" s="8">
        <v>89</v>
      </c>
      <c r="AV119" s="9">
        <v>0.156</v>
      </c>
      <c r="AW119" s="8">
        <v>0.45681818181818168</v>
      </c>
      <c r="AX119" s="8">
        <v>42.099999999999987</v>
      </c>
      <c r="AY119" s="8">
        <v>0.13</v>
      </c>
      <c r="AZ119" s="9">
        <v>0.20300000000000001</v>
      </c>
      <c r="BA119" s="8">
        <v>0.06</v>
      </c>
      <c r="BB119" s="8">
        <v>2.1800000000000002</v>
      </c>
      <c r="BC119" s="8">
        <v>68</v>
      </c>
      <c r="BD119" s="8">
        <v>38</v>
      </c>
      <c r="BE119" s="8">
        <v>29</v>
      </c>
      <c r="BF119" s="8">
        <v>81</v>
      </c>
      <c r="BG119" s="8">
        <v>94</v>
      </c>
      <c r="BH119" s="8">
        <v>95</v>
      </c>
      <c r="BI119" s="8">
        <v>52</v>
      </c>
      <c r="BJ119" s="9">
        <v>0.26500000000000001</v>
      </c>
      <c r="BK119" s="8">
        <v>1.24974358974359</v>
      </c>
      <c r="BL119" s="8">
        <v>0.14000000000000001</v>
      </c>
      <c r="BM119" s="8">
        <v>0.09</v>
      </c>
      <c r="BN119" s="8">
        <v>0.08</v>
      </c>
      <c r="BO119" s="9">
        <v>0.13900000000000001</v>
      </c>
      <c r="BP119" s="8">
        <v>1.75</v>
      </c>
      <c r="BQ119" s="9">
        <v>0</v>
      </c>
      <c r="BR119" s="8">
        <v>71</v>
      </c>
      <c r="BS119" s="8">
        <v>0.44</v>
      </c>
      <c r="BT119" s="9">
        <v>0.57599999999999996</v>
      </c>
      <c r="BU119" s="9">
        <v>0.34699999999999998</v>
      </c>
      <c r="BV119" s="8">
        <v>1.1599999999999999</v>
      </c>
      <c r="BW119" s="8">
        <v>0.68</v>
      </c>
      <c r="BX119" s="8">
        <v>2.38</v>
      </c>
      <c r="BY119" s="9">
        <v>0.16700000000000001</v>
      </c>
      <c r="CD119" s="8"/>
      <c r="CE119" s="9"/>
      <c r="CF119" s="8"/>
      <c r="CG119" s="8"/>
      <c r="CH119" s="9"/>
      <c r="CI119" s="9"/>
      <c r="CJ119" s="8"/>
      <c r="CK119" s="8"/>
      <c r="CL119" s="8"/>
    </row>
    <row r="120" spans="2:90" ht="19.899999999999999" customHeight="1" x14ac:dyDescent="0.3">
      <c r="B120" s="8" t="s">
        <v>132</v>
      </c>
      <c r="C120" s="8">
        <v>7</v>
      </c>
      <c r="D120" s="8">
        <v>1.1200000000000001</v>
      </c>
      <c r="E120" s="8">
        <v>146</v>
      </c>
      <c r="F120" s="8">
        <v>1.0900000000000001</v>
      </c>
      <c r="G120" s="8">
        <v>1.1499999999999999</v>
      </c>
      <c r="H120" s="9">
        <v>0.20499999999999999</v>
      </c>
      <c r="I120" s="9">
        <v>0.56699999999999995</v>
      </c>
      <c r="J120" s="8">
        <v>1.1000000000000001</v>
      </c>
      <c r="K120" s="8">
        <v>1.1100000000000001</v>
      </c>
      <c r="L120" s="8">
        <v>0.62</v>
      </c>
      <c r="M120" s="8">
        <v>74</v>
      </c>
      <c r="N120" s="8">
        <v>2.86</v>
      </c>
      <c r="O120" s="8">
        <v>67.8</v>
      </c>
      <c r="P120" s="8">
        <v>0.75</v>
      </c>
      <c r="Q120" s="8">
        <v>0.68</v>
      </c>
      <c r="R120" s="8">
        <v>70.8</v>
      </c>
      <c r="S120" s="8">
        <v>1.03</v>
      </c>
      <c r="T120" s="8">
        <v>64.5</v>
      </c>
      <c r="U120" s="8">
        <v>0.71</v>
      </c>
      <c r="V120" s="8">
        <v>20</v>
      </c>
      <c r="W120" s="8">
        <v>0</v>
      </c>
      <c r="X120" s="8" t="s">
        <v>91</v>
      </c>
      <c r="Y120" s="8">
        <v>0</v>
      </c>
      <c r="Z120" s="8" t="s">
        <v>91</v>
      </c>
      <c r="AA120" s="8">
        <v>2</v>
      </c>
      <c r="AB120" s="8">
        <v>0.69</v>
      </c>
      <c r="AC120" s="8">
        <v>0.1164383561643836</v>
      </c>
      <c r="AD120" s="8">
        <v>0.53424657534246578</v>
      </c>
      <c r="AE120" s="8">
        <v>0.16438356164383561</v>
      </c>
      <c r="AF120" s="8">
        <v>4.1095890410958902E-2</v>
      </c>
      <c r="AG120" s="8">
        <v>5</v>
      </c>
      <c r="AH120" s="8">
        <v>3</v>
      </c>
      <c r="AI120" s="8">
        <v>3</v>
      </c>
      <c r="AJ120" s="8">
        <v>3</v>
      </c>
      <c r="AK120" s="8">
        <v>2</v>
      </c>
      <c r="AL120" s="8">
        <v>5</v>
      </c>
      <c r="AM120" s="8">
        <v>6.8493150684931503E-2</v>
      </c>
      <c r="AN120" s="8">
        <v>0.99</v>
      </c>
      <c r="AO120" s="8">
        <v>0</v>
      </c>
      <c r="AP120" s="8" t="s">
        <v>91</v>
      </c>
      <c r="AQ120" s="8">
        <v>87.6</v>
      </c>
      <c r="AR120" s="9">
        <v>0.70599999999999996</v>
      </c>
      <c r="AS120" s="9">
        <v>0.11</v>
      </c>
      <c r="AT120" s="9">
        <v>0.32700000000000001</v>
      </c>
      <c r="AU120" s="8">
        <v>90</v>
      </c>
      <c r="AV120" s="9">
        <v>0.17100000000000001</v>
      </c>
      <c r="AW120" s="8">
        <v>0.51684931506849319</v>
      </c>
      <c r="AX120" s="8">
        <v>48</v>
      </c>
      <c r="AY120" s="8">
        <v>0.14000000000000001</v>
      </c>
      <c r="AZ120" s="9">
        <v>0.23300000000000001</v>
      </c>
      <c r="BA120" s="8">
        <v>0.13</v>
      </c>
      <c r="BB120" s="8">
        <v>3.6</v>
      </c>
      <c r="BC120" s="8">
        <v>58</v>
      </c>
      <c r="BD120" s="8">
        <v>70</v>
      </c>
      <c r="BE120" s="8">
        <v>62</v>
      </c>
      <c r="BF120" s="8">
        <v>67</v>
      </c>
      <c r="BG120" s="8">
        <v>97</v>
      </c>
      <c r="BH120" s="8">
        <v>90</v>
      </c>
      <c r="BI120" s="8">
        <v>68</v>
      </c>
      <c r="BJ120" s="9">
        <v>0.4</v>
      </c>
      <c r="BK120" s="8">
        <v>1.418202247191011</v>
      </c>
      <c r="BL120" s="8">
        <v>0.14000000000000001</v>
      </c>
      <c r="BM120" s="8">
        <v>0.13</v>
      </c>
      <c r="BN120" s="8">
        <v>0.11</v>
      </c>
      <c r="BO120" s="9">
        <v>0.14399999999999999</v>
      </c>
      <c r="BP120" s="8">
        <v>1.82</v>
      </c>
      <c r="BQ120" s="9">
        <v>0.66700000000000004</v>
      </c>
      <c r="BR120" s="8">
        <v>67</v>
      </c>
      <c r="BS120" s="8">
        <v>0.32</v>
      </c>
      <c r="BT120" s="9">
        <v>0.41799999999999998</v>
      </c>
      <c r="BU120" s="9">
        <v>0.253</v>
      </c>
      <c r="BV120" s="8">
        <v>2.0499999999999998</v>
      </c>
      <c r="BW120" s="8">
        <v>0.94</v>
      </c>
      <c r="BX120" s="8">
        <v>2.1800000000000002</v>
      </c>
      <c r="BY120" s="9">
        <v>0.191</v>
      </c>
      <c r="CD120" s="8"/>
      <c r="CE120" s="9"/>
      <c r="CF120" s="8"/>
      <c r="CG120" s="8"/>
      <c r="CH120" s="9"/>
      <c r="CI120" s="9"/>
      <c r="CJ120" s="8"/>
      <c r="CK120" s="8"/>
      <c r="CL120" s="8"/>
    </row>
    <row r="121" spans="2:90" ht="19.899999999999999" customHeight="1" x14ac:dyDescent="0.3">
      <c r="B121" s="8" t="s">
        <v>149</v>
      </c>
      <c r="C121" s="8">
        <v>11</v>
      </c>
      <c r="D121" s="8">
        <v>1.1100000000000001</v>
      </c>
      <c r="E121" s="8">
        <v>264</v>
      </c>
      <c r="F121" s="8">
        <v>1.23</v>
      </c>
      <c r="G121" s="8">
        <v>0.99</v>
      </c>
      <c r="H121" s="9">
        <v>0.21199999999999999</v>
      </c>
      <c r="I121" s="9">
        <v>0.48199999999999998</v>
      </c>
      <c r="J121" s="8">
        <v>0.99</v>
      </c>
      <c r="K121" s="8">
        <v>1.17</v>
      </c>
      <c r="L121" s="8">
        <v>0.64</v>
      </c>
      <c r="M121" s="8">
        <v>75.400000000000006</v>
      </c>
      <c r="N121" s="8">
        <v>0.68</v>
      </c>
      <c r="O121" s="8">
        <v>76.599999999999994</v>
      </c>
      <c r="P121" s="8">
        <v>0.66</v>
      </c>
      <c r="Q121" s="8">
        <v>0.66</v>
      </c>
      <c r="R121" s="8">
        <v>73.5</v>
      </c>
      <c r="S121" s="8">
        <v>1.06</v>
      </c>
      <c r="T121" s="8">
        <v>77.400000000000006</v>
      </c>
      <c r="U121" s="8">
        <v>0.69</v>
      </c>
      <c r="V121" s="8">
        <v>6</v>
      </c>
      <c r="W121" s="8">
        <v>0</v>
      </c>
      <c r="X121" s="8" t="s">
        <v>91</v>
      </c>
      <c r="Y121" s="8">
        <v>3</v>
      </c>
      <c r="Z121" s="8">
        <v>1.1599999999999999</v>
      </c>
      <c r="AA121" s="8">
        <v>5</v>
      </c>
      <c r="AB121" s="8">
        <v>1.18</v>
      </c>
      <c r="AC121" s="8">
        <v>0.10227272727272731</v>
      </c>
      <c r="AD121" s="8">
        <v>0.45833333333333331</v>
      </c>
      <c r="AE121" s="8">
        <v>0.1553030303030303</v>
      </c>
      <c r="AF121" s="8">
        <v>4.5454545454545463E-2</v>
      </c>
      <c r="AG121" s="8">
        <v>9</v>
      </c>
      <c r="AH121" s="8">
        <v>8</v>
      </c>
      <c r="AI121" s="8">
        <v>7</v>
      </c>
      <c r="AJ121" s="8">
        <v>1</v>
      </c>
      <c r="AK121" s="8">
        <v>1</v>
      </c>
      <c r="AL121" s="8">
        <v>6</v>
      </c>
      <c r="AM121" s="8">
        <v>2.6515151515151519E-2</v>
      </c>
      <c r="AN121" s="8">
        <v>0.85</v>
      </c>
      <c r="AO121" s="8">
        <v>0</v>
      </c>
      <c r="AP121" s="8" t="s">
        <v>91</v>
      </c>
      <c r="AQ121" s="8">
        <v>98.8</v>
      </c>
      <c r="AR121" s="9">
        <v>0.59299999999999997</v>
      </c>
      <c r="AS121" s="9">
        <v>8.8999999999999996E-2</v>
      </c>
      <c r="AT121" s="9">
        <v>0.22900000000000001</v>
      </c>
      <c r="AU121" s="8">
        <v>116</v>
      </c>
      <c r="AV121" s="9">
        <v>0.106</v>
      </c>
      <c r="AW121" s="8">
        <v>0.48407407407407421</v>
      </c>
      <c r="AX121" s="8">
        <v>55.386666666666663</v>
      </c>
      <c r="AY121" s="8">
        <v>0.16</v>
      </c>
      <c r="AZ121" s="9">
        <v>0.189</v>
      </c>
      <c r="BA121" s="8">
        <v>0.02</v>
      </c>
      <c r="BB121" s="8">
        <v>7.7</v>
      </c>
      <c r="BC121" s="8">
        <v>56</v>
      </c>
      <c r="BD121" s="8">
        <v>41</v>
      </c>
      <c r="BE121" s="8">
        <v>78</v>
      </c>
      <c r="BF121" s="8">
        <v>50</v>
      </c>
      <c r="BG121" s="8">
        <v>64</v>
      </c>
      <c r="BH121" s="8">
        <v>1</v>
      </c>
      <c r="BI121" s="8">
        <v>59</v>
      </c>
      <c r="BJ121" s="9">
        <v>0.56000000000000005</v>
      </c>
      <c r="BK121" s="8">
        <v>1.156363636363636</v>
      </c>
      <c r="BL121" s="8">
        <v>0.12</v>
      </c>
      <c r="BM121" s="8">
        <v>0.14000000000000001</v>
      </c>
      <c r="BN121" s="8">
        <v>0.1</v>
      </c>
      <c r="BO121" s="9">
        <v>0.23499999999999999</v>
      </c>
      <c r="BP121" s="8">
        <v>3.07</v>
      </c>
      <c r="BQ121" s="9">
        <v>1</v>
      </c>
      <c r="BR121" s="8">
        <v>70</v>
      </c>
      <c r="BS121" s="8">
        <v>0.02</v>
      </c>
      <c r="BT121" s="9">
        <v>2.3E-2</v>
      </c>
      <c r="BU121" s="9">
        <v>8.0000000000000002E-3</v>
      </c>
      <c r="BV121" s="8">
        <v>0.38</v>
      </c>
      <c r="BW121" s="8">
        <v>0.51</v>
      </c>
      <c r="BX121" s="8">
        <v>1.1499999999999999</v>
      </c>
      <c r="BY121" s="9">
        <v>0.24</v>
      </c>
      <c r="CD121" s="8"/>
      <c r="CE121" s="9"/>
      <c r="CF121" s="8"/>
      <c r="CG121" s="8"/>
      <c r="CH121" s="9"/>
      <c r="CI121" s="9"/>
      <c r="CJ121" s="8"/>
      <c r="CK121" s="8"/>
      <c r="CL121" s="8"/>
    </row>
    <row r="122" spans="2:90" ht="19.899999999999999" customHeight="1" x14ac:dyDescent="0.3">
      <c r="B122" s="8" t="s">
        <v>150</v>
      </c>
      <c r="C122" s="8">
        <v>15</v>
      </c>
      <c r="D122" s="8">
        <v>1.1100000000000001</v>
      </c>
      <c r="E122" s="8">
        <v>345</v>
      </c>
      <c r="F122" s="8">
        <v>1.0900000000000001</v>
      </c>
      <c r="G122" s="8">
        <v>1.1200000000000001</v>
      </c>
      <c r="H122" s="9">
        <v>0.217</v>
      </c>
      <c r="I122" s="9">
        <v>0.53300000000000003</v>
      </c>
      <c r="J122" s="8">
        <v>1.08</v>
      </c>
      <c r="K122" s="8">
        <v>1.07</v>
      </c>
      <c r="L122" s="8">
        <v>0.65</v>
      </c>
      <c r="M122" s="8">
        <v>72.8</v>
      </c>
      <c r="N122" s="8">
        <v>0.52</v>
      </c>
      <c r="O122" s="8">
        <v>77.900000000000006</v>
      </c>
      <c r="P122" s="8">
        <v>0.72</v>
      </c>
      <c r="Q122" s="8">
        <v>0.68</v>
      </c>
      <c r="R122" s="8">
        <v>68.8</v>
      </c>
      <c r="S122" s="8">
        <v>1.21</v>
      </c>
      <c r="T122" s="8">
        <v>77.7</v>
      </c>
      <c r="U122" s="8">
        <v>0.74</v>
      </c>
      <c r="V122" s="8">
        <v>26</v>
      </c>
      <c r="W122" s="8">
        <v>0</v>
      </c>
      <c r="X122" s="8" t="s">
        <v>91</v>
      </c>
      <c r="Y122" s="8">
        <v>0</v>
      </c>
      <c r="Z122" s="8" t="s">
        <v>91</v>
      </c>
      <c r="AA122" s="8">
        <v>6</v>
      </c>
      <c r="AB122" s="8">
        <v>1.04</v>
      </c>
      <c r="AC122" s="8">
        <v>0.11594202898550721</v>
      </c>
      <c r="AD122" s="8">
        <v>0.48115942028985509</v>
      </c>
      <c r="AE122" s="8">
        <v>0.18260869565217391</v>
      </c>
      <c r="AF122" s="8">
        <v>4.9275362318840582E-2</v>
      </c>
      <c r="AG122" s="8">
        <v>15</v>
      </c>
      <c r="AH122" s="8">
        <v>12</v>
      </c>
      <c r="AI122" s="8">
        <v>5</v>
      </c>
      <c r="AJ122" s="8">
        <v>2</v>
      </c>
      <c r="AK122" s="8">
        <v>2</v>
      </c>
      <c r="AL122" s="8">
        <v>3</v>
      </c>
      <c r="AM122" s="8">
        <v>3.1884057971014491E-2</v>
      </c>
      <c r="AN122" s="8">
        <v>0.97</v>
      </c>
      <c r="AO122" s="8">
        <v>0</v>
      </c>
      <c r="AP122" s="8" t="s">
        <v>91</v>
      </c>
      <c r="AQ122" s="8">
        <v>99.6</v>
      </c>
      <c r="AR122" s="9">
        <v>0.7</v>
      </c>
      <c r="AS122" s="9">
        <v>0.122</v>
      </c>
      <c r="AT122" s="9">
        <v>0.248</v>
      </c>
      <c r="AU122" s="8">
        <v>108</v>
      </c>
      <c r="AV122" s="9">
        <v>7.0000000000000007E-2</v>
      </c>
      <c r="AW122" s="8">
        <v>0.45384146341463422</v>
      </c>
      <c r="AX122" s="8">
        <v>53.950609756097592</v>
      </c>
      <c r="AY122" s="8">
        <v>0.13</v>
      </c>
      <c r="AZ122" s="9">
        <v>0.19600000000000001</v>
      </c>
      <c r="BA122" s="8">
        <v>0.02</v>
      </c>
      <c r="BB122" s="8">
        <v>4.99</v>
      </c>
      <c r="BC122" s="8">
        <v>78</v>
      </c>
      <c r="BD122" s="8">
        <v>37</v>
      </c>
      <c r="BE122" s="8">
        <v>24</v>
      </c>
      <c r="BF122" s="8">
        <v>67</v>
      </c>
      <c r="BG122" s="8">
        <v>69</v>
      </c>
      <c r="BH122" s="8">
        <v>1</v>
      </c>
      <c r="BI122" s="8">
        <v>44</v>
      </c>
      <c r="BJ122" s="9">
        <v>0.63200000000000001</v>
      </c>
      <c r="BK122" s="8">
        <v>1.1659999999999999</v>
      </c>
      <c r="BL122" s="8">
        <v>0.13</v>
      </c>
      <c r="BM122" s="8">
        <v>0.08</v>
      </c>
      <c r="BN122" s="8">
        <v>0.1</v>
      </c>
      <c r="BO122" s="9">
        <v>0.19700000000000001</v>
      </c>
      <c r="BP122" s="8">
        <v>2.81</v>
      </c>
      <c r="BQ122" s="9">
        <v>1</v>
      </c>
      <c r="BR122" s="8">
        <v>80</v>
      </c>
      <c r="BS122" s="8">
        <v>0.01</v>
      </c>
      <c r="BT122" s="9">
        <v>1.2E-2</v>
      </c>
      <c r="BU122" s="9">
        <v>3.0000000000000001E-3</v>
      </c>
      <c r="BV122" s="8">
        <v>0.87</v>
      </c>
      <c r="BW122" s="8">
        <v>0.44</v>
      </c>
      <c r="BX122" s="8">
        <v>1.56</v>
      </c>
      <c r="BY122" s="9">
        <v>0.17599999999999999</v>
      </c>
      <c r="CD122" s="8"/>
      <c r="CE122" s="9"/>
      <c r="CF122" s="8"/>
      <c r="CG122" s="8"/>
      <c r="CH122" s="9"/>
      <c r="CI122" s="9"/>
      <c r="CJ122" s="8"/>
      <c r="CK122" s="8"/>
      <c r="CL122" s="8"/>
    </row>
    <row r="123" spans="2:90" ht="19.899999999999999" customHeight="1" x14ac:dyDescent="0.3">
      <c r="B123" s="8" t="s">
        <v>128</v>
      </c>
      <c r="C123" s="8">
        <v>16</v>
      </c>
      <c r="D123" s="8">
        <v>1.1000000000000001</v>
      </c>
      <c r="E123" s="8">
        <v>366</v>
      </c>
      <c r="F123" s="8">
        <v>1.1200000000000001</v>
      </c>
      <c r="G123" s="8">
        <v>1.0900000000000001</v>
      </c>
      <c r="H123" s="9">
        <v>0.26</v>
      </c>
      <c r="I123" s="9">
        <v>0.53700000000000003</v>
      </c>
      <c r="J123" s="8">
        <v>1.1599999999999999</v>
      </c>
      <c r="K123" s="8">
        <v>1.2</v>
      </c>
      <c r="L123" s="8">
        <v>0.61</v>
      </c>
      <c r="M123" s="8">
        <v>75.400000000000006</v>
      </c>
      <c r="N123" s="8">
        <v>0.73</v>
      </c>
      <c r="O123" s="8">
        <v>79.900000000000006</v>
      </c>
      <c r="P123" s="8">
        <v>0.75</v>
      </c>
      <c r="Q123" s="8">
        <v>0.65</v>
      </c>
      <c r="R123" s="8">
        <v>70.7</v>
      </c>
      <c r="S123" s="8">
        <v>1</v>
      </c>
      <c r="T123" s="8">
        <v>77.400000000000006</v>
      </c>
      <c r="U123" s="8">
        <v>0.73</v>
      </c>
      <c r="V123" s="8">
        <v>52</v>
      </c>
      <c r="W123" s="8">
        <v>0</v>
      </c>
      <c r="X123" s="8" t="s">
        <v>91</v>
      </c>
      <c r="Y123" s="8">
        <v>0</v>
      </c>
      <c r="Z123" s="8" t="s">
        <v>91</v>
      </c>
      <c r="AA123" s="8">
        <v>3</v>
      </c>
      <c r="AB123" s="8">
        <v>1.4</v>
      </c>
      <c r="AC123" s="8">
        <v>0.13934426229508201</v>
      </c>
      <c r="AD123" s="8">
        <v>0.52459016393442626</v>
      </c>
      <c r="AE123" s="8">
        <v>0.17759562841530049</v>
      </c>
      <c r="AF123" s="8">
        <v>4.3715846994535519E-2</v>
      </c>
      <c r="AG123" s="8">
        <v>12</v>
      </c>
      <c r="AH123" s="8">
        <v>12</v>
      </c>
      <c r="AI123" s="8">
        <v>8</v>
      </c>
      <c r="AJ123" s="8">
        <v>5</v>
      </c>
      <c r="AK123" s="8">
        <v>4</v>
      </c>
      <c r="AL123" s="8">
        <v>4</v>
      </c>
      <c r="AM123" s="8">
        <v>1.6393442622950821E-2</v>
      </c>
      <c r="AN123" s="8">
        <v>1</v>
      </c>
      <c r="AO123" s="8">
        <v>0</v>
      </c>
      <c r="AP123" s="8" t="s">
        <v>91</v>
      </c>
      <c r="AQ123" s="8">
        <v>102.8</v>
      </c>
      <c r="AR123" s="9">
        <v>0.82399999999999995</v>
      </c>
      <c r="AS123" s="9">
        <v>0.158</v>
      </c>
      <c r="AT123" s="9">
        <v>0.252</v>
      </c>
      <c r="AU123" s="8">
        <v>107</v>
      </c>
      <c r="AV123" s="9">
        <v>9.8000000000000004E-2</v>
      </c>
      <c r="AW123" s="8">
        <v>0.44242424242424239</v>
      </c>
      <c r="AX123" s="8">
        <v>52.003636363636367</v>
      </c>
      <c r="AY123" s="8">
        <v>0.13</v>
      </c>
      <c r="AZ123" s="9">
        <v>0.19400000000000001</v>
      </c>
      <c r="BA123" s="8">
        <v>0.05</v>
      </c>
      <c r="BB123" s="8">
        <v>4.92</v>
      </c>
      <c r="BC123" s="8">
        <v>81</v>
      </c>
      <c r="BD123" s="8">
        <v>40</v>
      </c>
      <c r="BE123" s="8">
        <v>38</v>
      </c>
      <c r="BF123" s="8">
        <v>89</v>
      </c>
      <c r="BG123" s="8">
        <v>44</v>
      </c>
      <c r="BH123" s="8">
        <v>1</v>
      </c>
      <c r="BI123" s="8">
        <v>54</v>
      </c>
      <c r="BJ123" s="9">
        <v>0.52200000000000002</v>
      </c>
      <c r="BK123" s="8">
        <v>1.2540928270042191</v>
      </c>
      <c r="BL123" s="8">
        <v>0.12</v>
      </c>
      <c r="BM123" s="8">
        <v>0.11</v>
      </c>
      <c r="BN123" s="8">
        <v>0.1</v>
      </c>
      <c r="BO123" s="9">
        <v>0.17799999999999999</v>
      </c>
      <c r="BP123" s="8">
        <v>2.83</v>
      </c>
      <c r="BQ123" s="9">
        <v>1</v>
      </c>
      <c r="BR123" s="8">
        <v>73</v>
      </c>
      <c r="BS123" s="8">
        <v>0.02</v>
      </c>
      <c r="BT123" s="9">
        <v>2.1999999999999999E-2</v>
      </c>
      <c r="BU123" s="9">
        <v>1.6E-2</v>
      </c>
      <c r="BV123" s="8">
        <v>0.82</v>
      </c>
      <c r="BW123" s="8">
        <v>0.5</v>
      </c>
      <c r="BX123" s="8">
        <v>2.02</v>
      </c>
      <c r="BY123" s="9">
        <v>0.16800000000000001</v>
      </c>
      <c r="CD123" s="8"/>
      <c r="CE123" s="9"/>
      <c r="CF123" s="8"/>
      <c r="CG123" s="8"/>
      <c r="CH123" s="9"/>
      <c r="CI123" s="9"/>
      <c r="CJ123" s="8"/>
      <c r="CK123" s="8"/>
      <c r="CL123" s="8"/>
    </row>
    <row r="124" spans="2:90" ht="19.899999999999999" customHeight="1" x14ac:dyDescent="0.3">
      <c r="B124" s="8" t="s">
        <v>151</v>
      </c>
      <c r="C124" s="8">
        <v>10</v>
      </c>
      <c r="D124" s="8">
        <v>1.1000000000000001</v>
      </c>
      <c r="E124" s="8">
        <v>254</v>
      </c>
      <c r="F124" s="8">
        <v>1.28</v>
      </c>
      <c r="G124" s="8">
        <v>0.92</v>
      </c>
      <c r="H124" s="9">
        <v>0.20499999999999999</v>
      </c>
      <c r="I124" s="9">
        <v>0.5</v>
      </c>
      <c r="J124" s="8">
        <v>1.01</v>
      </c>
      <c r="K124" s="8">
        <v>1.34</v>
      </c>
      <c r="L124" s="8">
        <v>0.67</v>
      </c>
      <c r="M124" s="8">
        <v>76.400000000000006</v>
      </c>
      <c r="N124" s="8">
        <v>0.56999999999999995</v>
      </c>
      <c r="O124" s="8">
        <v>77.900000000000006</v>
      </c>
      <c r="P124" s="8">
        <v>0.7</v>
      </c>
      <c r="Q124" s="8">
        <v>0.69</v>
      </c>
      <c r="R124" s="8">
        <v>72.599999999999994</v>
      </c>
      <c r="S124" s="8">
        <v>0.99</v>
      </c>
      <c r="T124" s="8">
        <v>79</v>
      </c>
      <c r="U124" s="8">
        <v>0.72</v>
      </c>
      <c r="V124" s="8">
        <v>8</v>
      </c>
      <c r="W124" s="8">
        <v>0</v>
      </c>
      <c r="X124" s="8" t="s">
        <v>91</v>
      </c>
      <c r="Y124" s="8">
        <v>1</v>
      </c>
      <c r="Z124" s="8">
        <v>1.6</v>
      </c>
      <c r="AA124" s="8">
        <v>1</v>
      </c>
      <c r="AB124" s="8">
        <v>1.6</v>
      </c>
      <c r="AC124" s="8">
        <v>0.10236220472440941</v>
      </c>
      <c r="AD124" s="8">
        <v>0.50787401574803148</v>
      </c>
      <c r="AE124" s="8">
        <v>0.14960629921259841</v>
      </c>
      <c r="AF124" s="8">
        <v>3.937007874015748E-2</v>
      </c>
      <c r="AG124" s="8">
        <v>8</v>
      </c>
      <c r="AH124" s="8">
        <v>6</v>
      </c>
      <c r="AI124" s="8">
        <v>4</v>
      </c>
      <c r="AJ124" s="8">
        <v>3</v>
      </c>
      <c r="AK124" s="8">
        <v>3</v>
      </c>
      <c r="AL124" s="8">
        <v>1</v>
      </c>
      <c r="AM124" s="8">
        <v>3.937007874015748E-3</v>
      </c>
      <c r="AN124" s="8">
        <v>0.98</v>
      </c>
      <c r="AO124" s="8">
        <v>0</v>
      </c>
      <c r="AP124" s="8" t="s">
        <v>91</v>
      </c>
      <c r="AQ124" s="8">
        <v>107.9</v>
      </c>
      <c r="AR124" s="9">
        <v>0.53800000000000003</v>
      </c>
      <c r="AS124" s="9">
        <v>7.4999999999999997E-2</v>
      </c>
      <c r="AT124" s="9">
        <v>0.185</v>
      </c>
      <c r="AU124" s="8">
        <v>111</v>
      </c>
      <c r="AV124" s="9">
        <v>0.114</v>
      </c>
      <c r="AW124" s="8">
        <v>0.45074626865671652</v>
      </c>
      <c r="AX124" s="8">
        <v>51.034328358208967</v>
      </c>
      <c r="AY124" s="8">
        <v>0.11</v>
      </c>
      <c r="AZ124" s="9">
        <v>0.13500000000000001</v>
      </c>
      <c r="BA124" s="8">
        <v>0.04</v>
      </c>
      <c r="BB124" s="8">
        <v>6.62</v>
      </c>
      <c r="BC124" s="8">
        <v>61</v>
      </c>
      <c r="BD124" s="8">
        <v>19</v>
      </c>
      <c r="BE124" s="8">
        <v>24</v>
      </c>
      <c r="BF124" s="8">
        <v>49</v>
      </c>
      <c r="BG124" s="8">
        <v>28</v>
      </c>
      <c r="BH124" s="8">
        <v>0</v>
      </c>
      <c r="BI124" s="8">
        <v>76</v>
      </c>
      <c r="BJ124" s="9">
        <v>0.61199999999999999</v>
      </c>
      <c r="BK124" s="8">
        <v>1.2752380952380951</v>
      </c>
      <c r="BL124" s="8">
        <v>0.09</v>
      </c>
      <c r="BM124" s="8">
        <v>0.11</v>
      </c>
      <c r="BN124" s="8">
        <v>0.1</v>
      </c>
      <c r="BO124" s="9">
        <v>0.21299999999999999</v>
      </c>
      <c r="BP124" s="8">
        <v>2.8</v>
      </c>
      <c r="BQ124" s="9">
        <v>0.33300000000000002</v>
      </c>
      <c r="BR124" s="8">
        <v>72</v>
      </c>
      <c r="BS124" s="8">
        <v>0.01</v>
      </c>
      <c r="BT124" s="9">
        <v>1.0999999999999999E-2</v>
      </c>
      <c r="BU124" s="9">
        <v>8.0000000000000002E-3</v>
      </c>
      <c r="BV124" s="8">
        <v>1.57</v>
      </c>
      <c r="BW124" s="8">
        <v>0.63</v>
      </c>
      <c r="BX124" s="8">
        <v>2.13</v>
      </c>
      <c r="BY124" s="9">
        <v>0.157</v>
      </c>
      <c r="CD124" s="8"/>
      <c r="CE124" s="9"/>
      <c r="CF124" s="8"/>
      <c r="CG124" s="8"/>
      <c r="CH124" s="9"/>
      <c r="CI124" s="9"/>
      <c r="CJ124" s="8"/>
      <c r="CK124" s="8"/>
      <c r="CL124" s="8"/>
    </row>
    <row r="125" spans="2:90" ht="19.899999999999999" customHeight="1" x14ac:dyDescent="0.3">
      <c r="B125" s="8" t="s">
        <v>152</v>
      </c>
      <c r="C125" s="8">
        <v>11</v>
      </c>
      <c r="D125" s="8">
        <v>1.0900000000000001</v>
      </c>
      <c r="E125" s="8">
        <v>261</v>
      </c>
      <c r="F125" s="8">
        <v>1.07</v>
      </c>
      <c r="G125" s="8">
        <v>1.1100000000000001</v>
      </c>
      <c r="H125" s="9">
        <v>0.26100000000000001</v>
      </c>
      <c r="I125" s="9">
        <v>0.5</v>
      </c>
      <c r="J125" s="8">
        <v>1.1000000000000001</v>
      </c>
      <c r="K125" s="8">
        <v>1.47</v>
      </c>
      <c r="L125" s="8">
        <v>0.72</v>
      </c>
      <c r="M125" s="8">
        <v>72.400000000000006</v>
      </c>
      <c r="N125" s="8">
        <v>0.04</v>
      </c>
      <c r="O125" s="8">
        <v>79.900000000000006</v>
      </c>
      <c r="P125" s="8">
        <v>0.71</v>
      </c>
      <c r="Q125" s="8">
        <v>0.73</v>
      </c>
      <c r="R125" s="8">
        <v>73.2</v>
      </c>
      <c r="S125" s="8">
        <v>1.05</v>
      </c>
      <c r="T125" s="8">
        <v>79.8</v>
      </c>
      <c r="U125" s="8">
        <v>0.72</v>
      </c>
      <c r="V125" s="8">
        <v>-1</v>
      </c>
      <c r="W125" s="8">
        <v>0</v>
      </c>
      <c r="X125" s="8" t="s">
        <v>91</v>
      </c>
      <c r="Y125" s="8">
        <v>1</v>
      </c>
      <c r="Z125" s="8">
        <v>0.94</v>
      </c>
      <c r="AA125" s="8">
        <v>6</v>
      </c>
      <c r="AB125" s="8">
        <v>1.03</v>
      </c>
      <c r="AC125" s="8">
        <v>0.13026819923371649</v>
      </c>
      <c r="AD125" s="8">
        <v>0.47892720306513409</v>
      </c>
      <c r="AE125" s="8">
        <v>0.1877394636015326</v>
      </c>
      <c r="AF125" s="8">
        <v>3.4482758620689648E-2</v>
      </c>
      <c r="AG125" s="8">
        <v>9</v>
      </c>
      <c r="AH125" s="8">
        <v>6</v>
      </c>
      <c r="AI125" s="8">
        <v>5</v>
      </c>
      <c r="AJ125" s="8">
        <v>2</v>
      </c>
      <c r="AK125" s="8">
        <v>1</v>
      </c>
      <c r="AL125" s="8">
        <v>4</v>
      </c>
      <c r="AM125" s="8">
        <v>1.532567049808429E-2</v>
      </c>
      <c r="AN125" s="8">
        <v>1.04</v>
      </c>
      <c r="AO125" s="8">
        <v>0</v>
      </c>
      <c r="AP125" s="8" t="s">
        <v>91</v>
      </c>
      <c r="AQ125" s="8">
        <v>109.1</v>
      </c>
      <c r="AR125" s="9">
        <v>0.67600000000000005</v>
      </c>
      <c r="AS125" s="9">
        <v>0.03</v>
      </c>
      <c r="AT125" s="9">
        <v>0.27400000000000002</v>
      </c>
      <c r="AU125" s="8">
        <v>112</v>
      </c>
      <c r="AV125" s="9">
        <v>7.6999999999999999E-2</v>
      </c>
      <c r="AW125" s="8">
        <v>0.40711111111111109</v>
      </c>
      <c r="AX125" s="8">
        <v>52.64666666666669</v>
      </c>
      <c r="AY125" s="8">
        <v>0.16</v>
      </c>
      <c r="AZ125" s="9">
        <v>0.23499999999999999</v>
      </c>
      <c r="BA125" s="8">
        <v>0.02</v>
      </c>
      <c r="BB125" s="8">
        <v>5.38</v>
      </c>
      <c r="BC125" s="8">
        <v>80</v>
      </c>
      <c r="BD125" s="8">
        <v>85</v>
      </c>
      <c r="BE125" s="8">
        <v>62</v>
      </c>
      <c r="BF125" s="8">
        <v>78</v>
      </c>
      <c r="BG125" s="8">
        <v>38</v>
      </c>
      <c r="BH125" s="8">
        <v>0</v>
      </c>
      <c r="BI125" s="8">
        <v>51</v>
      </c>
      <c r="BJ125" s="9">
        <v>0.55900000000000005</v>
      </c>
      <c r="BK125" s="8">
        <v>1.2889999999999999</v>
      </c>
      <c r="BL125" s="8">
        <v>0.17</v>
      </c>
      <c r="BM125" s="8">
        <v>0.1</v>
      </c>
      <c r="BN125" s="8">
        <v>0.13</v>
      </c>
      <c r="BO125" s="9">
        <v>0.17199999999999999</v>
      </c>
      <c r="BP125" s="8">
        <v>2.76</v>
      </c>
      <c r="BQ125" s="9">
        <v>0.66700000000000004</v>
      </c>
      <c r="BR125" s="8">
        <v>68</v>
      </c>
      <c r="BS125" s="8">
        <v>0.01</v>
      </c>
      <c r="BT125" s="9">
        <v>1.0999999999999999E-2</v>
      </c>
      <c r="BU125" s="9">
        <v>4.0000000000000001E-3</v>
      </c>
      <c r="BV125" s="8">
        <v>0.38</v>
      </c>
      <c r="BW125" s="8">
        <v>0.48</v>
      </c>
      <c r="BX125" s="8">
        <v>1.92</v>
      </c>
      <c r="BY125" s="9">
        <v>0.22</v>
      </c>
      <c r="CD125" s="8"/>
      <c r="CE125" s="9"/>
      <c r="CF125" s="8"/>
      <c r="CG125" s="8"/>
      <c r="CH125" s="9"/>
      <c r="CI125" s="9"/>
      <c r="CJ125" s="8"/>
      <c r="CK125" s="8"/>
      <c r="CL125" s="8"/>
    </row>
    <row r="126" spans="2:90" ht="19.899999999999999" customHeight="1" x14ac:dyDescent="0.3">
      <c r="B126" s="8" t="s">
        <v>153</v>
      </c>
      <c r="C126" s="8">
        <v>5</v>
      </c>
      <c r="D126" s="8">
        <v>1.0900000000000001</v>
      </c>
      <c r="E126" s="8">
        <v>116</v>
      </c>
      <c r="F126" s="8">
        <v>1.1399999999999999</v>
      </c>
      <c r="G126" s="8">
        <v>1.02</v>
      </c>
      <c r="H126" s="9">
        <v>0.18099999999999999</v>
      </c>
      <c r="I126" s="9">
        <v>0.23799999999999999</v>
      </c>
      <c r="J126" s="8">
        <v>0.65</v>
      </c>
      <c r="K126" s="8">
        <v>0.68</v>
      </c>
      <c r="L126" s="8">
        <v>0.73</v>
      </c>
      <c r="M126" s="8">
        <v>73.3</v>
      </c>
      <c r="N126" s="8">
        <v>1.34</v>
      </c>
      <c r="O126" s="8">
        <v>78.099999999999994</v>
      </c>
      <c r="P126" s="8">
        <v>0.62</v>
      </c>
      <c r="Q126" s="8">
        <v>0.74</v>
      </c>
      <c r="R126" s="8">
        <v>68.900000000000006</v>
      </c>
      <c r="S126" s="8">
        <v>1.1200000000000001</v>
      </c>
      <c r="T126" s="8">
        <v>82.2</v>
      </c>
      <c r="U126" s="8">
        <v>0.68</v>
      </c>
      <c r="V126" s="8">
        <v>-13</v>
      </c>
      <c r="W126" s="8">
        <v>0</v>
      </c>
      <c r="X126" s="8" t="s">
        <v>91</v>
      </c>
      <c r="Y126" s="8">
        <v>0</v>
      </c>
      <c r="Z126" s="8" t="s">
        <v>91</v>
      </c>
      <c r="AA126" s="8">
        <v>4</v>
      </c>
      <c r="AB126" s="8">
        <v>1.08</v>
      </c>
      <c r="AC126" s="8">
        <v>4.3103448275862072E-2</v>
      </c>
      <c r="AD126" s="8">
        <v>0.48275862068965519</v>
      </c>
      <c r="AE126" s="8">
        <v>0.1120689655172414</v>
      </c>
      <c r="AF126" s="8">
        <v>1.7241379310344831E-2</v>
      </c>
      <c r="AG126" s="8">
        <v>5</v>
      </c>
      <c r="AH126" s="8">
        <v>4</v>
      </c>
      <c r="AI126" s="8">
        <v>1</v>
      </c>
      <c r="AJ126" s="8">
        <v>0</v>
      </c>
      <c r="AK126" s="8">
        <v>0</v>
      </c>
      <c r="AL126" s="8">
        <v>2</v>
      </c>
      <c r="AM126" s="8">
        <v>2.5862068965517241E-2</v>
      </c>
      <c r="AN126" s="8">
        <v>0.88</v>
      </c>
      <c r="AO126" s="8">
        <v>0</v>
      </c>
      <c r="AP126" s="8" t="s">
        <v>91</v>
      </c>
      <c r="AQ126" s="8">
        <v>110.6</v>
      </c>
      <c r="AR126" s="9">
        <v>1</v>
      </c>
      <c r="AS126" s="9">
        <v>6.0999999999999999E-2</v>
      </c>
      <c r="AT126" s="9">
        <v>0.125</v>
      </c>
      <c r="AU126" s="8">
        <v>126</v>
      </c>
      <c r="AV126" s="9">
        <v>7.8E-2</v>
      </c>
      <c r="AW126" s="8">
        <v>0.42424242424242431</v>
      </c>
      <c r="AX126" s="8">
        <v>53.478787878787863</v>
      </c>
      <c r="AY126" s="8">
        <v>0.14000000000000001</v>
      </c>
      <c r="AZ126" s="9">
        <v>0.2</v>
      </c>
      <c r="BA126" s="8">
        <v>0.08</v>
      </c>
      <c r="BB126" s="8">
        <v>5.72</v>
      </c>
      <c r="BC126" s="8">
        <v>37</v>
      </c>
      <c r="BD126" s="8">
        <v>42</v>
      </c>
      <c r="BE126" s="8">
        <v>57</v>
      </c>
      <c r="BF126" s="8">
        <v>21</v>
      </c>
      <c r="BG126" s="8">
        <v>59</v>
      </c>
      <c r="BH126" s="8">
        <v>0</v>
      </c>
      <c r="BI126" s="8">
        <v>78</v>
      </c>
      <c r="BJ126" s="9">
        <v>0.65300000000000002</v>
      </c>
      <c r="BK126" s="8">
        <v>1.25</v>
      </c>
      <c r="BL126" s="8">
        <v>0.15</v>
      </c>
      <c r="BM126" s="8">
        <v>0.12</v>
      </c>
      <c r="BN126" s="8">
        <v>0.08</v>
      </c>
      <c r="BO126" s="9">
        <v>0.17199999999999999</v>
      </c>
      <c r="BP126" s="8">
        <v>2.99</v>
      </c>
      <c r="BQ126" s="9">
        <v>1</v>
      </c>
      <c r="BR126" s="8">
        <v>73</v>
      </c>
      <c r="BS126" s="8">
        <v>0</v>
      </c>
      <c r="BT126" s="9">
        <v>0</v>
      </c>
      <c r="BU126" s="8" t="s">
        <v>91</v>
      </c>
      <c r="BV126" s="8">
        <v>0</v>
      </c>
      <c r="BW126" s="8">
        <v>0.78</v>
      </c>
      <c r="BX126" s="8">
        <v>2.04</v>
      </c>
      <c r="BY126" s="9">
        <v>0.222</v>
      </c>
      <c r="CD126" s="8"/>
      <c r="CE126" s="9"/>
      <c r="CF126" s="8"/>
      <c r="CG126" s="8"/>
      <c r="CH126" s="9"/>
      <c r="CI126" s="9"/>
      <c r="CJ126" s="8"/>
      <c r="CK126" s="8"/>
      <c r="CL126" s="8"/>
    </row>
    <row r="127" spans="2:90" ht="19.899999999999999" customHeight="1" x14ac:dyDescent="0.3">
      <c r="B127" s="8" t="s">
        <v>131</v>
      </c>
      <c r="C127" s="8">
        <v>7</v>
      </c>
      <c r="D127" s="8">
        <v>1.08</v>
      </c>
      <c r="E127" s="8">
        <v>146</v>
      </c>
      <c r="F127" s="8">
        <v>1.44</v>
      </c>
      <c r="G127" s="8">
        <v>0.78</v>
      </c>
      <c r="H127" s="9">
        <v>0.13</v>
      </c>
      <c r="I127" s="9">
        <v>0.36799999999999999</v>
      </c>
      <c r="J127" s="8">
        <v>0.77</v>
      </c>
      <c r="K127" s="8">
        <v>1.26</v>
      </c>
      <c r="L127" s="8">
        <v>0.71</v>
      </c>
      <c r="M127" s="8">
        <v>68.5</v>
      </c>
      <c r="N127" s="8">
        <v>-0.21</v>
      </c>
      <c r="O127" s="8">
        <v>74.7</v>
      </c>
      <c r="P127" s="8">
        <v>0.73</v>
      </c>
      <c r="Q127" s="8">
        <v>0.7</v>
      </c>
      <c r="R127" s="8">
        <v>67.900000000000006</v>
      </c>
      <c r="S127" s="8">
        <v>1.1000000000000001</v>
      </c>
      <c r="T127" s="8">
        <v>75.2</v>
      </c>
      <c r="U127" s="8">
        <v>0.74</v>
      </c>
      <c r="V127" s="8">
        <v>3</v>
      </c>
      <c r="W127" s="8">
        <v>0</v>
      </c>
      <c r="X127" s="8" t="s">
        <v>91</v>
      </c>
      <c r="Y127" s="8">
        <v>0</v>
      </c>
      <c r="Z127" s="8" t="s">
        <v>91</v>
      </c>
      <c r="AA127" s="8">
        <v>2</v>
      </c>
      <c r="AB127" s="8">
        <v>0.84</v>
      </c>
      <c r="AC127" s="8">
        <v>4.7945205479452052E-2</v>
      </c>
      <c r="AD127" s="8">
        <v>0.45205479452054792</v>
      </c>
      <c r="AE127" s="8">
        <v>0.19863013698630139</v>
      </c>
      <c r="AF127" s="8">
        <v>7.5342465753424653E-2</v>
      </c>
      <c r="AG127" s="8">
        <v>5</v>
      </c>
      <c r="AH127" s="8">
        <v>4</v>
      </c>
      <c r="AI127" s="8">
        <v>2</v>
      </c>
      <c r="AJ127" s="8">
        <v>2</v>
      </c>
      <c r="AK127" s="8">
        <v>1</v>
      </c>
      <c r="AL127" s="8">
        <v>1</v>
      </c>
      <c r="AM127" s="8">
        <v>6.8493150684931503E-3</v>
      </c>
      <c r="AN127" s="8">
        <v>1.03</v>
      </c>
      <c r="AO127" s="8">
        <v>0</v>
      </c>
      <c r="AP127" s="8" t="s">
        <v>91</v>
      </c>
      <c r="AQ127" s="8">
        <v>96.7</v>
      </c>
      <c r="AR127" s="9">
        <v>0.85699999999999998</v>
      </c>
      <c r="AS127" s="9">
        <v>1.4E-2</v>
      </c>
      <c r="AT127" s="9">
        <v>0.30199999999999999</v>
      </c>
      <c r="AU127" s="8">
        <v>103</v>
      </c>
      <c r="AV127" s="9">
        <v>0.13</v>
      </c>
      <c r="AW127" s="8">
        <v>0.42205479452054789</v>
      </c>
      <c r="AX127" s="8">
        <v>52.7</v>
      </c>
      <c r="AY127" s="8">
        <v>0.21</v>
      </c>
      <c r="AZ127" s="9">
        <v>0.20399999999999999</v>
      </c>
      <c r="BA127" s="8">
        <v>0.04</v>
      </c>
      <c r="BB127" s="8">
        <v>3.9</v>
      </c>
      <c r="BC127" s="8">
        <v>76</v>
      </c>
      <c r="BD127" s="8">
        <v>70</v>
      </c>
      <c r="BE127" s="8">
        <v>96</v>
      </c>
      <c r="BF127" s="8">
        <v>13</v>
      </c>
      <c r="BG127" s="8">
        <v>30</v>
      </c>
      <c r="BH127" s="8">
        <v>0</v>
      </c>
      <c r="BI127" s="8">
        <v>49</v>
      </c>
      <c r="BJ127" s="9">
        <v>0.60399999999999998</v>
      </c>
      <c r="BK127" s="8">
        <v>1.2298876404494381</v>
      </c>
      <c r="BL127" s="8">
        <v>0.14000000000000001</v>
      </c>
      <c r="BM127" s="8">
        <v>0.16</v>
      </c>
      <c r="BN127" s="8">
        <v>0.14000000000000001</v>
      </c>
      <c r="BO127" s="9">
        <v>0.17100000000000001</v>
      </c>
      <c r="BP127" s="8">
        <v>2.91</v>
      </c>
      <c r="BQ127" s="9">
        <v>0.5</v>
      </c>
      <c r="BR127" s="8">
        <v>63</v>
      </c>
      <c r="BS127" s="8">
        <v>0</v>
      </c>
      <c r="BT127" s="9">
        <v>0</v>
      </c>
      <c r="BU127" s="8" t="s">
        <v>91</v>
      </c>
      <c r="BV127" s="8">
        <v>0.68</v>
      </c>
      <c r="BW127" s="8">
        <v>0.56000000000000005</v>
      </c>
      <c r="BX127" s="8">
        <v>1.91</v>
      </c>
      <c r="BY127" s="9">
        <v>0.28299999999999997</v>
      </c>
      <c r="CD127" s="8"/>
      <c r="CE127" s="9"/>
      <c r="CF127" s="8"/>
      <c r="CG127" s="8"/>
      <c r="CH127" s="9"/>
      <c r="CI127" s="9"/>
      <c r="CJ127" s="8"/>
      <c r="CK127" s="8"/>
      <c r="CL127" s="8"/>
    </row>
    <row r="128" spans="2:90" ht="19.899999999999999" customHeight="1" x14ac:dyDescent="0.3">
      <c r="B128" s="8" t="s">
        <v>154</v>
      </c>
      <c r="C128" s="8">
        <v>7</v>
      </c>
      <c r="D128" s="8">
        <v>1.08</v>
      </c>
      <c r="E128" s="8">
        <v>138</v>
      </c>
      <c r="F128" s="8">
        <v>1.1399999999999999</v>
      </c>
      <c r="G128" s="8">
        <v>1.02</v>
      </c>
      <c r="H128" s="9">
        <v>0.23899999999999999</v>
      </c>
      <c r="I128" s="9">
        <v>0.57599999999999996</v>
      </c>
      <c r="J128" s="8">
        <v>1.19</v>
      </c>
      <c r="K128" s="8">
        <v>1.56</v>
      </c>
      <c r="L128" s="8">
        <v>0.62</v>
      </c>
      <c r="M128" s="8">
        <v>73.2</v>
      </c>
      <c r="N128" s="8">
        <v>0.4</v>
      </c>
      <c r="O128" s="8">
        <v>74.8</v>
      </c>
      <c r="P128" s="8">
        <v>0.64</v>
      </c>
      <c r="Q128" s="8">
        <v>0.63</v>
      </c>
      <c r="R128" s="8">
        <v>70.599999999999994</v>
      </c>
      <c r="S128" s="8">
        <v>1.0900000000000001</v>
      </c>
      <c r="T128" s="8">
        <v>73.3</v>
      </c>
      <c r="U128" s="8">
        <v>0.65</v>
      </c>
      <c r="V128" s="8">
        <v>3</v>
      </c>
      <c r="W128" s="8">
        <v>0</v>
      </c>
      <c r="X128" s="8" t="s">
        <v>91</v>
      </c>
      <c r="Y128" s="8">
        <v>0</v>
      </c>
      <c r="Z128" s="8" t="s">
        <v>91</v>
      </c>
      <c r="AA128" s="8">
        <v>4</v>
      </c>
      <c r="AB128" s="8">
        <v>0.9</v>
      </c>
      <c r="AC128" s="8">
        <v>0.13768115942028991</v>
      </c>
      <c r="AD128" s="8">
        <v>0.42753623188405798</v>
      </c>
      <c r="AE128" s="8">
        <v>0.17391304347826089</v>
      </c>
      <c r="AF128" s="8">
        <v>3.6231884057971023E-2</v>
      </c>
      <c r="AG128" s="8">
        <v>4</v>
      </c>
      <c r="AH128" s="8">
        <v>3</v>
      </c>
      <c r="AI128" s="8">
        <v>3</v>
      </c>
      <c r="AJ128" s="8">
        <v>2</v>
      </c>
      <c r="AK128" s="8">
        <v>2</v>
      </c>
      <c r="AL128" s="8">
        <v>1</v>
      </c>
      <c r="AM128" s="8">
        <v>1.4492753623188409E-2</v>
      </c>
      <c r="AN128" s="8">
        <v>0.87</v>
      </c>
      <c r="AO128" s="8">
        <v>0</v>
      </c>
      <c r="AP128" s="8" t="s">
        <v>91</v>
      </c>
      <c r="AQ128" s="8">
        <v>90.5</v>
      </c>
      <c r="AR128" s="9">
        <v>0.89500000000000002</v>
      </c>
      <c r="AS128" s="9">
        <v>6.8000000000000005E-2</v>
      </c>
      <c r="AT128" s="9">
        <v>0.21299999999999999</v>
      </c>
      <c r="AU128" s="8">
        <v>116</v>
      </c>
      <c r="AV128" s="9">
        <v>0.11600000000000001</v>
      </c>
      <c r="AW128" s="8">
        <v>0.34355932203389822</v>
      </c>
      <c r="AX128" s="8">
        <v>53.777966101694908</v>
      </c>
      <c r="AY128" s="8">
        <v>0.11</v>
      </c>
      <c r="AZ128" s="9">
        <v>0.20899999999999999</v>
      </c>
      <c r="BA128" s="8">
        <v>0.04</v>
      </c>
      <c r="BB128" s="8">
        <v>2.77</v>
      </c>
      <c r="BC128" s="8">
        <v>58</v>
      </c>
      <c r="BD128" s="8">
        <v>69</v>
      </c>
      <c r="BE128" s="8">
        <v>15</v>
      </c>
      <c r="BF128" s="8">
        <v>89</v>
      </c>
      <c r="BG128" s="8">
        <v>44</v>
      </c>
      <c r="BH128" s="8">
        <v>0</v>
      </c>
      <c r="BI128" s="8">
        <v>46</v>
      </c>
      <c r="BJ128" s="9">
        <v>0.65200000000000002</v>
      </c>
      <c r="BK128" s="8">
        <v>1.268877551020408</v>
      </c>
      <c r="BL128" s="8">
        <v>0.13</v>
      </c>
      <c r="BM128" s="8">
        <v>0.08</v>
      </c>
      <c r="BN128" s="8">
        <v>0.15</v>
      </c>
      <c r="BO128" s="9">
        <v>0.26100000000000001</v>
      </c>
      <c r="BP128" s="8">
        <v>2.83</v>
      </c>
      <c r="BQ128" s="8" t="s">
        <v>91</v>
      </c>
      <c r="BR128" s="8">
        <v>72</v>
      </c>
      <c r="BS128" s="8">
        <v>0</v>
      </c>
      <c r="BT128" s="9">
        <v>0</v>
      </c>
      <c r="BU128" s="8" t="s">
        <v>91</v>
      </c>
      <c r="BV128" s="8">
        <v>0</v>
      </c>
      <c r="BW128" s="8">
        <v>0.64</v>
      </c>
      <c r="BX128" s="8">
        <v>2.29</v>
      </c>
      <c r="BY128" s="9">
        <v>0.16900000000000001</v>
      </c>
      <c r="CD128" s="8"/>
      <c r="CE128" s="9"/>
      <c r="CF128" s="8"/>
      <c r="CG128" s="8"/>
      <c r="CH128" s="9"/>
      <c r="CI128" s="9"/>
      <c r="CJ128" s="8"/>
      <c r="CK128" s="8"/>
      <c r="CL128" s="8"/>
    </row>
    <row r="129" spans="2:90" ht="19.899999999999999" customHeight="1" x14ac:dyDescent="0.3">
      <c r="B129" s="8" t="s">
        <v>155</v>
      </c>
      <c r="C129" s="8">
        <v>7</v>
      </c>
      <c r="D129" s="8">
        <v>1.07</v>
      </c>
      <c r="E129" s="8">
        <v>173</v>
      </c>
      <c r="F129" s="8">
        <v>1.31</v>
      </c>
      <c r="G129" s="8">
        <v>0.85</v>
      </c>
      <c r="H129" s="9">
        <v>0.22500000000000001</v>
      </c>
      <c r="I129" s="9">
        <v>0.436</v>
      </c>
      <c r="J129" s="8">
        <v>0.95</v>
      </c>
      <c r="K129" s="8">
        <v>0.87</v>
      </c>
      <c r="L129" s="8">
        <v>0.67</v>
      </c>
      <c r="M129" s="8">
        <v>74</v>
      </c>
      <c r="N129" s="8">
        <v>0.18</v>
      </c>
      <c r="O129" s="8">
        <v>78.599999999999994</v>
      </c>
      <c r="P129" s="8">
        <v>0.67</v>
      </c>
      <c r="Q129" s="8">
        <v>0.68</v>
      </c>
      <c r="R129" s="8">
        <v>70.8</v>
      </c>
      <c r="S129" s="8">
        <v>1.1299999999999999</v>
      </c>
      <c r="T129" s="8">
        <v>78.2</v>
      </c>
      <c r="U129" s="8">
        <v>0.66</v>
      </c>
      <c r="V129" s="8">
        <v>0</v>
      </c>
      <c r="W129" s="8">
        <v>0</v>
      </c>
      <c r="X129" s="8" t="s">
        <v>91</v>
      </c>
      <c r="Y129" s="8">
        <v>0</v>
      </c>
      <c r="Z129" s="8" t="s">
        <v>91</v>
      </c>
      <c r="AA129" s="8">
        <v>0</v>
      </c>
      <c r="AB129" s="8" t="s">
        <v>91</v>
      </c>
      <c r="AC129" s="8">
        <v>9.8265895953757232E-2</v>
      </c>
      <c r="AD129" s="8">
        <v>0.45664739884393057</v>
      </c>
      <c r="AE129" s="8">
        <v>0.13294797687861271</v>
      </c>
      <c r="AF129" s="8">
        <v>5.7803468208092477E-2</v>
      </c>
      <c r="AG129" s="8">
        <v>6</v>
      </c>
      <c r="AH129" s="8">
        <v>5</v>
      </c>
      <c r="AI129" s="8">
        <v>4</v>
      </c>
      <c r="AJ129" s="8">
        <v>1</v>
      </c>
      <c r="AK129" s="8">
        <v>1</v>
      </c>
      <c r="AL129" s="8">
        <v>2</v>
      </c>
      <c r="AM129" s="8">
        <v>5.2023121387283239E-2</v>
      </c>
      <c r="AN129" s="8">
        <v>1.05</v>
      </c>
      <c r="AO129" s="8">
        <v>0</v>
      </c>
      <c r="AP129" s="8" t="s">
        <v>91</v>
      </c>
      <c r="AQ129" s="8">
        <v>114.8</v>
      </c>
      <c r="AR129" s="9">
        <v>0.76500000000000001</v>
      </c>
      <c r="AS129" s="9">
        <v>5.7000000000000002E-2</v>
      </c>
      <c r="AT129" s="9">
        <v>0.25</v>
      </c>
      <c r="AU129" s="8">
        <v>117</v>
      </c>
      <c r="AV129" s="9">
        <v>8.6999999999999994E-2</v>
      </c>
      <c r="AW129" s="8">
        <v>0.30397727272727271</v>
      </c>
      <c r="AX129" s="8">
        <v>43.634090909090901</v>
      </c>
      <c r="AY129" s="8">
        <v>0.17</v>
      </c>
      <c r="AZ129" s="9">
        <v>0.216</v>
      </c>
      <c r="BA129" s="8">
        <v>0.03</v>
      </c>
      <c r="BB129" s="8">
        <v>6.26</v>
      </c>
      <c r="BC129" s="8">
        <v>50</v>
      </c>
      <c r="BD129" s="8">
        <v>65</v>
      </c>
      <c r="BE129" s="8">
        <v>70</v>
      </c>
      <c r="BF129" s="8">
        <v>53</v>
      </c>
      <c r="BG129" s="8">
        <v>84</v>
      </c>
      <c r="BH129" s="8">
        <v>0</v>
      </c>
      <c r="BI129" s="8">
        <v>57</v>
      </c>
      <c r="BJ129" s="9">
        <v>0.58599999999999997</v>
      </c>
      <c r="BK129" s="8">
        <v>1.304615384615385</v>
      </c>
      <c r="BL129" s="8">
        <v>0.14000000000000001</v>
      </c>
      <c r="BM129" s="8">
        <v>0.1</v>
      </c>
      <c r="BN129" s="8">
        <v>0.12</v>
      </c>
      <c r="BO129" s="9">
        <v>0.22</v>
      </c>
      <c r="BP129" s="8">
        <v>2.74</v>
      </c>
      <c r="BQ129" s="9">
        <v>0.5</v>
      </c>
      <c r="BR129" s="8">
        <v>67</v>
      </c>
      <c r="BS129" s="8">
        <v>0</v>
      </c>
      <c r="BT129" s="9">
        <v>0</v>
      </c>
      <c r="BU129" s="8" t="s">
        <v>91</v>
      </c>
      <c r="BV129" s="8">
        <v>0.57999999999999996</v>
      </c>
      <c r="BW129" s="8">
        <v>0.44</v>
      </c>
      <c r="BX129" s="8">
        <v>2.41</v>
      </c>
      <c r="BY129" s="9">
        <v>0.25</v>
      </c>
      <c r="CD129" s="8"/>
      <c r="CE129" s="9"/>
      <c r="CF129" s="8"/>
      <c r="CG129" s="8"/>
      <c r="CH129" s="9"/>
      <c r="CI129" s="9"/>
      <c r="CJ129" s="8"/>
      <c r="CK129" s="8"/>
      <c r="CL129" s="8"/>
    </row>
    <row r="130" spans="2:90" ht="19.899999999999999" customHeight="1" x14ac:dyDescent="0.3">
      <c r="B130" s="8" t="s">
        <v>156</v>
      </c>
      <c r="C130" s="8">
        <v>11</v>
      </c>
      <c r="D130" s="8">
        <v>1.06</v>
      </c>
      <c r="E130" s="8">
        <v>242</v>
      </c>
      <c r="F130" s="8">
        <v>1.06</v>
      </c>
      <c r="G130" s="8">
        <v>1.07</v>
      </c>
      <c r="H130" s="9">
        <v>0.16900000000000001</v>
      </c>
      <c r="I130" s="9">
        <v>0.68300000000000005</v>
      </c>
      <c r="J130" s="8">
        <v>1.1599999999999999</v>
      </c>
      <c r="K130" s="8">
        <v>1.1200000000000001</v>
      </c>
      <c r="L130" s="8">
        <v>0.63</v>
      </c>
      <c r="M130" s="8">
        <v>74</v>
      </c>
      <c r="N130" s="8">
        <v>0.57999999999999996</v>
      </c>
      <c r="O130" s="8">
        <v>73.3</v>
      </c>
      <c r="P130" s="8">
        <v>0.74</v>
      </c>
      <c r="Q130" s="8">
        <v>0.69</v>
      </c>
      <c r="R130" s="8">
        <v>73.3</v>
      </c>
      <c r="S130" s="8">
        <v>0.91</v>
      </c>
      <c r="T130" s="8">
        <v>71.8</v>
      </c>
      <c r="U130" s="8">
        <v>0.72</v>
      </c>
      <c r="V130" s="8">
        <v>28</v>
      </c>
      <c r="W130" s="8">
        <v>0</v>
      </c>
      <c r="X130" s="8" t="s">
        <v>91</v>
      </c>
      <c r="Y130" s="8">
        <v>2</v>
      </c>
      <c r="Z130" s="8">
        <v>1.4</v>
      </c>
      <c r="AA130" s="8">
        <v>7</v>
      </c>
      <c r="AB130" s="8">
        <v>1.1000000000000001</v>
      </c>
      <c r="AC130" s="8">
        <v>0.11570247933884301</v>
      </c>
      <c r="AD130" s="8">
        <v>0.52479338842975209</v>
      </c>
      <c r="AE130" s="8">
        <v>0.19834710743801651</v>
      </c>
      <c r="AF130" s="8">
        <v>2.0661157024793389E-2</v>
      </c>
      <c r="AG130" s="8">
        <v>10</v>
      </c>
      <c r="AH130" s="8">
        <v>7</v>
      </c>
      <c r="AI130" s="8">
        <v>5</v>
      </c>
      <c r="AJ130" s="8">
        <v>2</v>
      </c>
      <c r="AK130" s="8">
        <v>1</v>
      </c>
      <c r="AL130" s="8">
        <v>4</v>
      </c>
      <c r="AM130" s="8">
        <v>2.0661157024793389E-2</v>
      </c>
      <c r="AN130" s="8">
        <v>0.96</v>
      </c>
      <c r="AO130" s="8">
        <v>0</v>
      </c>
      <c r="AP130" s="8" t="s">
        <v>91</v>
      </c>
      <c r="AQ130" s="8">
        <v>93.8</v>
      </c>
      <c r="AR130" s="9">
        <v>0.78600000000000003</v>
      </c>
      <c r="AS130" s="9">
        <v>9.7000000000000003E-2</v>
      </c>
      <c r="AT130" s="9">
        <v>0.33300000000000002</v>
      </c>
      <c r="AU130" s="8">
        <v>99</v>
      </c>
      <c r="AV130" s="9">
        <v>0.16500000000000001</v>
      </c>
      <c r="AW130" s="8">
        <v>0.49699115044247799</v>
      </c>
      <c r="AX130" s="8">
        <v>49.897345132743361</v>
      </c>
      <c r="AY130" s="8">
        <v>0.14000000000000001</v>
      </c>
      <c r="AZ130" s="9">
        <v>0.19700000000000001</v>
      </c>
      <c r="BA130" s="8">
        <v>0.09</v>
      </c>
      <c r="BB130" s="8">
        <v>5.72</v>
      </c>
      <c r="BC130" s="8">
        <v>76</v>
      </c>
      <c r="BD130" s="8">
        <v>30</v>
      </c>
      <c r="BE130" s="8">
        <v>60</v>
      </c>
      <c r="BF130" s="8">
        <v>63</v>
      </c>
      <c r="BG130" s="8">
        <v>61</v>
      </c>
      <c r="BH130" s="8">
        <v>93</v>
      </c>
      <c r="BI130" s="8">
        <v>83</v>
      </c>
      <c r="BJ130" s="9">
        <v>0.317</v>
      </c>
      <c r="BK130" s="8">
        <v>1.210248447204969</v>
      </c>
      <c r="BL130" s="8">
        <v>0.12</v>
      </c>
      <c r="BM130" s="8">
        <v>0.12</v>
      </c>
      <c r="BN130" s="8">
        <v>0.05</v>
      </c>
      <c r="BO130" s="9">
        <v>0.16900000000000001</v>
      </c>
      <c r="BP130" s="8">
        <v>2.2599999999999998</v>
      </c>
      <c r="BQ130" s="9">
        <v>0.6</v>
      </c>
      <c r="BR130" s="8">
        <v>73</v>
      </c>
      <c r="BS130" s="8">
        <v>0.34</v>
      </c>
      <c r="BT130" s="9">
        <v>0.45600000000000002</v>
      </c>
      <c r="BU130" s="9">
        <v>0.24</v>
      </c>
      <c r="BV130" s="8">
        <v>0.83</v>
      </c>
      <c r="BW130" s="8">
        <v>0.84</v>
      </c>
      <c r="BX130" s="8">
        <v>2.11</v>
      </c>
      <c r="BY130" s="9">
        <v>0.19400000000000001</v>
      </c>
      <c r="CD130" s="8"/>
      <c r="CE130" s="9"/>
      <c r="CF130" s="8"/>
      <c r="CG130" s="8"/>
      <c r="CH130" s="9"/>
      <c r="CI130" s="9"/>
      <c r="CJ130" s="8"/>
      <c r="CK130" s="8"/>
      <c r="CL130" s="8"/>
    </row>
    <row r="131" spans="2:90" ht="19.899999999999999" customHeight="1" x14ac:dyDescent="0.3">
      <c r="B131" s="8" t="s">
        <v>157</v>
      </c>
      <c r="C131" s="8">
        <v>14</v>
      </c>
      <c r="D131" s="8">
        <v>1.05</v>
      </c>
      <c r="E131" s="8">
        <v>323</v>
      </c>
      <c r="F131" s="8">
        <v>1.1200000000000001</v>
      </c>
      <c r="G131" s="8">
        <v>0.99</v>
      </c>
      <c r="H131" s="9">
        <v>0.155</v>
      </c>
      <c r="I131" s="9">
        <v>0.52</v>
      </c>
      <c r="J131" s="8">
        <v>0.95</v>
      </c>
      <c r="K131" s="8">
        <v>1.02</v>
      </c>
      <c r="L131" s="8">
        <v>0.61</v>
      </c>
      <c r="M131" s="8">
        <v>75.2</v>
      </c>
      <c r="N131" s="8">
        <v>0.35</v>
      </c>
      <c r="O131" s="8">
        <v>71.900000000000006</v>
      </c>
      <c r="P131" s="8">
        <v>0.62</v>
      </c>
      <c r="Q131" s="8">
        <v>0.62</v>
      </c>
      <c r="R131" s="8">
        <v>70.3</v>
      </c>
      <c r="S131" s="8">
        <v>0.89</v>
      </c>
      <c r="T131" s="8">
        <v>72.900000000000006</v>
      </c>
      <c r="U131" s="8">
        <v>0.64</v>
      </c>
      <c r="V131" s="8">
        <v>3</v>
      </c>
      <c r="W131" s="8">
        <v>0</v>
      </c>
      <c r="X131" s="8" t="s">
        <v>91</v>
      </c>
      <c r="Y131" s="8">
        <v>2</v>
      </c>
      <c r="Z131" s="8">
        <v>1.57</v>
      </c>
      <c r="AA131" s="8">
        <v>5</v>
      </c>
      <c r="AB131" s="8">
        <v>1.1200000000000001</v>
      </c>
      <c r="AC131" s="8">
        <v>8.0495356037151702E-2</v>
      </c>
      <c r="AD131" s="8">
        <v>0.43653250773993812</v>
      </c>
      <c r="AE131" s="8">
        <v>0.1486068111455108</v>
      </c>
      <c r="AF131" s="8">
        <v>3.0959752321981421E-2</v>
      </c>
      <c r="AG131" s="8">
        <v>11</v>
      </c>
      <c r="AH131" s="8">
        <v>8</v>
      </c>
      <c r="AI131" s="8">
        <v>4</v>
      </c>
      <c r="AJ131" s="8">
        <v>3</v>
      </c>
      <c r="AK131" s="8">
        <v>3</v>
      </c>
      <c r="AL131" s="8">
        <v>8</v>
      </c>
      <c r="AM131" s="8">
        <v>4.9535603715170282E-2</v>
      </c>
      <c r="AN131" s="8">
        <v>0.77</v>
      </c>
      <c r="AO131" s="8">
        <v>0</v>
      </c>
      <c r="AP131" s="8" t="s">
        <v>91</v>
      </c>
      <c r="AQ131" s="8">
        <v>92.2</v>
      </c>
      <c r="AR131" s="9">
        <v>0.57699999999999996</v>
      </c>
      <c r="AS131" s="9">
        <v>0.111</v>
      </c>
      <c r="AT131" s="9">
        <v>0.22600000000000001</v>
      </c>
      <c r="AU131" s="8">
        <v>117</v>
      </c>
      <c r="AV131" s="9">
        <v>9.9000000000000005E-2</v>
      </c>
      <c r="AW131" s="8">
        <v>0.40177777777777779</v>
      </c>
      <c r="AX131" s="8">
        <v>43.630370370370358</v>
      </c>
      <c r="AY131" s="8">
        <v>0.13</v>
      </c>
      <c r="AZ131" s="9">
        <v>0.214</v>
      </c>
      <c r="BA131" s="8">
        <v>0.03</v>
      </c>
      <c r="BB131" s="8">
        <v>6.07</v>
      </c>
      <c r="BC131" s="8">
        <v>38</v>
      </c>
      <c r="BD131" s="8">
        <v>51</v>
      </c>
      <c r="BE131" s="8">
        <v>30</v>
      </c>
      <c r="BF131" s="8">
        <v>24</v>
      </c>
      <c r="BG131" s="8">
        <v>88</v>
      </c>
      <c r="BH131" s="8">
        <v>0</v>
      </c>
      <c r="BI131" s="8">
        <v>74</v>
      </c>
      <c r="BJ131" s="9">
        <v>0.51800000000000002</v>
      </c>
      <c r="BK131" s="8">
        <v>1.1926627218934911</v>
      </c>
      <c r="BL131" s="8">
        <v>0.13</v>
      </c>
      <c r="BM131" s="8">
        <v>7.0000000000000007E-2</v>
      </c>
      <c r="BN131" s="8">
        <v>0.1</v>
      </c>
      <c r="BO131" s="9">
        <v>0.27200000000000002</v>
      </c>
      <c r="BP131" s="8">
        <v>2.98</v>
      </c>
      <c r="BQ131" s="9">
        <v>0.66700000000000004</v>
      </c>
      <c r="BR131" s="8">
        <v>75</v>
      </c>
      <c r="BS131" s="8">
        <v>0</v>
      </c>
      <c r="BT131" s="9">
        <v>0</v>
      </c>
      <c r="BU131" s="8" t="s">
        <v>91</v>
      </c>
      <c r="BV131" s="8">
        <v>0.62</v>
      </c>
      <c r="BW131" s="8">
        <v>0.72</v>
      </c>
      <c r="BX131" s="8">
        <v>1.76</v>
      </c>
      <c r="BY131" s="9">
        <v>0.20599999999999999</v>
      </c>
      <c r="CD131" s="8"/>
      <c r="CE131" s="9"/>
      <c r="CF131" s="8"/>
      <c r="CG131" s="8"/>
      <c r="CH131" s="9"/>
      <c r="CI131" s="9"/>
      <c r="CJ131" s="8"/>
      <c r="CK131" s="8"/>
      <c r="CL131" s="8"/>
    </row>
    <row r="132" spans="2:90" ht="19.899999999999999" customHeight="1" x14ac:dyDescent="0.3">
      <c r="B132" s="8" t="s">
        <v>158</v>
      </c>
      <c r="C132" s="8">
        <v>11</v>
      </c>
      <c r="D132" s="8">
        <v>1.05</v>
      </c>
      <c r="E132" s="8">
        <v>242</v>
      </c>
      <c r="F132" s="8">
        <v>1.07</v>
      </c>
      <c r="G132" s="8">
        <v>1.04</v>
      </c>
      <c r="H132" s="9">
        <v>0.21099999999999999</v>
      </c>
      <c r="I132" s="9">
        <v>0.58799999999999997</v>
      </c>
      <c r="J132" s="8">
        <v>1.1399999999999999</v>
      </c>
      <c r="K132" s="8">
        <v>0.94</v>
      </c>
      <c r="L132" s="8">
        <v>0.69</v>
      </c>
      <c r="M132" s="8">
        <v>73.099999999999994</v>
      </c>
      <c r="N132" s="8">
        <v>0.65</v>
      </c>
      <c r="O132" s="8">
        <v>72.400000000000006</v>
      </c>
      <c r="P132" s="8">
        <v>0.66</v>
      </c>
      <c r="Q132" s="8">
        <v>0.7</v>
      </c>
      <c r="R132" s="8">
        <v>70.8</v>
      </c>
      <c r="S132" s="8">
        <v>1.0900000000000001</v>
      </c>
      <c r="T132" s="8">
        <v>73.2</v>
      </c>
      <c r="U132" s="8">
        <v>0.67</v>
      </c>
      <c r="V132" s="8">
        <v>-7</v>
      </c>
      <c r="W132" s="8">
        <v>0</v>
      </c>
      <c r="X132" s="8" t="s">
        <v>91</v>
      </c>
      <c r="Y132" s="8">
        <v>2</v>
      </c>
      <c r="Z132" s="8">
        <v>1.22</v>
      </c>
      <c r="AA132" s="8">
        <v>7</v>
      </c>
      <c r="AB132" s="8">
        <v>1.03</v>
      </c>
      <c r="AC132" s="8">
        <v>0.12396694214876031</v>
      </c>
      <c r="AD132" s="8">
        <v>0.47520661157024802</v>
      </c>
      <c r="AE132" s="8">
        <v>0.13223140495867769</v>
      </c>
      <c r="AF132" s="8">
        <v>3.3057851239669422E-2</v>
      </c>
      <c r="AG132" s="8">
        <v>9</v>
      </c>
      <c r="AH132" s="8">
        <v>8</v>
      </c>
      <c r="AI132" s="8">
        <v>5</v>
      </c>
      <c r="AJ132" s="8">
        <v>1</v>
      </c>
      <c r="AK132" s="8">
        <v>0</v>
      </c>
      <c r="AL132" s="8">
        <v>1</v>
      </c>
      <c r="AM132" s="8">
        <v>8.2644628099173556E-3</v>
      </c>
      <c r="AN132" s="8">
        <v>0.87</v>
      </c>
      <c r="AO132" s="8">
        <v>0</v>
      </c>
      <c r="AP132" s="8" t="s">
        <v>91</v>
      </c>
      <c r="AQ132" s="8">
        <v>92.9</v>
      </c>
      <c r="AR132" s="9">
        <v>0.76700000000000002</v>
      </c>
      <c r="AS132" s="9">
        <v>7.0999999999999994E-2</v>
      </c>
      <c r="AT132" s="9">
        <v>0.30199999999999999</v>
      </c>
      <c r="AU132" s="8">
        <v>110</v>
      </c>
      <c r="AV132" s="9">
        <v>8.6999999999999994E-2</v>
      </c>
      <c r="AW132" s="8">
        <v>0.41389380530973452</v>
      </c>
      <c r="AX132" s="8">
        <v>48.997345132743384</v>
      </c>
      <c r="AY132" s="8">
        <v>0.15</v>
      </c>
      <c r="AZ132" s="9">
        <v>0.223</v>
      </c>
      <c r="BA132" s="8">
        <v>0.02</v>
      </c>
      <c r="BB132" s="8">
        <v>4.84</v>
      </c>
      <c r="BC132" s="8">
        <v>38</v>
      </c>
      <c r="BD132" s="8">
        <v>59</v>
      </c>
      <c r="BE132" s="8">
        <v>71</v>
      </c>
      <c r="BF132" s="8">
        <v>76</v>
      </c>
      <c r="BG132" s="8">
        <v>27</v>
      </c>
      <c r="BH132" s="8">
        <v>0</v>
      </c>
      <c r="BI132" s="8">
        <v>44</v>
      </c>
      <c r="BJ132" s="9">
        <v>0.58499999999999996</v>
      </c>
      <c r="BK132" s="8">
        <v>1.2028571428571431</v>
      </c>
      <c r="BL132" s="8">
        <v>0.15</v>
      </c>
      <c r="BM132" s="8">
        <v>0.12</v>
      </c>
      <c r="BN132" s="8">
        <v>0.1</v>
      </c>
      <c r="BO132" s="9">
        <v>0.215</v>
      </c>
      <c r="BP132" s="8">
        <v>2.72</v>
      </c>
      <c r="BQ132" s="8" t="s">
        <v>91</v>
      </c>
      <c r="BR132" s="8">
        <v>67</v>
      </c>
      <c r="BS132" s="8">
        <v>0</v>
      </c>
      <c r="BT132" s="9">
        <v>0</v>
      </c>
      <c r="BU132" s="8" t="s">
        <v>91</v>
      </c>
      <c r="BV132" s="8">
        <v>0.83</v>
      </c>
      <c r="BW132" s="8">
        <v>0.41</v>
      </c>
      <c r="BX132" s="8">
        <v>2.31</v>
      </c>
      <c r="BY132" s="9">
        <v>0.22600000000000001</v>
      </c>
      <c r="CD132" s="8"/>
      <c r="CE132" s="9"/>
      <c r="CF132" s="8"/>
      <c r="CG132" s="8"/>
      <c r="CH132" s="9"/>
      <c r="CI132" s="9"/>
      <c r="CJ132" s="8"/>
      <c r="CK132" s="8"/>
      <c r="CL132" s="8"/>
    </row>
    <row r="133" spans="2:90" ht="19.899999999999999" customHeight="1" x14ac:dyDescent="0.3">
      <c r="B133" s="8" t="s">
        <v>159</v>
      </c>
      <c r="C133" s="8">
        <v>8</v>
      </c>
      <c r="D133" s="8">
        <v>1.05</v>
      </c>
      <c r="E133" s="8">
        <v>179</v>
      </c>
      <c r="F133" s="8">
        <v>1.23</v>
      </c>
      <c r="G133" s="8">
        <v>0.89</v>
      </c>
      <c r="H133" s="9">
        <v>0.21199999999999999</v>
      </c>
      <c r="I133" s="9">
        <v>0.63200000000000001</v>
      </c>
      <c r="J133" s="8">
        <v>1.21</v>
      </c>
      <c r="K133" s="8">
        <v>1.46</v>
      </c>
      <c r="L133" s="8">
        <v>0.64</v>
      </c>
      <c r="M133" s="8">
        <v>73.2</v>
      </c>
      <c r="N133" s="8">
        <v>1.1200000000000001</v>
      </c>
      <c r="O133" s="8">
        <v>69.7</v>
      </c>
      <c r="P133" s="8">
        <v>0.69</v>
      </c>
      <c r="Q133" s="8">
        <v>0.7</v>
      </c>
      <c r="R133" s="8">
        <v>69.7</v>
      </c>
      <c r="S133" s="8">
        <v>1.04</v>
      </c>
      <c r="T133" s="8">
        <v>68.099999999999994</v>
      </c>
      <c r="U133" s="8">
        <v>0.65</v>
      </c>
      <c r="V133" s="8">
        <v>9</v>
      </c>
      <c r="W133" s="8">
        <v>0</v>
      </c>
      <c r="X133" s="8" t="s">
        <v>91</v>
      </c>
      <c r="Y133" s="8">
        <v>2</v>
      </c>
      <c r="Z133" s="8">
        <v>1.19</v>
      </c>
      <c r="AA133" s="8">
        <v>6</v>
      </c>
      <c r="AB133" s="8">
        <v>1.02</v>
      </c>
      <c r="AC133" s="8">
        <v>0.13407821229050279</v>
      </c>
      <c r="AD133" s="8">
        <v>0.46368715083798878</v>
      </c>
      <c r="AE133" s="8">
        <v>0.16759776536312851</v>
      </c>
      <c r="AF133" s="8">
        <v>4.4692737430167599E-2</v>
      </c>
      <c r="AG133" s="8">
        <v>6</v>
      </c>
      <c r="AH133" s="8">
        <v>6</v>
      </c>
      <c r="AI133" s="8">
        <v>5</v>
      </c>
      <c r="AJ133" s="8">
        <v>1</v>
      </c>
      <c r="AK133" s="8">
        <v>0</v>
      </c>
      <c r="AL133" s="8">
        <v>2</v>
      </c>
      <c r="AM133" s="8">
        <v>5.5865921787709487E-2</v>
      </c>
      <c r="AN133" s="8">
        <v>0.84</v>
      </c>
      <c r="AO133" s="8">
        <v>0</v>
      </c>
      <c r="AP133" s="8" t="s">
        <v>91</v>
      </c>
      <c r="AQ133" s="8">
        <v>86.5</v>
      </c>
      <c r="AR133" s="9">
        <v>0.70799999999999996</v>
      </c>
      <c r="AS133" s="9">
        <v>0.13</v>
      </c>
      <c r="AT133" s="9">
        <v>0.25</v>
      </c>
      <c r="AU133" s="8">
        <v>101</v>
      </c>
      <c r="AV133" s="9">
        <v>0.14499999999999999</v>
      </c>
      <c r="AW133" s="8">
        <v>0.5534782608695652</v>
      </c>
      <c r="AX133" s="8">
        <v>53.81304347826088</v>
      </c>
      <c r="AY133" s="8">
        <v>0.11</v>
      </c>
      <c r="AZ133" s="9">
        <v>0.17399999999999999</v>
      </c>
      <c r="BA133" s="8">
        <v>7.0000000000000007E-2</v>
      </c>
      <c r="BB133" s="8">
        <v>0.97</v>
      </c>
      <c r="BC133" s="8">
        <v>54</v>
      </c>
      <c r="BD133" s="8">
        <v>42</v>
      </c>
      <c r="BE133" s="8">
        <v>13</v>
      </c>
      <c r="BF133" s="8">
        <v>78</v>
      </c>
      <c r="BG133" s="8">
        <v>97</v>
      </c>
      <c r="BH133" s="8">
        <v>92</v>
      </c>
      <c r="BI133" s="8">
        <v>53</v>
      </c>
      <c r="BJ133" s="9">
        <v>0.28999999999999998</v>
      </c>
      <c r="BK133" s="8">
        <v>1.235714285714286</v>
      </c>
      <c r="BL133" s="8">
        <v>0.11</v>
      </c>
      <c r="BM133" s="8">
        <v>0.06</v>
      </c>
      <c r="BN133" s="8">
        <v>0.13</v>
      </c>
      <c r="BO133" s="9">
        <v>0.23499999999999999</v>
      </c>
      <c r="BP133" s="8">
        <v>1.71</v>
      </c>
      <c r="BQ133" s="9">
        <v>0</v>
      </c>
      <c r="BR133" s="8">
        <v>76</v>
      </c>
      <c r="BS133" s="8">
        <v>0.32</v>
      </c>
      <c r="BT133" s="9">
        <v>0.46800000000000003</v>
      </c>
      <c r="BU133" s="9">
        <v>0.318</v>
      </c>
      <c r="BV133" s="8">
        <v>0.56000000000000005</v>
      </c>
      <c r="BW133" s="8">
        <v>0.78</v>
      </c>
      <c r="BX133" s="8">
        <v>2.27</v>
      </c>
      <c r="BY133" s="9">
        <v>0.161</v>
      </c>
      <c r="CD133" s="8"/>
      <c r="CE133" s="9"/>
      <c r="CF133" s="8"/>
      <c r="CG133" s="8"/>
      <c r="CH133" s="9"/>
      <c r="CI133" s="9"/>
      <c r="CJ133" s="8"/>
      <c r="CK133" s="8"/>
      <c r="CL133" s="8"/>
    </row>
    <row r="134" spans="2:90" ht="19.899999999999999" customHeight="1" x14ac:dyDescent="0.3">
      <c r="B134" s="8" t="s">
        <v>160</v>
      </c>
      <c r="C134" s="8">
        <v>11</v>
      </c>
      <c r="D134" s="8">
        <v>1.05</v>
      </c>
      <c r="E134" s="8">
        <v>264</v>
      </c>
      <c r="F134" s="8">
        <v>1.02</v>
      </c>
      <c r="G134" s="8">
        <v>1.07</v>
      </c>
      <c r="H134" s="9">
        <v>0.254</v>
      </c>
      <c r="I134" s="9">
        <v>0.50700000000000001</v>
      </c>
      <c r="J134" s="8">
        <v>1.1000000000000001</v>
      </c>
      <c r="K134" s="8">
        <v>1.1200000000000001</v>
      </c>
      <c r="L134" s="8">
        <v>0.67</v>
      </c>
      <c r="M134" s="8">
        <v>75</v>
      </c>
      <c r="N134" s="8">
        <v>-0.09</v>
      </c>
      <c r="O134" s="8">
        <v>73.8</v>
      </c>
      <c r="P134" s="8">
        <v>0.66</v>
      </c>
      <c r="Q134" s="8">
        <v>0.7</v>
      </c>
      <c r="R134" s="8">
        <v>74.5</v>
      </c>
      <c r="S134" s="8">
        <v>1.05</v>
      </c>
      <c r="T134" s="8">
        <v>74.2</v>
      </c>
      <c r="U134" s="8">
        <v>0.68</v>
      </c>
      <c r="V134" s="8">
        <v>-3</v>
      </c>
      <c r="W134" s="8">
        <v>0</v>
      </c>
      <c r="X134" s="8" t="s">
        <v>91</v>
      </c>
      <c r="Y134" s="8">
        <v>3</v>
      </c>
      <c r="Z134" s="8">
        <v>1.07</v>
      </c>
      <c r="AA134" s="8">
        <v>5</v>
      </c>
      <c r="AB134" s="8">
        <v>1.07</v>
      </c>
      <c r="AC134" s="8">
        <v>0.12878787878787881</v>
      </c>
      <c r="AD134" s="8">
        <v>0.4621212121212121</v>
      </c>
      <c r="AE134" s="8">
        <v>0.1553030303030303</v>
      </c>
      <c r="AF134" s="8">
        <v>3.787878787878788E-2</v>
      </c>
      <c r="AG134" s="8">
        <v>8</v>
      </c>
      <c r="AH134" s="8">
        <v>4</v>
      </c>
      <c r="AI134" s="8">
        <v>3</v>
      </c>
      <c r="AJ134" s="8">
        <v>2</v>
      </c>
      <c r="AK134" s="8">
        <v>2</v>
      </c>
      <c r="AL134" s="8">
        <v>3</v>
      </c>
      <c r="AM134" s="8">
        <v>3.4090909090909088E-2</v>
      </c>
      <c r="AN134" s="8">
        <v>1</v>
      </c>
      <c r="AO134" s="8">
        <v>0</v>
      </c>
      <c r="AP134" s="8" t="s">
        <v>91</v>
      </c>
      <c r="AQ134" s="8">
        <v>103</v>
      </c>
      <c r="AR134" s="9">
        <v>0.79400000000000004</v>
      </c>
      <c r="AS134" s="9">
        <v>0.126</v>
      </c>
      <c r="AT134" s="9">
        <v>0.217</v>
      </c>
      <c r="AU134" s="8">
        <v>111</v>
      </c>
      <c r="AV134" s="9">
        <v>0.08</v>
      </c>
      <c r="AW134" s="8">
        <v>0.34074074074074068</v>
      </c>
      <c r="AX134" s="8">
        <v>45.897777777777783</v>
      </c>
      <c r="AY134" s="8">
        <v>0.14000000000000001</v>
      </c>
      <c r="AZ134" s="9">
        <v>0.27500000000000002</v>
      </c>
      <c r="BA134" s="8">
        <v>0.06</v>
      </c>
      <c r="BB134" s="8">
        <v>8.24</v>
      </c>
      <c r="BC134" s="8">
        <v>51</v>
      </c>
      <c r="BD134" s="8">
        <v>99</v>
      </c>
      <c r="BE134" s="8">
        <v>46</v>
      </c>
      <c r="BF134" s="8">
        <v>82</v>
      </c>
      <c r="BG134" s="8">
        <v>71</v>
      </c>
      <c r="BH134" s="8">
        <v>0</v>
      </c>
      <c r="BI134" s="8">
        <v>87</v>
      </c>
      <c r="BJ134" s="9">
        <v>0.56000000000000005</v>
      </c>
      <c r="BK134" s="8">
        <v>1.213376623376623</v>
      </c>
      <c r="BL134" s="8">
        <v>0.19</v>
      </c>
      <c r="BM134" s="8">
        <v>0.11</v>
      </c>
      <c r="BN134" s="8">
        <v>0.16</v>
      </c>
      <c r="BO134" s="9">
        <v>0.20100000000000001</v>
      </c>
      <c r="BP134" s="8">
        <v>2.82</v>
      </c>
      <c r="BQ134" s="9">
        <v>1</v>
      </c>
      <c r="BR134" s="8">
        <v>69</v>
      </c>
      <c r="BS134" s="8">
        <v>0</v>
      </c>
      <c r="BT134" s="9">
        <v>0</v>
      </c>
      <c r="BU134" s="8" t="s">
        <v>91</v>
      </c>
      <c r="BV134" s="8">
        <v>1.89</v>
      </c>
      <c r="BW134" s="8">
        <v>0.74</v>
      </c>
      <c r="BX134" s="8">
        <v>2.0699999999999998</v>
      </c>
      <c r="BY134" s="9">
        <v>0.20599999999999999</v>
      </c>
      <c r="CD134" s="8"/>
      <c r="CE134" s="9"/>
      <c r="CF134" s="8"/>
      <c r="CG134" s="8"/>
      <c r="CH134" s="9"/>
      <c r="CI134" s="9"/>
      <c r="CJ134" s="8"/>
      <c r="CK134" s="8"/>
      <c r="CL134" s="8"/>
    </row>
    <row r="135" spans="2:90" ht="19.899999999999999" customHeight="1" x14ac:dyDescent="0.3">
      <c r="B135" s="8" t="s">
        <v>161</v>
      </c>
      <c r="C135" s="8">
        <v>15</v>
      </c>
      <c r="D135" s="8">
        <v>1.05</v>
      </c>
      <c r="E135" s="8">
        <v>345</v>
      </c>
      <c r="F135" s="8">
        <v>0.94</v>
      </c>
      <c r="G135" s="8">
        <v>1.1499999999999999</v>
      </c>
      <c r="H135" s="9">
        <v>0.183</v>
      </c>
      <c r="I135" s="9">
        <v>0.47599999999999998</v>
      </c>
      <c r="J135" s="8">
        <v>0.94</v>
      </c>
      <c r="K135" s="8">
        <v>1.52</v>
      </c>
      <c r="L135" s="8">
        <v>0.63</v>
      </c>
      <c r="M135" s="8">
        <v>73.3</v>
      </c>
      <c r="N135" s="8">
        <v>0.75</v>
      </c>
      <c r="O135" s="8">
        <v>68.900000000000006</v>
      </c>
      <c r="P135" s="8">
        <v>0.62</v>
      </c>
      <c r="Q135" s="8">
        <v>0.64</v>
      </c>
      <c r="R135" s="8">
        <v>68.400000000000006</v>
      </c>
      <c r="S135" s="8">
        <v>1.01</v>
      </c>
      <c r="T135" s="8">
        <v>68.5</v>
      </c>
      <c r="U135" s="8">
        <v>0.62</v>
      </c>
      <c r="V135" s="8">
        <v>-2</v>
      </c>
      <c r="W135" s="8">
        <v>0</v>
      </c>
      <c r="X135" s="8" t="s">
        <v>91</v>
      </c>
      <c r="Y135" s="8">
        <v>0</v>
      </c>
      <c r="Z135" s="8" t="s">
        <v>91</v>
      </c>
      <c r="AA135" s="8">
        <v>6</v>
      </c>
      <c r="AB135" s="8">
        <v>0.95</v>
      </c>
      <c r="AC135" s="8">
        <v>8.6956521739130432E-2</v>
      </c>
      <c r="AD135" s="8">
        <v>0.41739130434782612</v>
      </c>
      <c r="AE135" s="8">
        <v>0.15652173913043479</v>
      </c>
      <c r="AF135" s="8">
        <v>3.7681159420289857E-2</v>
      </c>
      <c r="AG135" s="8">
        <v>11</v>
      </c>
      <c r="AH135" s="8">
        <v>8</v>
      </c>
      <c r="AI135" s="8">
        <v>6</v>
      </c>
      <c r="AJ135" s="8">
        <v>4</v>
      </c>
      <c r="AK135" s="8">
        <v>3</v>
      </c>
      <c r="AL135" s="8">
        <v>3</v>
      </c>
      <c r="AM135" s="8">
        <v>2.318840579710145E-2</v>
      </c>
      <c r="AN135" s="8">
        <v>0.84</v>
      </c>
      <c r="AO135" s="8">
        <v>0</v>
      </c>
      <c r="AP135" s="8" t="s">
        <v>91</v>
      </c>
      <c r="AQ135" s="8">
        <v>92</v>
      </c>
      <c r="AR135" s="9">
        <v>0.66700000000000004</v>
      </c>
      <c r="AS135" s="9">
        <v>0.122</v>
      </c>
      <c r="AT135" s="9">
        <v>0.215</v>
      </c>
      <c r="AU135" s="8">
        <v>111</v>
      </c>
      <c r="AV135" s="9">
        <v>6.4000000000000001E-2</v>
      </c>
      <c r="AW135" s="8">
        <v>0.37780487804878049</v>
      </c>
      <c r="AX135" s="8">
        <v>43.405487804878071</v>
      </c>
      <c r="AY135" s="8">
        <v>0.14000000000000001</v>
      </c>
      <c r="AZ135" s="9">
        <v>0.245</v>
      </c>
      <c r="BA135" s="8">
        <v>0.01</v>
      </c>
      <c r="BB135" s="8">
        <v>4.9400000000000004</v>
      </c>
      <c r="BC135" s="8">
        <v>37</v>
      </c>
      <c r="BD135" s="8">
        <v>70</v>
      </c>
      <c r="BE135" s="8">
        <v>60</v>
      </c>
      <c r="BF135" s="8">
        <v>33</v>
      </c>
      <c r="BG135" s="8">
        <v>53</v>
      </c>
      <c r="BH135" s="8">
        <v>0</v>
      </c>
      <c r="BI135" s="8">
        <v>43</v>
      </c>
      <c r="BJ135" s="9">
        <v>0.58899999999999997</v>
      </c>
      <c r="BK135" s="8">
        <v>1.258666666666667</v>
      </c>
      <c r="BL135" s="8">
        <v>0.15</v>
      </c>
      <c r="BM135" s="8">
        <v>0.11</v>
      </c>
      <c r="BN135" s="8">
        <v>0.1</v>
      </c>
      <c r="BO135" s="9">
        <v>0.246</v>
      </c>
      <c r="BP135" s="8">
        <v>2.5499999999999998</v>
      </c>
      <c r="BQ135" s="8" t="s">
        <v>91</v>
      </c>
      <c r="BR135" s="8">
        <v>83</v>
      </c>
      <c r="BS135" s="8">
        <v>0</v>
      </c>
      <c r="BT135" s="9">
        <v>5.0000000000000001E-3</v>
      </c>
      <c r="BU135" s="9">
        <v>8.9999999999999993E-3</v>
      </c>
      <c r="BV135" s="8">
        <v>2.0299999999999998</v>
      </c>
      <c r="BW135" s="8">
        <v>0.32</v>
      </c>
      <c r="BX135" s="8">
        <v>2.9</v>
      </c>
      <c r="BY135" s="9">
        <v>0.23400000000000001</v>
      </c>
      <c r="CD135" s="8"/>
      <c r="CE135" s="9"/>
      <c r="CF135" s="8"/>
      <c r="CG135" s="8"/>
      <c r="CH135" s="9"/>
      <c r="CI135" s="9"/>
      <c r="CJ135" s="8"/>
      <c r="CK135" s="8"/>
      <c r="CL135" s="8"/>
    </row>
    <row r="136" spans="2:90" ht="19.899999999999999" customHeight="1" x14ac:dyDescent="0.3">
      <c r="B136" s="8" t="s">
        <v>162</v>
      </c>
      <c r="C136" s="8">
        <v>5</v>
      </c>
      <c r="D136" s="8">
        <v>1.04</v>
      </c>
      <c r="E136" s="8">
        <v>116</v>
      </c>
      <c r="F136" s="8">
        <v>1.18</v>
      </c>
      <c r="G136" s="8">
        <v>0.89</v>
      </c>
      <c r="H136" s="9">
        <v>0.19800000000000001</v>
      </c>
      <c r="I136" s="9">
        <v>0.65200000000000002</v>
      </c>
      <c r="J136" s="8">
        <v>1.2</v>
      </c>
      <c r="K136" s="8">
        <v>1</v>
      </c>
      <c r="L136" s="8">
        <v>0.63</v>
      </c>
      <c r="M136" s="8">
        <v>69.8</v>
      </c>
      <c r="N136" s="8">
        <v>1.46</v>
      </c>
      <c r="O136" s="8">
        <v>67.7</v>
      </c>
      <c r="P136" s="8">
        <v>0.69</v>
      </c>
      <c r="Q136" s="8">
        <v>0.67</v>
      </c>
      <c r="R136" s="8">
        <v>68.5</v>
      </c>
      <c r="S136" s="8">
        <v>0.99</v>
      </c>
      <c r="T136" s="8">
        <v>65.400000000000006</v>
      </c>
      <c r="U136" s="8">
        <v>0.65</v>
      </c>
      <c r="V136" s="8">
        <v>7</v>
      </c>
      <c r="W136" s="8">
        <v>0</v>
      </c>
      <c r="X136" s="8" t="s">
        <v>91</v>
      </c>
      <c r="Y136" s="8">
        <v>0</v>
      </c>
      <c r="Z136" s="8" t="s">
        <v>91</v>
      </c>
      <c r="AA136" s="8">
        <v>4</v>
      </c>
      <c r="AB136" s="8">
        <v>1.05</v>
      </c>
      <c r="AC136" s="8">
        <v>0.12931034482758619</v>
      </c>
      <c r="AD136" s="8">
        <v>0.45689655172413801</v>
      </c>
      <c r="AE136" s="8">
        <v>0.18965517241379309</v>
      </c>
      <c r="AF136" s="8">
        <v>4.3103448275862072E-2</v>
      </c>
      <c r="AG136" s="8">
        <v>5</v>
      </c>
      <c r="AH136" s="8">
        <v>3</v>
      </c>
      <c r="AI136" s="8">
        <v>1</v>
      </c>
      <c r="AJ136" s="8">
        <v>1</v>
      </c>
      <c r="AK136" s="8">
        <v>0</v>
      </c>
      <c r="AL136" s="8">
        <v>1</v>
      </c>
      <c r="AM136" s="8">
        <v>8.6206896551724137E-3</v>
      </c>
      <c r="AN136" s="8">
        <v>1.02</v>
      </c>
      <c r="AO136" s="8">
        <v>0</v>
      </c>
      <c r="AP136" s="8" t="s">
        <v>91</v>
      </c>
      <c r="AQ136" s="8">
        <v>101.4</v>
      </c>
      <c r="AR136" s="9">
        <v>0.33300000000000002</v>
      </c>
      <c r="AS136" s="9">
        <v>0.152</v>
      </c>
      <c r="AT136" s="9">
        <v>0.23799999999999999</v>
      </c>
      <c r="AU136" s="8">
        <v>98</v>
      </c>
      <c r="AV136" s="9">
        <v>0.17199999999999999</v>
      </c>
      <c r="AW136" s="8">
        <v>0.43939393939393939</v>
      </c>
      <c r="AX136" s="8">
        <v>42.169696969696979</v>
      </c>
      <c r="AY136" s="8">
        <v>0.09</v>
      </c>
      <c r="AZ136" s="9">
        <v>0.123</v>
      </c>
      <c r="BA136" s="8">
        <v>0.17</v>
      </c>
      <c r="BB136" s="8">
        <v>3.03</v>
      </c>
      <c r="BC136" s="8">
        <v>58</v>
      </c>
      <c r="BD136" s="8">
        <v>7</v>
      </c>
      <c r="BE136" s="8">
        <v>4</v>
      </c>
      <c r="BF136" s="8">
        <v>69</v>
      </c>
      <c r="BG136" s="8">
        <v>41</v>
      </c>
      <c r="BH136" s="8">
        <v>96</v>
      </c>
      <c r="BI136" s="8">
        <v>62</v>
      </c>
      <c r="BJ136" s="9">
        <v>0.36199999999999999</v>
      </c>
      <c r="BK136" s="8">
        <v>1.42</v>
      </c>
      <c r="BL136" s="8">
        <v>0.08</v>
      </c>
      <c r="BM136" s="8">
        <v>0.05</v>
      </c>
      <c r="BN136" s="8">
        <v>0.09</v>
      </c>
      <c r="BO136" s="9">
        <v>0.18099999999999999</v>
      </c>
      <c r="BP136" s="8">
        <v>1.71</v>
      </c>
      <c r="BQ136" s="9">
        <v>1</v>
      </c>
      <c r="BR136" s="8">
        <v>76</v>
      </c>
      <c r="BS136" s="8">
        <v>0.41</v>
      </c>
      <c r="BT136" s="9">
        <v>0.6</v>
      </c>
      <c r="BU136" s="9">
        <v>0.36199999999999999</v>
      </c>
      <c r="BV136" s="8">
        <v>0</v>
      </c>
      <c r="BW136" s="8">
        <v>1.45</v>
      </c>
      <c r="BX136" s="8">
        <v>2.63</v>
      </c>
      <c r="BY136" s="9">
        <v>0.125</v>
      </c>
      <c r="CD136" s="8"/>
      <c r="CE136" s="9"/>
      <c r="CF136" s="8"/>
      <c r="CG136" s="8"/>
      <c r="CH136" s="9"/>
      <c r="CI136" s="9"/>
      <c r="CJ136" s="8"/>
      <c r="CK136" s="8"/>
      <c r="CL136" s="8"/>
    </row>
    <row r="137" spans="2:90" ht="19.899999999999999" customHeight="1" x14ac:dyDescent="0.3">
      <c r="B137" s="8" t="s">
        <v>163</v>
      </c>
      <c r="C137" s="8">
        <v>5</v>
      </c>
      <c r="D137" s="8">
        <v>1.03</v>
      </c>
      <c r="E137" s="8">
        <v>102</v>
      </c>
      <c r="F137" s="8">
        <v>0.93</v>
      </c>
      <c r="G137" s="8">
        <v>1.1599999999999999</v>
      </c>
      <c r="H137" s="9">
        <v>0.157</v>
      </c>
      <c r="I137" s="9">
        <v>0.56200000000000006</v>
      </c>
      <c r="J137" s="8">
        <v>0.99</v>
      </c>
      <c r="K137" s="8">
        <v>0.63</v>
      </c>
      <c r="L137" s="8">
        <v>0.69</v>
      </c>
      <c r="M137" s="8">
        <v>64.7</v>
      </c>
      <c r="N137" s="8">
        <v>-0.28000000000000003</v>
      </c>
      <c r="O137" s="8">
        <v>75</v>
      </c>
      <c r="P137" s="8">
        <v>0.67</v>
      </c>
      <c r="Q137" s="8">
        <v>0.69</v>
      </c>
      <c r="R137" s="8">
        <v>62.7</v>
      </c>
      <c r="S137" s="8">
        <v>1.1399999999999999</v>
      </c>
      <c r="T137" s="8">
        <v>78.900000000000006</v>
      </c>
      <c r="U137" s="8">
        <v>0.73</v>
      </c>
      <c r="V137" s="8">
        <v>-2</v>
      </c>
      <c r="W137" s="8">
        <v>0</v>
      </c>
      <c r="X137" s="8" t="s">
        <v>91</v>
      </c>
      <c r="Y137" s="8">
        <v>1</v>
      </c>
      <c r="Z137" s="8">
        <v>1.45</v>
      </c>
      <c r="AA137" s="8">
        <v>1</v>
      </c>
      <c r="AB137" s="8">
        <v>1.45</v>
      </c>
      <c r="AC137" s="8">
        <v>8.8235294117647065E-2</v>
      </c>
      <c r="AD137" s="8">
        <v>0.46078431372549022</v>
      </c>
      <c r="AE137" s="8">
        <v>0.15686274509803921</v>
      </c>
      <c r="AF137" s="8">
        <v>3.9215686274509803E-2</v>
      </c>
      <c r="AG137" s="8">
        <v>3</v>
      </c>
      <c r="AH137" s="8">
        <v>2</v>
      </c>
      <c r="AI137" s="8">
        <v>2</v>
      </c>
      <c r="AJ137" s="8">
        <v>2</v>
      </c>
      <c r="AK137" s="8">
        <v>1</v>
      </c>
      <c r="AL137" s="8">
        <v>0</v>
      </c>
      <c r="AM137" s="8">
        <v>0</v>
      </c>
      <c r="AN137" s="8">
        <v>1.03</v>
      </c>
      <c r="AO137" s="8">
        <v>0</v>
      </c>
      <c r="AP137" s="8" t="s">
        <v>91</v>
      </c>
      <c r="AQ137" s="8">
        <v>100.3</v>
      </c>
      <c r="AR137" s="9">
        <v>0.88900000000000001</v>
      </c>
      <c r="AS137" s="9">
        <v>0.106</v>
      </c>
      <c r="AT137" s="9">
        <v>0.25</v>
      </c>
      <c r="AU137" s="8">
        <v>112</v>
      </c>
      <c r="AV137" s="9">
        <v>0.19600000000000001</v>
      </c>
      <c r="AW137" s="8">
        <v>0.4684848484848485</v>
      </c>
      <c r="AX137" s="8">
        <v>61.2</v>
      </c>
      <c r="AY137" s="8">
        <v>0.14000000000000001</v>
      </c>
      <c r="AZ137" s="9">
        <v>5.7000000000000002E-2</v>
      </c>
      <c r="BA137" s="8">
        <v>0.02</v>
      </c>
      <c r="BB137" s="8">
        <v>6.7</v>
      </c>
      <c r="BC137" s="8">
        <v>54</v>
      </c>
      <c r="BD137" s="8">
        <v>0</v>
      </c>
      <c r="BE137" s="8">
        <v>33</v>
      </c>
      <c r="BF137" s="8">
        <v>41</v>
      </c>
      <c r="BG137" s="8">
        <v>24</v>
      </c>
      <c r="BH137" s="8">
        <v>1</v>
      </c>
      <c r="BI137" s="8">
        <v>66</v>
      </c>
      <c r="BJ137" s="9">
        <v>0.58799999999999997</v>
      </c>
      <c r="BK137" s="8">
        <v>1.36</v>
      </c>
      <c r="BL137" s="8">
        <v>0.04</v>
      </c>
      <c r="BM137" s="8">
        <v>0.05</v>
      </c>
      <c r="BN137" s="8">
        <v>0.05</v>
      </c>
      <c r="BO137" s="9">
        <v>0.17599999999999999</v>
      </c>
      <c r="BP137" s="8">
        <v>2.57</v>
      </c>
      <c r="BQ137" s="9">
        <v>0</v>
      </c>
      <c r="BR137" s="8">
        <v>71</v>
      </c>
      <c r="BS137" s="8">
        <v>0.02</v>
      </c>
      <c r="BT137" s="9">
        <v>2.9000000000000001E-2</v>
      </c>
      <c r="BU137" s="9">
        <v>0.01</v>
      </c>
      <c r="BV137" s="8">
        <v>0.98</v>
      </c>
      <c r="BW137" s="8">
        <v>0.52</v>
      </c>
      <c r="BX137" s="8">
        <v>2.65</v>
      </c>
      <c r="BY137" s="9">
        <v>0.20599999999999999</v>
      </c>
      <c r="CD137" s="8"/>
      <c r="CE137" s="9"/>
      <c r="CF137" s="8"/>
      <c r="CG137" s="8"/>
      <c r="CH137" s="9"/>
      <c r="CI137" s="9"/>
      <c r="CJ137" s="8"/>
      <c r="CK137" s="8"/>
      <c r="CL137" s="8"/>
    </row>
    <row r="138" spans="2:90" ht="19.899999999999999" customHeight="1" x14ac:dyDescent="0.3">
      <c r="B138" s="8" t="s">
        <v>164</v>
      </c>
      <c r="C138" s="8">
        <v>4</v>
      </c>
      <c r="D138" s="8">
        <v>1.03</v>
      </c>
      <c r="E138" s="8">
        <v>70</v>
      </c>
      <c r="F138" s="8">
        <v>0.98</v>
      </c>
      <c r="G138" s="8">
        <v>1.07</v>
      </c>
      <c r="H138" s="9">
        <v>0.1</v>
      </c>
      <c r="I138" s="9">
        <v>0.71399999999999997</v>
      </c>
      <c r="J138" s="8">
        <v>0.98</v>
      </c>
      <c r="K138" s="8">
        <v>1.17</v>
      </c>
      <c r="L138" s="8">
        <v>0.8</v>
      </c>
      <c r="M138" s="8">
        <v>64.3</v>
      </c>
      <c r="N138" s="8">
        <v>-0.15</v>
      </c>
      <c r="O138" s="8">
        <v>78.599999999999994</v>
      </c>
      <c r="P138" s="8">
        <v>0.67</v>
      </c>
      <c r="Q138" s="8">
        <v>0.83</v>
      </c>
      <c r="R138" s="8">
        <v>65.099999999999994</v>
      </c>
      <c r="S138" s="8">
        <v>1.18</v>
      </c>
      <c r="T138" s="8">
        <v>81.599999999999994</v>
      </c>
      <c r="U138" s="8">
        <v>0.69</v>
      </c>
      <c r="V138" s="8">
        <v>-9</v>
      </c>
      <c r="W138" s="8">
        <v>0</v>
      </c>
      <c r="X138" s="8" t="s">
        <v>91</v>
      </c>
      <c r="Y138" s="8">
        <v>2</v>
      </c>
      <c r="Z138" s="8">
        <v>0.91</v>
      </c>
      <c r="AA138" s="8">
        <v>2</v>
      </c>
      <c r="AB138" s="8">
        <v>0.91</v>
      </c>
      <c r="AC138" s="8">
        <v>7.1428571428571425E-2</v>
      </c>
      <c r="AD138" s="8">
        <v>0.44285714285714278</v>
      </c>
      <c r="AE138" s="8">
        <v>0.15714285714285711</v>
      </c>
      <c r="AF138" s="8">
        <v>5.7142857142857141E-2</v>
      </c>
      <c r="AG138" s="8">
        <v>4</v>
      </c>
      <c r="AH138" s="8">
        <v>1</v>
      </c>
      <c r="AI138" s="8">
        <v>1</v>
      </c>
      <c r="AJ138" s="8">
        <v>1</v>
      </c>
      <c r="AK138" s="8">
        <v>0</v>
      </c>
      <c r="AL138" s="8">
        <v>1</v>
      </c>
      <c r="AM138" s="8">
        <v>2.8571428571428571E-2</v>
      </c>
      <c r="AN138" s="8">
        <v>1.22</v>
      </c>
      <c r="AO138" s="8">
        <v>0</v>
      </c>
      <c r="AP138" s="8" t="s">
        <v>91</v>
      </c>
      <c r="AQ138" s="8">
        <v>124.9</v>
      </c>
      <c r="AR138" s="9">
        <v>0.6</v>
      </c>
      <c r="AS138" s="9">
        <v>7.6999999999999999E-2</v>
      </c>
      <c r="AT138" s="9">
        <v>0.128</v>
      </c>
      <c r="AU138" s="8">
        <v>117</v>
      </c>
      <c r="AV138" s="9">
        <v>0.214</v>
      </c>
      <c r="AW138" s="8">
        <v>0.48153846153846153</v>
      </c>
      <c r="AX138" s="8">
        <v>62.573076923076918</v>
      </c>
      <c r="AY138" s="8">
        <v>0.19</v>
      </c>
      <c r="AZ138" s="9">
        <v>0.14299999999999999</v>
      </c>
      <c r="BA138" s="8">
        <v>0.09</v>
      </c>
      <c r="BB138" s="8">
        <v>2.97</v>
      </c>
      <c r="BC138" s="8">
        <v>61</v>
      </c>
      <c r="BD138" s="8">
        <v>22</v>
      </c>
      <c r="BE138" s="8">
        <v>86</v>
      </c>
      <c r="BF138" s="8">
        <v>22</v>
      </c>
      <c r="BG138" s="8">
        <v>75</v>
      </c>
      <c r="BH138" s="8">
        <v>82</v>
      </c>
      <c r="BI138" s="8">
        <v>57</v>
      </c>
      <c r="BJ138" s="9">
        <v>0.44700000000000001</v>
      </c>
      <c r="BK138" s="8" t="s">
        <v>91</v>
      </c>
      <c r="BL138" s="8">
        <v>0.11</v>
      </c>
      <c r="BM138" s="8">
        <v>0.14000000000000001</v>
      </c>
      <c r="BN138" s="8">
        <v>0.09</v>
      </c>
      <c r="BO138" s="9">
        <v>0.114</v>
      </c>
      <c r="BP138" s="8">
        <v>1.93</v>
      </c>
      <c r="BQ138" s="8" t="s">
        <v>91</v>
      </c>
      <c r="BR138" s="8">
        <v>69</v>
      </c>
      <c r="BS138" s="8">
        <v>0.27</v>
      </c>
      <c r="BT138" s="9">
        <v>0.40400000000000003</v>
      </c>
      <c r="BU138" s="9">
        <v>0.186</v>
      </c>
      <c r="BV138" s="8">
        <v>0</v>
      </c>
      <c r="BW138" s="8">
        <v>0.79</v>
      </c>
      <c r="BX138" s="8">
        <v>2.33</v>
      </c>
      <c r="BY138" s="9">
        <v>0.27700000000000002</v>
      </c>
      <c r="CD138" s="8"/>
      <c r="CE138" s="9"/>
      <c r="CF138" s="8"/>
      <c r="CG138" s="8"/>
      <c r="CH138" s="9"/>
      <c r="CI138" s="9"/>
      <c r="CJ138" s="8"/>
      <c r="CK138" s="8"/>
      <c r="CL138" s="8"/>
    </row>
    <row r="139" spans="2:90" ht="19.899999999999999" customHeight="1" x14ac:dyDescent="0.3">
      <c r="B139" s="8" t="s">
        <v>165</v>
      </c>
      <c r="C139" s="8">
        <v>7</v>
      </c>
      <c r="D139" s="8">
        <v>1.03</v>
      </c>
      <c r="E139" s="8">
        <v>138</v>
      </c>
      <c r="F139" s="8">
        <v>0.96</v>
      </c>
      <c r="G139" s="8">
        <v>1.0900000000000001</v>
      </c>
      <c r="H139" s="9">
        <v>0.23200000000000001</v>
      </c>
      <c r="I139" s="9">
        <v>0.59399999999999997</v>
      </c>
      <c r="J139" s="8">
        <v>1.2</v>
      </c>
      <c r="K139" s="8">
        <v>0.87</v>
      </c>
      <c r="L139" s="8">
        <v>0.59</v>
      </c>
      <c r="M139" s="8">
        <v>74.599999999999994</v>
      </c>
      <c r="N139" s="8">
        <v>1.1499999999999999</v>
      </c>
      <c r="O139" s="8">
        <v>65.3</v>
      </c>
      <c r="P139" s="8">
        <v>0.54</v>
      </c>
      <c r="Q139" s="8">
        <v>0.6</v>
      </c>
      <c r="R139" s="8">
        <v>73.3</v>
      </c>
      <c r="S139" s="8">
        <v>0.63</v>
      </c>
      <c r="T139" s="8">
        <v>64.7</v>
      </c>
      <c r="U139" s="8">
        <v>0.54</v>
      </c>
      <c r="V139" s="8">
        <v>-7</v>
      </c>
      <c r="W139" s="8">
        <v>0</v>
      </c>
      <c r="X139" s="8" t="s">
        <v>91</v>
      </c>
      <c r="Y139" s="8">
        <v>0</v>
      </c>
      <c r="Z139" s="8" t="s">
        <v>91</v>
      </c>
      <c r="AA139" s="8">
        <v>4</v>
      </c>
      <c r="AB139" s="8">
        <v>0.95</v>
      </c>
      <c r="AC139" s="8">
        <v>0.13768115942028991</v>
      </c>
      <c r="AD139" s="8">
        <v>0.4420289855072464</v>
      </c>
      <c r="AE139" s="8">
        <v>7.9710144927536225E-2</v>
      </c>
      <c r="AF139" s="8">
        <v>1.4492753623188409E-2</v>
      </c>
      <c r="AG139" s="8">
        <v>5</v>
      </c>
      <c r="AH139" s="8">
        <v>3</v>
      </c>
      <c r="AI139" s="8">
        <v>3</v>
      </c>
      <c r="AJ139" s="8">
        <v>2</v>
      </c>
      <c r="AK139" s="8">
        <v>1</v>
      </c>
      <c r="AL139" s="8">
        <v>1</v>
      </c>
      <c r="AM139" s="8">
        <v>1.4492753623188409E-2</v>
      </c>
      <c r="AN139" s="8">
        <v>0.66</v>
      </c>
      <c r="AO139" s="8">
        <v>0</v>
      </c>
      <c r="AP139" s="8" t="s">
        <v>91</v>
      </c>
      <c r="AQ139" s="8">
        <v>73</v>
      </c>
      <c r="AR139" s="9">
        <v>0.68400000000000005</v>
      </c>
      <c r="AS139" s="9">
        <v>6.8000000000000005E-2</v>
      </c>
      <c r="AT139" s="9">
        <v>0.17599999999999999</v>
      </c>
      <c r="AU139" s="8">
        <v>122</v>
      </c>
      <c r="AV139" s="9">
        <v>6.5000000000000002E-2</v>
      </c>
      <c r="AW139" s="8">
        <v>0.37050847457627117</v>
      </c>
      <c r="AX139" s="8">
        <v>54.989830508474569</v>
      </c>
      <c r="AY139" s="8">
        <v>0.1</v>
      </c>
      <c r="AZ139" s="9">
        <v>0.23499999999999999</v>
      </c>
      <c r="BA139" s="8">
        <v>0.03</v>
      </c>
      <c r="BB139" s="8">
        <v>3.9</v>
      </c>
      <c r="BC139" s="8">
        <v>7</v>
      </c>
      <c r="BD139" s="8">
        <v>81</v>
      </c>
      <c r="BE139" s="8">
        <v>32</v>
      </c>
      <c r="BF139" s="8">
        <v>82</v>
      </c>
      <c r="BG139" s="8">
        <v>37</v>
      </c>
      <c r="BH139" s="8">
        <v>0</v>
      </c>
      <c r="BI139" s="8">
        <v>31</v>
      </c>
      <c r="BJ139" s="9">
        <v>0.64900000000000002</v>
      </c>
      <c r="BK139" s="8">
        <v>1.046938775510204</v>
      </c>
      <c r="BL139" s="8">
        <v>0.14000000000000001</v>
      </c>
      <c r="BM139" s="8">
        <v>0.12</v>
      </c>
      <c r="BN139" s="8">
        <v>0.19</v>
      </c>
      <c r="BO139" s="9">
        <v>0.23200000000000001</v>
      </c>
      <c r="BP139" s="8">
        <v>2.02</v>
      </c>
      <c r="BQ139" s="8" t="s">
        <v>91</v>
      </c>
      <c r="BR139" s="8">
        <v>73</v>
      </c>
      <c r="BS139" s="8">
        <v>0</v>
      </c>
      <c r="BT139" s="9">
        <v>0</v>
      </c>
      <c r="BU139" s="8" t="s">
        <v>91</v>
      </c>
      <c r="BV139" s="8">
        <v>0</v>
      </c>
      <c r="BW139" s="8">
        <v>0.41</v>
      </c>
      <c r="BX139" s="8">
        <v>1.9</v>
      </c>
      <c r="BY139" s="9">
        <v>0.189</v>
      </c>
      <c r="CD139" s="8"/>
      <c r="CE139" s="9"/>
      <c r="CF139" s="8"/>
      <c r="CG139" s="8"/>
      <c r="CH139" s="9"/>
      <c r="CI139" s="9"/>
      <c r="CJ139" s="8"/>
      <c r="CK139" s="8"/>
      <c r="CL139" s="8"/>
    </row>
    <row r="140" spans="2:90" ht="19.899999999999999" customHeight="1" x14ac:dyDescent="0.3">
      <c r="B140" s="8" t="s">
        <v>166</v>
      </c>
      <c r="C140" s="8">
        <v>11</v>
      </c>
      <c r="D140" s="8">
        <v>1.02</v>
      </c>
      <c r="E140" s="8">
        <v>242</v>
      </c>
      <c r="F140" s="8">
        <v>1.1200000000000001</v>
      </c>
      <c r="G140" s="8">
        <v>0.91</v>
      </c>
      <c r="H140" s="9">
        <v>0.16500000000000001</v>
      </c>
      <c r="I140" s="9">
        <v>0.4</v>
      </c>
      <c r="J140" s="8">
        <v>0.83</v>
      </c>
      <c r="K140" s="8">
        <v>0.91</v>
      </c>
      <c r="L140" s="8">
        <v>0.65</v>
      </c>
      <c r="M140" s="8">
        <v>73.099999999999994</v>
      </c>
      <c r="N140" s="8">
        <v>-0.26</v>
      </c>
      <c r="O140" s="8">
        <v>74.099999999999994</v>
      </c>
      <c r="P140" s="8">
        <v>0.63</v>
      </c>
      <c r="Q140" s="8">
        <v>0.66</v>
      </c>
      <c r="R140" s="8">
        <v>70.2</v>
      </c>
      <c r="S140" s="8">
        <v>1.03</v>
      </c>
      <c r="T140" s="8">
        <v>74.8</v>
      </c>
      <c r="U140" s="8">
        <v>0.63</v>
      </c>
      <c r="V140" s="8">
        <v>-5</v>
      </c>
      <c r="W140" s="8">
        <v>0</v>
      </c>
      <c r="X140" s="8" t="s">
        <v>91</v>
      </c>
      <c r="Y140" s="8">
        <v>2</v>
      </c>
      <c r="Z140" s="8">
        <v>0.88</v>
      </c>
      <c r="AA140" s="8">
        <v>7</v>
      </c>
      <c r="AB140" s="8">
        <v>0.87</v>
      </c>
      <c r="AC140" s="8">
        <v>6.6115702479338845E-2</v>
      </c>
      <c r="AD140" s="8">
        <v>0.4462809917355372</v>
      </c>
      <c r="AE140" s="8">
        <v>0.128099173553719</v>
      </c>
      <c r="AF140" s="8">
        <v>4.1322314049586778E-2</v>
      </c>
      <c r="AG140" s="8">
        <v>6</v>
      </c>
      <c r="AH140" s="8">
        <v>5</v>
      </c>
      <c r="AI140" s="8">
        <v>5</v>
      </c>
      <c r="AJ140" s="8">
        <v>4</v>
      </c>
      <c r="AK140" s="8">
        <v>3</v>
      </c>
      <c r="AL140" s="8">
        <v>2</v>
      </c>
      <c r="AM140" s="8">
        <v>1.239669421487603E-2</v>
      </c>
      <c r="AN140" s="8">
        <v>0.87</v>
      </c>
      <c r="AO140" s="8">
        <v>0</v>
      </c>
      <c r="AP140" s="8" t="s">
        <v>91</v>
      </c>
      <c r="AQ140" s="8">
        <v>93.7</v>
      </c>
      <c r="AR140" s="9">
        <v>0.56200000000000006</v>
      </c>
      <c r="AS140" s="9">
        <v>6.2E-2</v>
      </c>
      <c r="AT140" s="9">
        <v>0.34</v>
      </c>
      <c r="AU140" s="8">
        <v>117</v>
      </c>
      <c r="AV140" s="9">
        <v>7.0000000000000007E-2</v>
      </c>
      <c r="AW140" s="8">
        <v>0.36079646017699107</v>
      </c>
      <c r="AX140" s="8">
        <v>51.724778761061913</v>
      </c>
      <c r="AY140" s="8">
        <v>0.15</v>
      </c>
      <c r="AZ140" s="9">
        <v>0.20899999999999999</v>
      </c>
      <c r="BA140" s="8">
        <v>0.09</v>
      </c>
      <c r="BB140" s="8">
        <v>9.59</v>
      </c>
      <c r="BC140" s="8">
        <v>36</v>
      </c>
      <c r="BD140" s="8">
        <v>65</v>
      </c>
      <c r="BE140" s="8">
        <v>65</v>
      </c>
      <c r="BF140" s="8">
        <v>12</v>
      </c>
      <c r="BG140" s="8">
        <v>32</v>
      </c>
      <c r="BH140" s="8">
        <v>0</v>
      </c>
      <c r="BI140" s="8">
        <v>96</v>
      </c>
      <c r="BJ140" s="9">
        <v>0.54200000000000004</v>
      </c>
      <c r="BK140" s="8">
        <v>1.1761490683229809</v>
      </c>
      <c r="BL140" s="8">
        <v>0.14000000000000001</v>
      </c>
      <c r="BM140" s="8">
        <v>0.1</v>
      </c>
      <c r="BN140" s="8">
        <v>0.16</v>
      </c>
      <c r="BO140" s="9">
        <v>0.219</v>
      </c>
      <c r="BP140" s="8">
        <v>2.86</v>
      </c>
      <c r="BQ140" s="9">
        <v>0.5</v>
      </c>
      <c r="BR140" s="8">
        <v>69</v>
      </c>
      <c r="BS140" s="8">
        <v>0</v>
      </c>
      <c r="BT140" s="9">
        <v>0</v>
      </c>
      <c r="BU140" s="8" t="s">
        <v>91</v>
      </c>
      <c r="BV140" s="8">
        <v>2.48</v>
      </c>
      <c r="BW140" s="8">
        <v>0.94</v>
      </c>
      <c r="BX140" s="8">
        <v>2.79</v>
      </c>
      <c r="BY140" s="9">
        <v>0.23499999999999999</v>
      </c>
      <c r="CD140" s="8"/>
      <c r="CE140" s="9"/>
      <c r="CF140" s="8"/>
      <c r="CG140" s="8"/>
      <c r="CH140" s="9"/>
      <c r="CI140" s="9"/>
      <c r="CJ140" s="8"/>
      <c r="CK140" s="8"/>
      <c r="CL140" s="8"/>
    </row>
    <row r="141" spans="2:90" ht="19.899999999999999" customHeight="1" x14ac:dyDescent="0.3">
      <c r="B141" s="8" t="s">
        <v>133</v>
      </c>
      <c r="C141" s="8">
        <v>16</v>
      </c>
      <c r="D141" s="8">
        <v>1.01</v>
      </c>
      <c r="E141" s="8">
        <v>366</v>
      </c>
      <c r="F141" s="8">
        <v>1.0900000000000001</v>
      </c>
      <c r="G141" s="8">
        <v>0.93</v>
      </c>
      <c r="H141" s="9">
        <v>0.128</v>
      </c>
      <c r="I141" s="9">
        <v>0.51100000000000001</v>
      </c>
      <c r="J141" s="8">
        <v>0.89</v>
      </c>
      <c r="K141" s="8">
        <v>0.92</v>
      </c>
      <c r="L141" s="8">
        <v>0.54</v>
      </c>
      <c r="M141" s="8">
        <v>74</v>
      </c>
      <c r="N141" s="8">
        <v>0.51</v>
      </c>
      <c r="O141" s="8">
        <v>60.2</v>
      </c>
      <c r="P141" s="8">
        <v>0.62</v>
      </c>
      <c r="Q141" s="8">
        <v>0.56999999999999995</v>
      </c>
      <c r="R141" s="8">
        <v>71.7</v>
      </c>
      <c r="S141" s="8">
        <v>0.94</v>
      </c>
      <c r="T141" s="8">
        <v>58.3</v>
      </c>
      <c r="U141" s="8">
        <v>0.59</v>
      </c>
      <c r="V141" s="8">
        <v>29</v>
      </c>
      <c r="W141" s="8">
        <v>0</v>
      </c>
      <c r="X141" s="8" t="s">
        <v>91</v>
      </c>
      <c r="Y141" s="8">
        <v>0</v>
      </c>
      <c r="Z141" s="8" t="s">
        <v>91</v>
      </c>
      <c r="AA141" s="8">
        <v>3</v>
      </c>
      <c r="AB141" s="8">
        <v>0.91</v>
      </c>
      <c r="AC141" s="8">
        <v>6.5573770491803282E-2</v>
      </c>
      <c r="AD141" s="8">
        <v>0.43989071038251359</v>
      </c>
      <c r="AE141" s="8">
        <v>0.13934426229508201</v>
      </c>
      <c r="AF141" s="8">
        <v>3.5519125683060107E-2</v>
      </c>
      <c r="AG141" s="8">
        <v>10</v>
      </c>
      <c r="AH141" s="8">
        <v>8</v>
      </c>
      <c r="AI141" s="8">
        <v>6</v>
      </c>
      <c r="AJ141" s="8">
        <v>4</v>
      </c>
      <c r="AK141" s="8">
        <v>1</v>
      </c>
      <c r="AL141" s="8">
        <v>3</v>
      </c>
      <c r="AM141" s="8">
        <v>1.6393442622950821E-2</v>
      </c>
      <c r="AN141" s="8">
        <v>0.8</v>
      </c>
      <c r="AO141" s="8">
        <v>0</v>
      </c>
      <c r="AP141" s="8" t="s">
        <v>91</v>
      </c>
      <c r="AQ141" s="8">
        <v>77.7</v>
      </c>
      <c r="AR141" s="9">
        <v>0.66700000000000004</v>
      </c>
      <c r="AS141" s="9">
        <v>0.13900000000000001</v>
      </c>
      <c r="AT141" s="9">
        <v>0.26400000000000001</v>
      </c>
      <c r="AU141" s="8">
        <v>97</v>
      </c>
      <c r="AV141" s="9">
        <v>0.13700000000000001</v>
      </c>
      <c r="AW141" s="8">
        <v>0.40121212121212108</v>
      </c>
      <c r="AX141" s="8">
        <v>38.881818181818183</v>
      </c>
      <c r="AY141" s="8">
        <v>0.15</v>
      </c>
      <c r="AZ141" s="9">
        <v>0.20699999999999999</v>
      </c>
      <c r="BA141" s="8">
        <v>0.1</v>
      </c>
      <c r="BB141" s="8">
        <v>1.97</v>
      </c>
      <c r="BC141" s="8">
        <v>21</v>
      </c>
      <c r="BD141" s="8">
        <v>44</v>
      </c>
      <c r="BE141" s="8">
        <v>63</v>
      </c>
      <c r="BF141" s="8">
        <v>17</v>
      </c>
      <c r="BG141" s="8">
        <v>51</v>
      </c>
      <c r="BH141" s="8">
        <v>92</v>
      </c>
      <c r="BI141" s="8">
        <v>57</v>
      </c>
      <c r="BJ141" s="9">
        <v>0.33900000000000002</v>
      </c>
      <c r="BK141" s="8">
        <v>1.040337552742616</v>
      </c>
      <c r="BL141" s="8">
        <v>0.11</v>
      </c>
      <c r="BM141" s="8">
        <v>0.1</v>
      </c>
      <c r="BN141" s="8">
        <v>0.11</v>
      </c>
      <c r="BO141" s="9">
        <v>0.23799999999999999</v>
      </c>
      <c r="BP141" s="8">
        <v>1.68</v>
      </c>
      <c r="BQ141" s="9">
        <v>0.66700000000000004</v>
      </c>
      <c r="BR141" s="8">
        <v>80</v>
      </c>
      <c r="BS141" s="8">
        <v>0.32</v>
      </c>
      <c r="BT141" s="9">
        <v>0.52</v>
      </c>
      <c r="BU141" s="9">
        <v>0.29199999999999998</v>
      </c>
      <c r="BV141" s="8">
        <v>0.27</v>
      </c>
      <c r="BW141" s="8">
        <v>0.88</v>
      </c>
      <c r="BX141" s="8">
        <v>2.35</v>
      </c>
      <c r="BY141" s="9">
        <v>0.24199999999999999</v>
      </c>
      <c r="CD141" s="8"/>
      <c r="CE141" s="9"/>
      <c r="CF141" s="8"/>
      <c r="CG141" s="8"/>
      <c r="CH141" s="9"/>
      <c r="CI141" s="9"/>
      <c r="CJ141" s="8"/>
      <c r="CK141" s="8"/>
      <c r="CL141" s="8"/>
    </row>
    <row r="142" spans="2:90" ht="19.899999999999999" customHeight="1" x14ac:dyDescent="0.3">
      <c r="B142" s="8" t="s">
        <v>167</v>
      </c>
      <c r="C142" s="8">
        <v>11</v>
      </c>
      <c r="D142" s="8">
        <v>1.01</v>
      </c>
      <c r="E142" s="8">
        <v>261</v>
      </c>
      <c r="F142" s="8">
        <v>1.18</v>
      </c>
      <c r="G142" s="8">
        <v>0.81</v>
      </c>
      <c r="H142" s="9">
        <v>0.23400000000000001</v>
      </c>
      <c r="I142" s="9">
        <v>0.60699999999999998</v>
      </c>
      <c r="J142" s="8">
        <v>1.22</v>
      </c>
      <c r="K142" s="8">
        <v>1.38</v>
      </c>
      <c r="L142" s="8">
        <v>0.7</v>
      </c>
      <c r="M142" s="8">
        <v>72.8</v>
      </c>
      <c r="N142" s="8">
        <v>-0.33</v>
      </c>
      <c r="O142" s="8">
        <v>71.400000000000006</v>
      </c>
      <c r="P142" s="8">
        <v>0.6</v>
      </c>
      <c r="Q142" s="8">
        <v>0.71</v>
      </c>
      <c r="R142" s="8">
        <v>75.7</v>
      </c>
      <c r="S142" s="8">
        <v>0.8</v>
      </c>
      <c r="T142" s="8">
        <v>72.599999999999994</v>
      </c>
      <c r="U142" s="8">
        <v>0.63</v>
      </c>
      <c r="V142" s="8">
        <v>-27</v>
      </c>
      <c r="W142" s="8">
        <v>0</v>
      </c>
      <c r="X142" s="8" t="s">
        <v>91</v>
      </c>
      <c r="Y142" s="8">
        <v>1</v>
      </c>
      <c r="Z142" s="8">
        <v>0.89</v>
      </c>
      <c r="AA142" s="8">
        <v>6</v>
      </c>
      <c r="AB142" s="8">
        <v>0.97</v>
      </c>
      <c r="AC142" s="8">
        <v>0.1417624521072797</v>
      </c>
      <c r="AD142" s="8">
        <v>0.45593869731800768</v>
      </c>
      <c r="AE142" s="8">
        <v>0.13026819923371649</v>
      </c>
      <c r="AF142" s="8">
        <v>1.532567049808429E-2</v>
      </c>
      <c r="AG142" s="8">
        <v>9</v>
      </c>
      <c r="AH142" s="8">
        <v>5</v>
      </c>
      <c r="AI142" s="8">
        <v>3</v>
      </c>
      <c r="AJ142" s="8">
        <v>1</v>
      </c>
      <c r="AK142" s="8">
        <v>1</v>
      </c>
      <c r="AL142" s="8">
        <v>3</v>
      </c>
      <c r="AM142" s="8">
        <v>1.532567049808429E-2</v>
      </c>
      <c r="AN142" s="8">
        <v>0.81</v>
      </c>
      <c r="AO142" s="8">
        <v>0</v>
      </c>
      <c r="AP142" s="8" t="s">
        <v>91</v>
      </c>
      <c r="AQ142" s="8">
        <v>91.3</v>
      </c>
      <c r="AR142" s="9">
        <v>0.51400000000000001</v>
      </c>
      <c r="AS142" s="9">
        <v>7.3999999999999996E-2</v>
      </c>
      <c r="AT142" s="9">
        <v>0.217</v>
      </c>
      <c r="AU142" s="8">
        <v>119</v>
      </c>
      <c r="AV142" s="9">
        <v>7.2999999999999995E-2</v>
      </c>
      <c r="AW142" s="8">
        <v>0.40696296296296303</v>
      </c>
      <c r="AX142" s="8">
        <v>52.826666666666682</v>
      </c>
      <c r="AY142" s="8">
        <v>0.1</v>
      </c>
      <c r="AZ142" s="9">
        <v>0.255</v>
      </c>
      <c r="BA142" s="8">
        <v>7.0000000000000007E-2</v>
      </c>
      <c r="BB142" s="8">
        <v>8.4600000000000009</v>
      </c>
      <c r="BC142" s="8">
        <v>28</v>
      </c>
      <c r="BD142" s="8">
        <v>84</v>
      </c>
      <c r="BE142" s="8">
        <v>7</v>
      </c>
      <c r="BF142" s="8">
        <v>80</v>
      </c>
      <c r="BG142" s="8">
        <v>38</v>
      </c>
      <c r="BH142" s="8">
        <v>0</v>
      </c>
      <c r="BI142" s="8">
        <v>84</v>
      </c>
      <c r="BJ142" s="9">
        <v>0.44600000000000001</v>
      </c>
      <c r="BK142" s="8">
        <v>1.1433125</v>
      </c>
      <c r="BL142" s="8">
        <v>0.18</v>
      </c>
      <c r="BM142" s="8">
        <v>0.06</v>
      </c>
      <c r="BN142" s="8">
        <v>0.11</v>
      </c>
      <c r="BO142" s="9">
        <v>0.20300000000000001</v>
      </c>
      <c r="BP142" s="8">
        <v>3.08</v>
      </c>
      <c r="BQ142" s="9">
        <v>1</v>
      </c>
      <c r="BR142" s="8">
        <v>70</v>
      </c>
      <c r="BS142" s="8">
        <v>0</v>
      </c>
      <c r="BT142" s="9">
        <v>6.0000000000000001E-3</v>
      </c>
      <c r="BU142" s="9">
        <v>1.0999999999999999E-2</v>
      </c>
      <c r="BV142" s="8">
        <v>0</v>
      </c>
      <c r="BW142" s="8">
        <v>0.71</v>
      </c>
      <c r="BX142" s="8">
        <v>2.5</v>
      </c>
      <c r="BY142" s="9">
        <v>0.159</v>
      </c>
    </row>
    <row r="143" spans="2:90" ht="19.899999999999999" customHeight="1" x14ac:dyDescent="0.3">
      <c r="B143" s="8" t="s">
        <v>168</v>
      </c>
      <c r="C143" s="8">
        <v>11</v>
      </c>
      <c r="D143" s="8">
        <v>1.01</v>
      </c>
      <c r="E143" s="8">
        <v>264</v>
      </c>
      <c r="F143" s="8">
        <v>1.01</v>
      </c>
      <c r="G143" s="8">
        <v>1.01</v>
      </c>
      <c r="H143" s="9">
        <v>0.14799999999999999</v>
      </c>
      <c r="I143" s="9">
        <v>0.64100000000000001</v>
      </c>
      <c r="J143" s="8">
        <v>1.05</v>
      </c>
      <c r="K143" s="8">
        <v>1.1100000000000001</v>
      </c>
      <c r="L143" s="8">
        <v>0.6</v>
      </c>
      <c r="M143" s="8">
        <v>73.5</v>
      </c>
      <c r="N143" s="8">
        <v>0.69</v>
      </c>
      <c r="O143" s="8">
        <v>62</v>
      </c>
      <c r="P143" s="8">
        <v>0.64</v>
      </c>
      <c r="Q143" s="8">
        <v>0.65</v>
      </c>
      <c r="R143" s="8">
        <v>71.2</v>
      </c>
      <c r="S143" s="8">
        <v>0.97</v>
      </c>
      <c r="T143" s="8">
        <v>61.2</v>
      </c>
      <c r="U143" s="8">
        <v>0.61</v>
      </c>
      <c r="V143" s="8">
        <v>10</v>
      </c>
      <c r="W143" s="8">
        <v>0</v>
      </c>
      <c r="X143" s="8" t="s">
        <v>91</v>
      </c>
      <c r="Y143" s="8">
        <v>3</v>
      </c>
      <c r="Z143" s="8">
        <v>0.84</v>
      </c>
      <c r="AA143" s="8">
        <v>5</v>
      </c>
      <c r="AB143" s="8">
        <v>0.89</v>
      </c>
      <c r="AC143" s="8">
        <v>9.4696969696969696E-2</v>
      </c>
      <c r="AD143" s="8">
        <v>0.43560606060606061</v>
      </c>
      <c r="AE143" s="8">
        <v>0.15151515151515149</v>
      </c>
      <c r="AF143" s="8">
        <v>4.5454545454545463E-2</v>
      </c>
      <c r="AG143" s="8">
        <v>9</v>
      </c>
      <c r="AH143" s="8">
        <v>5</v>
      </c>
      <c r="AI143" s="8">
        <v>3</v>
      </c>
      <c r="AJ143" s="8">
        <v>2</v>
      </c>
      <c r="AK143" s="8">
        <v>2</v>
      </c>
      <c r="AL143" s="8">
        <v>4</v>
      </c>
      <c r="AM143" s="8">
        <v>2.2727272727272731E-2</v>
      </c>
      <c r="AN143" s="8">
        <v>0.91</v>
      </c>
      <c r="AO143" s="8">
        <v>0</v>
      </c>
      <c r="AP143" s="8" t="s">
        <v>91</v>
      </c>
      <c r="AQ143" s="8">
        <v>86.8</v>
      </c>
      <c r="AR143" s="9">
        <v>0.64</v>
      </c>
      <c r="AS143" s="9">
        <v>0.13300000000000001</v>
      </c>
      <c r="AT143" s="9">
        <v>0.28599999999999998</v>
      </c>
      <c r="AU143" s="8">
        <v>97</v>
      </c>
      <c r="AV143" s="9">
        <v>0.121</v>
      </c>
      <c r="AW143" s="8">
        <v>0.37488888888888888</v>
      </c>
      <c r="AX143" s="8">
        <v>38.302222222222227</v>
      </c>
      <c r="AY143" s="8">
        <v>0.14000000000000001</v>
      </c>
      <c r="AZ143" s="9">
        <v>0.20300000000000001</v>
      </c>
      <c r="BA143" s="8">
        <v>0.12</v>
      </c>
      <c r="BB143" s="8">
        <v>2.85</v>
      </c>
      <c r="BC143" s="8">
        <v>30</v>
      </c>
      <c r="BD143" s="8">
        <v>35</v>
      </c>
      <c r="BE143" s="8">
        <v>57</v>
      </c>
      <c r="BF143" s="8">
        <v>39</v>
      </c>
      <c r="BG143" s="8">
        <v>61</v>
      </c>
      <c r="BH143" s="8">
        <v>92</v>
      </c>
      <c r="BI143" s="8">
        <v>61</v>
      </c>
      <c r="BJ143" s="9">
        <v>0.31</v>
      </c>
      <c r="BK143" s="8">
        <v>1.250519480519481</v>
      </c>
      <c r="BL143" s="8">
        <v>0.12</v>
      </c>
      <c r="BM143" s="8">
        <v>0.11</v>
      </c>
      <c r="BN143" s="8">
        <v>0.1</v>
      </c>
      <c r="BO143" s="9">
        <v>0.22700000000000001</v>
      </c>
      <c r="BP143" s="8">
        <v>1.81</v>
      </c>
      <c r="BQ143" s="9">
        <v>0.66700000000000004</v>
      </c>
      <c r="BR143" s="8">
        <v>75</v>
      </c>
      <c r="BS143" s="8">
        <v>0.3</v>
      </c>
      <c r="BT143" s="9">
        <v>0.47599999999999998</v>
      </c>
      <c r="BU143" s="9">
        <v>0.26100000000000001</v>
      </c>
      <c r="BV143" s="8">
        <v>0.76</v>
      </c>
      <c r="BW143" s="8">
        <v>0.85</v>
      </c>
      <c r="BX143" s="8">
        <v>2.29</v>
      </c>
      <c r="BY143" s="9">
        <v>0.22</v>
      </c>
    </row>
    <row r="144" spans="2:90" ht="19.899999999999999" customHeight="1" x14ac:dyDescent="0.3">
      <c r="B144" s="8" t="s">
        <v>169</v>
      </c>
      <c r="C144" s="8">
        <v>11</v>
      </c>
      <c r="D144" s="8">
        <v>1.01</v>
      </c>
      <c r="E144" s="8">
        <v>242</v>
      </c>
      <c r="F144" s="8">
        <v>0.96</v>
      </c>
      <c r="G144" s="8">
        <v>1.06</v>
      </c>
      <c r="H144" s="9">
        <v>0.14899999999999999</v>
      </c>
      <c r="I144" s="9">
        <v>0.52800000000000002</v>
      </c>
      <c r="J144" s="8">
        <v>0.94</v>
      </c>
      <c r="K144" s="8">
        <v>1.33</v>
      </c>
      <c r="L144" s="8">
        <v>0.6</v>
      </c>
      <c r="M144" s="8">
        <v>68.599999999999994</v>
      </c>
      <c r="N144" s="8">
        <v>0.76</v>
      </c>
      <c r="O144" s="8">
        <v>59.8</v>
      </c>
      <c r="P144" s="8">
        <v>0.53</v>
      </c>
      <c r="Q144" s="8">
        <v>0.59</v>
      </c>
      <c r="R144" s="8">
        <v>67.8</v>
      </c>
      <c r="S144" s="8">
        <v>0.93</v>
      </c>
      <c r="T144" s="8">
        <v>61.4</v>
      </c>
      <c r="U144" s="8">
        <v>0.56000000000000005</v>
      </c>
      <c r="V144" s="8">
        <v>-17</v>
      </c>
      <c r="W144" s="8">
        <v>0</v>
      </c>
      <c r="X144" s="8" t="s">
        <v>91</v>
      </c>
      <c r="Y144" s="8">
        <v>2</v>
      </c>
      <c r="Z144" s="8">
        <v>1.24</v>
      </c>
      <c r="AA144" s="8">
        <v>7</v>
      </c>
      <c r="AB144" s="8">
        <v>1.1100000000000001</v>
      </c>
      <c r="AC144" s="8">
        <v>7.8512396694214878E-2</v>
      </c>
      <c r="AD144" s="8">
        <v>0.37190082644628097</v>
      </c>
      <c r="AE144" s="8">
        <v>0.128099173553719</v>
      </c>
      <c r="AF144" s="8">
        <v>2.8925619834710741E-2</v>
      </c>
      <c r="AG144" s="8">
        <v>7</v>
      </c>
      <c r="AH144" s="8">
        <v>5</v>
      </c>
      <c r="AI144" s="8">
        <v>4</v>
      </c>
      <c r="AJ144" s="8">
        <v>3</v>
      </c>
      <c r="AK144" s="8">
        <v>2</v>
      </c>
      <c r="AL144" s="8">
        <v>7</v>
      </c>
      <c r="AM144" s="8">
        <v>3.71900826446281E-2</v>
      </c>
      <c r="AN144" s="8">
        <v>0.79</v>
      </c>
      <c r="AO144" s="8">
        <v>0</v>
      </c>
      <c r="AP144" s="8" t="s">
        <v>91</v>
      </c>
      <c r="AQ144" s="8">
        <v>80.900000000000006</v>
      </c>
      <c r="AR144" s="9">
        <v>0.73699999999999999</v>
      </c>
      <c r="AS144" s="9">
        <v>6.2E-2</v>
      </c>
      <c r="AT144" s="9">
        <v>0.28899999999999998</v>
      </c>
      <c r="AU144" s="8">
        <v>113</v>
      </c>
      <c r="AV144" s="9">
        <v>0.124</v>
      </c>
      <c r="AW144" s="8">
        <v>0.2308849557522123</v>
      </c>
      <c r="AX144" s="8">
        <v>35.712389380530958</v>
      </c>
      <c r="AY144" s="8">
        <v>0.1</v>
      </c>
      <c r="AZ144" s="9">
        <v>0.20699999999999999</v>
      </c>
      <c r="BA144" s="8">
        <v>0.05</v>
      </c>
      <c r="BB144" s="8">
        <v>6.02</v>
      </c>
      <c r="BC144" s="8">
        <v>9</v>
      </c>
      <c r="BD144" s="8">
        <v>41</v>
      </c>
      <c r="BE144" s="8">
        <v>18</v>
      </c>
      <c r="BF144" s="8">
        <v>28</v>
      </c>
      <c r="BG144" s="8">
        <v>84</v>
      </c>
      <c r="BH144" s="8">
        <v>0</v>
      </c>
      <c r="BI144" s="8">
        <v>82</v>
      </c>
      <c r="BJ144" s="9">
        <v>0.57799999999999996</v>
      </c>
      <c r="BK144" s="8">
        <v>1.1353416149068321</v>
      </c>
      <c r="BL144" s="8">
        <v>0.12</v>
      </c>
      <c r="BM144" s="8">
        <v>0.05</v>
      </c>
      <c r="BN144" s="8">
        <v>0.09</v>
      </c>
      <c r="BO144" s="9">
        <v>0.26900000000000002</v>
      </c>
      <c r="BP144" s="8">
        <v>2.4500000000000002</v>
      </c>
      <c r="BQ144" s="9">
        <v>0.83299999999999996</v>
      </c>
      <c r="BR144" s="8">
        <v>73</v>
      </c>
      <c r="BS144" s="8">
        <v>0</v>
      </c>
      <c r="BT144" s="9">
        <v>0</v>
      </c>
      <c r="BU144" s="8" t="s">
        <v>91</v>
      </c>
      <c r="BV144" s="8">
        <v>1.24</v>
      </c>
      <c r="BW144" s="8">
        <v>0.8</v>
      </c>
      <c r="BX144" s="8">
        <v>1.89</v>
      </c>
      <c r="BY144" s="9">
        <v>0.188</v>
      </c>
    </row>
    <row r="145" spans="2:77" ht="19.899999999999999" customHeight="1" x14ac:dyDescent="0.3">
      <c r="B145" s="8" t="s">
        <v>170</v>
      </c>
      <c r="C145" s="8">
        <v>8</v>
      </c>
      <c r="D145" s="8">
        <v>1.01</v>
      </c>
      <c r="E145" s="8">
        <v>179</v>
      </c>
      <c r="F145" s="8">
        <v>0.9</v>
      </c>
      <c r="G145" s="8">
        <v>1.0900000000000001</v>
      </c>
      <c r="H145" s="9">
        <v>0.246</v>
      </c>
      <c r="I145" s="9">
        <v>0.38600000000000001</v>
      </c>
      <c r="J145" s="8">
        <v>0.89</v>
      </c>
      <c r="K145" s="8">
        <v>1.22</v>
      </c>
      <c r="L145" s="8">
        <v>0.66</v>
      </c>
      <c r="M145" s="8">
        <v>69.3</v>
      </c>
      <c r="N145" s="8">
        <v>-0.59</v>
      </c>
      <c r="O145" s="8">
        <v>70.3</v>
      </c>
      <c r="P145" s="8">
        <v>0.67</v>
      </c>
      <c r="Q145" s="8">
        <v>0.67</v>
      </c>
      <c r="R145" s="8">
        <v>66.400000000000006</v>
      </c>
      <c r="S145" s="8">
        <v>0.99</v>
      </c>
      <c r="T145" s="8">
        <v>69.8</v>
      </c>
      <c r="U145" s="8">
        <v>0.68</v>
      </c>
      <c r="V145" s="8">
        <v>1</v>
      </c>
      <c r="W145" s="8">
        <v>0</v>
      </c>
      <c r="X145" s="8" t="s">
        <v>91</v>
      </c>
      <c r="Y145" s="8">
        <v>2</v>
      </c>
      <c r="Z145" s="8">
        <v>1.0900000000000001</v>
      </c>
      <c r="AA145" s="8">
        <v>6</v>
      </c>
      <c r="AB145" s="8">
        <v>0.89</v>
      </c>
      <c r="AC145" s="8">
        <v>9.4972067039106142E-2</v>
      </c>
      <c r="AD145" s="8">
        <v>0.45251396648044689</v>
      </c>
      <c r="AE145" s="8">
        <v>0.1787709497206704</v>
      </c>
      <c r="AF145" s="8">
        <v>3.9106145251396648E-2</v>
      </c>
      <c r="AG145" s="8">
        <v>5</v>
      </c>
      <c r="AH145" s="8">
        <v>3</v>
      </c>
      <c r="AI145" s="8">
        <v>3</v>
      </c>
      <c r="AJ145" s="8">
        <v>1</v>
      </c>
      <c r="AK145" s="8">
        <v>1</v>
      </c>
      <c r="AL145" s="8">
        <v>1</v>
      </c>
      <c r="AM145" s="8">
        <v>1.11731843575419E-2</v>
      </c>
      <c r="AN145" s="8">
        <v>0.92</v>
      </c>
      <c r="AO145" s="8">
        <v>0</v>
      </c>
      <c r="AP145" s="8" t="s">
        <v>91</v>
      </c>
      <c r="AQ145" s="8">
        <v>91.9</v>
      </c>
      <c r="AR145" s="9">
        <v>0.58799999999999997</v>
      </c>
      <c r="AS145" s="9">
        <v>5.3999999999999999E-2</v>
      </c>
      <c r="AT145" s="9">
        <v>0.22500000000000001</v>
      </c>
      <c r="AU145" s="8">
        <v>105</v>
      </c>
      <c r="AV145" s="9">
        <v>6.0999999999999999E-2</v>
      </c>
      <c r="AW145" s="8">
        <v>0.43434782608695638</v>
      </c>
      <c r="AX145" s="8">
        <v>49.873913043478247</v>
      </c>
      <c r="AY145" s="8">
        <v>0.16</v>
      </c>
      <c r="AZ145" s="9">
        <v>0.21</v>
      </c>
      <c r="BA145" s="8">
        <v>0.02</v>
      </c>
      <c r="BB145" s="8">
        <v>2.02</v>
      </c>
      <c r="BC145" s="8">
        <v>56</v>
      </c>
      <c r="BD145" s="8">
        <v>64</v>
      </c>
      <c r="BE145" s="8">
        <v>60</v>
      </c>
      <c r="BF145" s="8">
        <v>47</v>
      </c>
      <c r="BG145" s="8">
        <v>30</v>
      </c>
      <c r="BH145" s="8">
        <v>1</v>
      </c>
      <c r="BI145" s="8">
        <v>22</v>
      </c>
      <c r="BJ145" s="9">
        <v>0.58299999999999996</v>
      </c>
      <c r="BK145" s="8">
        <v>1.1587301587301591</v>
      </c>
      <c r="BL145" s="8">
        <v>0.14000000000000001</v>
      </c>
      <c r="BM145" s="8">
        <v>0.1</v>
      </c>
      <c r="BN145" s="8">
        <v>0.12</v>
      </c>
      <c r="BO145" s="9">
        <v>0.17899999999999999</v>
      </c>
      <c r="BP145" s="8">
        <v>2.34</v>
      </c>
      <c r="BQ145" s="9">
        <v>0</v>
      </c>
      <c r="BR145" s="8">
        <v>70</v>
      </c>
      <c r="BS145" s="8">
        <v>0.01</v>
      </c>
      <c r="BT145" s="9">
        <v>1.7000000000000001E-2</v>
      </c>
      <c r="BU145" s="9">
        <v>1.7000000000000001E-2</v>
      </c>
      <c r="BV145" s="8">
        <v>0</v>
      </c>
      <c r="BW145" s="8">
        <v>0.47</v>
      </c>
      <c r="BX145" s="8">
        <v>1.96</v>
      </c>
      <c r="BY145" s="9">
        <v>0.23300000000000001</v>
      </c>
    </row>
    <row r="146" spans="2:77" ht="19.899999999999999" customHeight="1" x14ac:dyDescent="0.3">
      <c r="B146" s="8" t="s">
        <v>171</v>
      </c>
      <c r="C146" s="8">
        <v>7</v>
      </c>
      <c r="D146" s="8">
        <v>1</v>
      </c>
      <c r="E146" s="8">
        <v>173</v>
      </c>
      <c r="F146" s="8">
        <v>1.05</v>
      </c>
      <c r="G146" s="8">
        <v>0.96</v>
      </c>
      <c r="H146" s="9">
        <v>0.191</v>
      </c>
      <c r="I146" s="9">
        <v>0.48499999999999999</v>
      </c>
      <c r="J146" s="8">
        <v>0.97</v>
      </c>
      <c r="K146" s="8">
        <v>0.81</v>
      </c>
      <c r="L146" s="8">
        <v>0.68</v>
      </c>
      <c r="M146" s="8">
        <v>74</v>
      </c>
      <c r="N146" s="8">
        <v>-0.2</v>
      </c>
      <c r="O146" s="8">
        <v>72.2</v>
      </c>
      <c r="P146" s="8">
        <v>0.65</v>
      </c>
      <c r="Q146" s="8">
        <v>0.69</v>
      </c>
      <c r="R146" s="8">
        <v>73.900000000000006</v>
      </c>
      <c r="S146" s="8">
        <v>0.95</v>
      </c>
      <c r="T146" s="8">
        <v>71.900000000000006</v>
      </c>
      <c r="U146" s="8">
        <v>0.65</v>
      </c>
      <c r="V146" s="8">
        <v>-5</v>
      </c>
      <c r="W146" s="8">
        <v>0</v>
      </c>
      <c r="X146" s="8" t="s">
        <v>91</v>
      </c>
      <c r="Y146" s="8">
        <v>0</v>
      </c>
      <c r="Z146" s="8" t="s">
        <v>91</v>
      </c>
      <c r="AA146" s="8">
        <v>0</v>
      </c>
      <c r="AB146" s="8" t="s">
        <v>91</v>
      </c>
      <c r="AC146" s="8">
        <v>9.2485549132947972E-2</v>
      </c>
      <c r="AD146" s="8">
        <v>0.4913294797687861</v>
      </c>
      <c r="AE146" s="8">
        <v>0.115606936416185</v>
      </c>
      <c r="AF146" s="8">
        <v>3.4682080924855488E-2</v>
      </c>
      <c r="AG146" s="8">
        <v>5</v>
      </c>
      <c r="AH146" s="8">
        <v>3</v>
      </c>
      <c r="AI146" s="8">
        <v>2</v>
      </c>
      <c r="AJ146" s="8">
        <v>2</v>
      </c>
      <c r="AK146" s="8">
        <v>1</v>
      </c>
      <c r="AL146" s="8">
        <v>1</v>
      </c>
      <c r="AM146" s="8">
        <v>1.15606936416185E-2</v>
      </c>
      <c r="AN146" s="8">
        <v>0.93</v>
      </c>
      <c r="AO146" s="8">
        <v>0</v>
      </c>
      <c r="AP146" s="8" t="s">
        <v>91</v>
      </c>
      <c r="AQ146" s="8">
        <v>99.9</v>
      </c>
      <c r="AR146" s="9">
        <v>0.68799999999999994</v>
      </c>
      <c r="AS146" s="9">
        <v>4.4999999999999998E-2</v>
      </c>
      <c r="AT146" s="9">
        <v>0.28599999999999998</v>
      </c>
      <c r="AU146" s="8">
        <v>112</v>
      </c>
      <c r="AV146" s="9">
        <v>9.1999999999999998E-2</v>
      </c>
      <c r="AW146" s="8">
        <v>0.3744318181818182</v>
      </c>
      <c r="AX146" s="8">
        <v>45.444318181818183</v>
      </c>
      <c r="AY146" s="8">
        <v>0.13</v>
      </c>
      <c r="AZ146" s="9">
        <v>0.19700000000000001</v>
      </c>
      <c r="BA146" s="8">
        <v>0.05</v>
      </c>
      <c r="BB146" s="8">
        <v>6.42</v>
      </c>
      <c r="BC146" s="8">
        <v>32</v>
      </c>
      <c r="BD146" s="8">
        <v>38</v>
      </c>
      <c r="BE146" s="8">
        <v>59</v>
      </c>
      <c r="BF146" s="8">
        <v>40</v>
      </c>
      <c r="BG146" s="8">
        <v>34</v>
      </c>
      <c r="BH146" s="8">
        <v>0</v>
      </c>
      <c r="BI146" s="8">
        <v>53</v>
      </c>
      <c r="BJ146" s="9">
        <v>0.625</v>
      </c>
      <c r="BK146" s="8">
        <v>1.266410256410256</v>
      </c>
      <c r="BL146" s="8">
        <v>0.13</v>
      </c>
      <c r="BM146" s="8">
        <v>0.13</v>
      </c>
      <c r="BN146" s="8">
        <v>7.0000000000000007E-2</v>
      </c>
      <c r="BO146" s="9">
        <v>0.185</v>
      </c>
      <c r="BP146" s="8">
        <v>2.84</v>
      </c>
      <c r="BQ146" s="8" t="s">
        <v>91</v>
      </c>
      <c r="BR146" s="8">
        <v>69</v>
      </c>
      <c r="BS146" s="8">
        <v>0</v>
      </c>
      <c r="BT146" s="9">
        <v>0</v>
      </c>
      <c r="BU146" s="8" t="s">
        <v>91</v>
      </c>
      <c r="BV146" s="8">
        <v>0</v>
      </c>
      <c r="BW146" s="8">
        <v>0.38</v>
      </c>
      <c r="BX146" s="8">
        <v>2.52</v>
      </c>
      <c r="BY146" s="9">
        <v>0.20499999999999999</v>
      </c>
    </row>
    <row r="147" spans="2:77" ht="19.899999999999999" customHeight="1" x14ac:dyDescent="0.3">
      <c r="B147" s="8" t="s">
        <v>172</v>
      </c>
      <c r="C147" s="8">
        <v>14</v>
      </c>
      <c r="D147" s="8">
        <v>1</v>
      </c>
      <c r="E147" s="8">
        <v>323</v>
      </c>
      <c r="F147" s="8">
        <v>0.88</v>
      </c>
      <c r="G147" s="8">
        <v>1.1200000000000001</v>
      </c>
      <c r="H147" s="9">
        <v>0.28199999999999997</v>
      </c>
      <c r="I147" s="9">
        <v>0.46200000000000002</v>
      </c>
      <c r="J147" s="8">
        <v>1.06</v>
      </c>
      <c r="K147" s="8">
        <v>0.69</v>
      </c>
      <c r="L147" s="8">
        <v>0.65</v>
      </c>
      <c r="M147" s="8">
        <v>73.7</v>
      </c>
      <c r="N147" s="8">
        <v>-0.4</v>
      </c>
      <c r="O147" s="8">
        <v>73.5</v>
      </c>
      <c r="P147" s="8">
        <v>0.62</v>
      </c>
      <c r="Q147" s="8">
        <v>0.68</v>
      </c>
      <c r="R147" s="8">
        <v>69.7</v>
      </c>
      <c r="S147" s="8">
        <v>0.91</v>
      </c>
      <c r="T147" s="8">
        <v>72.900000000000006</v>
      </c>
      <c r="U147" s="8">
        <v>0.62</v>
      </c>
      <c r="V147" s="8">
        <v>-10</v>
      </c>
      <c r="W147" s="8">
        <v>0</v>
      </c>
      <c r="X147" s="8" t="s">
        <v>91</v>
      </c>
      <c r="Y147" s="8">
        <v>2</v>
      </c>
      <c r="Z147" s="8">
        <v>0.95</v>
      </c>
      <c r="AA147" s="8">
        <v>5</v>
      </c>
      <c r="AB147" s="8">
        <v>1.18</v>
      </c>
      <c r="AC147" s="8">
        <v>0.13003095975232201</v>
      </c>
      <c r="AD147" s="8">
        <v>0.44272445820433443</v>
      </c>
      <c r="AE147" s="8">
        <v>0.14551083591331271</v>
      </c>
      <c r="AF147" s="8">
        <v>2.7863777089783281E-2</v>
      </c>
      <c r="AG147" s="8">
        <v>10</v>
      </c>
      <c r="AH147" s="8">
        <v>7</v>
      </c>
      <c r="AI147" s="8">
        <v>5</v>
      </c>
      <c r="AJ147" s="8">
        <v>2</v>
      </c>
      <c r="AK147" s="8">
        <v>0</v>
      </c>
      <c r="AL147" s="8">
        <v>1</v>
      </c>
      <c r="AM147" s="8">
        <v>3.095975232198143E-3</v>
      </c>
      <c r="AN147" s="8">
        <v>0.84</v>
      </c>
      <c r="AO147" s="8">
        <v>0</v>
      </c>
      <c r="AP147" s="8" t="s">
        <v>91</v>
      </c>
      <c r="AQ147" s="8">
        <v>100.5</v>
      </c>
      <c r="AR147" s="9">
        <v>0.81</v>
      </c>
      <c r="AS147" s="9">
        <v>6.7000000000000004E-2</v>
      </c>
      <c r="AT147" s="9">
        <v>0.215</v>
      </c>
      <c r="AU147" s="8">
        <v>119</v>
      </c>
      <c r="AV147" s="9">
        <v>4.2999999999999997E-2</v>
      </c>
      <c r="AW147" s="8">
        <v>0.31170370370370382</v>
      </c>
      <c r="AX147" s="8">
        <v>35.9</v>
      </c>
      <c r="AY147" s="8">
        <v>0.1</v>
      </c>
      <c r="AZ147" s="9">
        <v>0.22900000000000001</v>
      </c>
      <c r="BA147" s="8">
        <v>0.03</v>
      </c>
      <c r="BB147" s="8">
        <v>3.91</v>
      </c>
      <c r="BC147" s="8">
        <v>40</v>
      </c>
      <c r="BD147" s="8">
        <v>61</v>
      </c>
      <c r="BE147" s="8">
        <v>9</v>
      </c>
      <c r="BF147" s="8">
        <v>82</v>
      </c>
      <c r="BG147" s="8">
        <v>19</v>
      </c>
      <c r="BH147" s="8">
        <v>1</v>
      </c>
      <c r="BI147" s="8">
        <v>37</v>
      </c>
      <c r="BJ147" s="9">
        <v>0.66500000000000004</v>
      </c>
      <c r="BK147" s="8">
        <v>1.0452662721893491</v>
      </c>
      <c r="BL147" s="8">
        <v>0.15</v>
      </c>
      <c r="BM147" s="8">
        <v>7.0000000000000007E-2</v>
      </c>
      <c r="BN147" s="8">
        <v>0.09</v>
      </c>
      <c r="BO147" s="9">
        <v>0.22</v>
      </c>
      <c r="BP147" s="8">
        <v>2.42</v>
      </c>
      <c r="BQ147" s="9">
        <v>0.5</v>
      </c>
      <c r="BR147" s="8">
        <v>69</v>
      </c>
      <c r="BS147" s="8">
        <v>0.01</v>
      </c>
      <c r="BT147" s="9">
        <v>1.4999999999999999E-2</v>
      </c>
      <c r="BU147" s="9">
        <v>6.0000000000000001E-3</v>
      </c>
      <c r="BV147" s="8">
        <v>0.62</v>
      </c>
      <c r="BW147" s="8">
        <v>0.46</v>
      </c>
      <c r="BX147" s="8">
        <v>1.76</v>
      </c>
      <c r="BY147" s="9">
        <v>0.155</v>
      </c>
    </row>
    <row r="148" spans="2:77" ht="19.899999999999999" customHeight="1" x14ac:dyDescent="0.3">
      <c r="B148" s="8" t="s">
        <v>173</v>
      </c>
      <c r="C148" s="8">
        <v>7</v>
      </c>
      <c r="D148" s="8">
        <v>1</v>
      </c>
      <c r="E148" s="8">
        <v>138</v>
      </c>
      <c r="F148" s="8">
        <v>1.1499999999999999</v>
      </c>
      <c r="G148" s="8">
        <v>0.85</v>
      </c>
      <c r="H148" s="9">
        <v>0.159</v>
      </c>
      <c r="I148" s="9">
        <v>0.59099999999999997</v>
      </c>
      <c r="J148" s="8">
        <v>1.03</v>
      </c>
      <c r="K148" s="8">
        <v>1.31</v>
      </c>
      <c r="L148" s="8">
        <v>0.59</v>
      </c>
      <c r="M148" s="8">
        <v>73.900000000000006</v>
      </c>
      <c r="N148" s="8">
        <v>0.87</v>
      </c>
      <c r="O148" s="8">
        <v>62</v>
      </c>
      <c r="P148" s="8">
        <v>0.56999999999999995</v>
      </c>
      <c r="Q148" s="8">
        <v>0.6</v>
      </c>
      <c r="R148" s="8">
        <v>71.099999999999994</v>
      </c>
      <c r="S148" s="8">
        <v>0.76</v>
      </c>
      <c r="T148" s="8">
        <v>60.7</v>
      </c>
      <c r="U148" s="8">
        <v>0.55000000000000004</v>
      </c>
      <c r="V148" s="8">
        <v>-2</v>
      </c>
      <c r="W148" s="8">
        <v>0</v>
      </c>
      <c r="X148" s="8" t="s">
        <v>91</v>
      </c>
      <c r="Y148" s="8">
        <v>0</v>
      </c>
      <c r="Z148" s="8" t="s">
        <v>91</v>
      </c>
      <c r="AA148" s="8">
        <v>4</v>
      </c>
      <c r="AB148" s="8">
        <v>0.91</v>
      </c>
      <c r="AC148" s="8">
        <v>9.420289855072464E-2</v>
      </c>
      <c r="AD148" s="8">
        <v>0.42028985507246369</v>
      </c>
      <c r="AE148" s="8">
        <v>0.13043478260869559</v>
      </c>
      <c r="AF148" s="8">
        <v>2.1739130434782612E-2</v>
      </c>
      <c r="AG148" s="8">
        <v>4</v>
      </c>
      <c r="AH148" s="8">
        <v>4</v>
      </c>
      <c r="AI148" s="8">
        <v>4</v>
      </c>
      <c r="AJ148" s="8">
        <v>3</v>
      </c>
      <c r="AK148" s="8">
        <v>1</v>
      </c>
      <c r="AL148" s="8">
        <v>1</v>
      </c>
      <c r="AM148" s="8">
        <v>7.246376811594203E-3</v>
      </c>
      <c r="AN148" s="8">
        <v>0.8</v>
      </c>
      <c r="AO148" s="8">
        <v>0</v>
      </c>
      <c r="AP148" s="8" t="s">
        <v>91</v>
      </c>
      <c r="AQ148" s="8">
        <v>81.5</v>
      </c>
      <c r="AR148" s="9">
        <v>0.84599999999999997</v>
      </c>
      <c r="AS148" s="9">
        <v>0.153</v>
      </c>
      <c r="AT148" s="9">
        <v>0.27800000000000002</v>
      </c>
      <c r="AU148" s="8">
        <v>108</v>
      </c>
      <c r="AV148" s="9">
        <v>8.6999999999999994E-2</v>
      </c>
      <c r="AW148" s="8">
        <v>0.26779661016949152</v>
      </c>
      <c r="AX148" s="8">
        <v>35.889830508474567</v>
      </c>
      <c r="AY148" s="8">
        <v>0.11</v>
      </c>
      <c r="AZ148" s="9">
        <v>0.222</v>
      </c>
      <c r="BA148" s="8">
        <v>0.04</v>
      </c>
      <c r="BB148" s="8">
        <v>3.01</v>
      </c>
      <c r="BC148" s="8">
        <v>14</v>
      </c>
      <c r="BD148" s="8">
        <v>46</v>
      </c>
      <c r="BE148" s="8">
        <v>42</v>
      </c>
      <c r="BF148" s="8">
        <v>46</v>
      </c>
      <c r="BG148" s="8">
        <v>28</v>
      </c>
      <c r="BH148" s="8">
        <v>0</v>
      </c>
      <c r="BI148" s="8">
        <v>20</v>
      </c>
      <c r="BJ148" s="9">
        <v>0.64600000000000002</v>
      </c>
      <c r="BK148" s="8">
        <v>1.1972448979591841</v>
      </c>
      <c r="BL148" s="8">
        <v>0.13</v>
      </c>
      <c r="BM148" s="8">
        <v>0.12</v>
      </c>
      <c r="BN148" s="8">
        <v>0.08</v>
      </c>
      <c r="BO148" s="9">
        <v>0.28299999999999997</v>
      </c>
      <c r="BP148" s="8">
        <v>2.21</v>
      </c>
      <c r="BQ148" s="9">
        <v>1</v>
      </c>
      <c r="BR148" s="8">
        <v>75</v>
      </c>
      <c r="BS148" s="8">
        <v>0</v>
      </c>
      <c r="BT148" s="9">
        <v>0</v>
      </c>
      <c r="BU148" s="8" t="s">
        <v>91</v>
      </c>
      <c r="BV148" s="8">
        <v>0</v>
      </c>
      <c r="BW148" s="8">
        <v>0.28999999999999998</v>
      </c>
      <c r="BX148" s="8">
        <v>2.2000000000000002</v>
      </c>
      <c r="BY148" s="9">
        <v>0.19</v>
      </c>
    </row>
    <row r="149" spans="2:77" ht="19.899999999999999" customHeight="1" x14ac:dyDescent="0.3">
      <c r="B149" s="8" t="s">
        <v>174</v>
      </c>
      <c r="C149" s="8">
        <v>5</v>
      </c>
      <c r="D149" s="8">
        <v>1</v>
      </c>
      <c r="E149" s="8">
        <v>116</v>
      </c>
      <c r="F149" s="8">
        <v>0.96</v>
      </c>
      <c r="G149" s="8">
        <v>1.04</v>
      </c>
      <c r="H149" s="9">
        <v>0.216</v>
      </c>
      <c r="I149" s="9">
        <v>0.44</v>
      </c>
      <c r="J149" s="8">
        <v>0.94</v>
      </c>
      <c r="K149" s="8">
        <v>2.52</v>
      </c>
      <c r="L149" s="8">
        <v>0.66</v>
      </c>
      <c r="M149" s="8">
        <v>70.7</v>
      </c>
      <c r="N149" s="8">
        <v>-1.89</v>
      </c>
      <c r="O149" s="8">
        <v>73.900000000000006</v>
      </c>
      <c r="P149" s="8">
        <v>0.67</v>
      </c>
      <c r="Q149" s="8">
        <v>0.68</v>
      </c>
      <c r="R149" s="8">
        <v>69.3</v>
      </c>
      <c r="S149" s="8">
        <v>1.1000000000000001</v>
      </c>
      <c r="T149" s="8">
        <v>75.400000000000006</v>
      </c>
      <c r="U149" s="8">
        <v>0.69</v>
      </c>
      <c r="V149" s="8">
        <v>1</v>
      </c>
      <c r="W149" s="8">
        <v>0</v>
      </c>
      <c r="X149" s="8" t="s">
        <v>91</v>
      </c>
      <c r="Y149" s="8">
        <v>0</v>
      </c>
      <c r="Z149" s="8" t="s">
        <v>91</v>
      </c>
      <c r="AA149" s="8">
        <v>4</v>
      </c>
      <c r="AB149" s="8">
        <v>1.01</v>
      </c>
      <c r="AC149" s="8">
        <v>9.4827586206896547E-2</v>
      </c>
      <c r="AD149" s="8">
        <v>0.44827586206896552</v>
      </c>
      <c r="AE149" s="8">
        <v>0.15517241379310351</v>
      </c>
      <c r="AF149" s="8">
        <v>6.0344827586206899E-2</v>
      </c>
      <c r="AG149" s="8">
        <v>3</v>
      </c>
      <c r="AH149" s="8">
        <v>2</v>
      </c>
      <c r="AI149" s="8">
        <v>1</v>
      </c>
      <c r="AJ149" s="8">
        <v>1</v>
      </c>
      <c r="AK149" s="8">
        <v>1</v>
      </c>
      <c r="AL149" s="8">
        <v>2</v>
      </c>
      <c r="AM149" s="8">
        <v>2.5862068965517241E-2</v>
      </c>
      <c r="AN149" s="8">
        <v>0.98</v>
      </c>
      <c r="AO149" s="8">
        <v>0</v>
      </c>
      <c r="AP149" s="8" t="s">
        <v>91</v>
      </c>
      <c r="AQ149" s="8">
        <v>100.9</v>
      </c>
      <c r="AR149" s="9">
        <v>0.54500000000000004</v>
      </c>
      <c r="AS149" s="9">
        <v>9.0999999999999998E-2</v>
      </c>
      <c r="AT149" s="9">
        <v>0.29499999999999998</v>
      </c>
      <c r="AU149" s="8">
        <v>110</v>
      </c>
      <c r="AV149" s="9">
        <v>0.10299999999999999</v>
      </c>
      <c r="AW149" s="8">
        <v>0.43939393939393939</v>
      </c>
      <c r="AX149" s="8">
        <v>53.445454545454567</v>
      </c>
      <c r="AY149" s="8">
        <v>0.15</v>
      </c>
      <c r="AZ149" s="9">
        <v>0.182</v>
      </c>
      <c r="BA149" s="8">
        <v>0.05</v>
      </c>
      <c r="BB149" s="8">
        <v>5.26</v>
      </c>
      <c r="BC149" s="8">
        <v>53</v>
      </c>
      <c r="BD149" s="8">
        <v>29</v>
      </c>
      <c r="BE149" s="8">
        <v>59</v>
      </c>
      <c r="BF149" s="8">
        <v>42</v>
      </c>
      <c r="BG149" s="8">
        <v>63</v>
      </c>
      <c r="BH149" s="8">
        <v>6</v>
      </c>
      <c r="BI149" s="8">
        <v>76</v>
      </c>
      <c r="BJ149" s="9">
        <v>0.67900000000000005</v>
      </c>
      <c r="BK149" s="8">
        <v>1.62</v>
      </c>
      <c r="BL149" s="8">
        <v>0.12</v>
      </c>
      <c r="BM149" s="8">
        <v>0.1</v>
      </c>
      <c r="BN149" s="8">
        <v>0.08</v>
      </c>
      <c r="BO149" s="9">
        <v>0.19</v>
      </c>
      <c r="BP149" s="8">
        <v>2.41</v>
      </c>
      <c r="BQ149" s="9">
        <v>0.5</v>
      </c>
      <c r="BR149" s="8">
        <v>71</v>
      </c>
      <c r="BS149" s="8">
        <v>0.05</v>
      </c>
      <c r="BT149" s="9">
        <v>7.6999999999999999E-2</v>
      </c>
      <c r="BU149" s="9">
        <v>3.4000000000000002E-2</v>
      </c>
      <c r="BV149" s="8">
        <v>1.72</v>
      </c>
      <c r="BW149" s="8">
        <v>0.73</v>
      </c>
      <c r="BX149" s="8">
        <v>1.92</v>
      </c>
      <c r="BY149" s="9">
        <v>0.218</v>
      </c>
    </row>
    <row r="150" spans="2:77" ht="19.899999999999999" customHeight="1" x14ac:dyDescent="0.3">
      <c r="B150" s="8" t="s">
        <v>175</v>
      </c>
      <c r="C150" s="8">
        <v>11</v>
      </c>
      <c r="D150" s="8">
        <v>0.99</v>
      </c>
      <c r="E150" s="8">
        <v>261</v>
      </c>
      <c r="F150" s="8">
        <v>1.01</v>
      </c>
      <c r="G150" s="8">
        <v>0.98</v>
      </c>
      <c r="H150" s="9">
        <v>0.16900000000000001</v>
      </c>
      <c r="I150" s="9">
        <v>0.59099999999999997</v>
      </c>
      <c r="J150" s="8">
        <v>1.05</v>
      </c>
      <c r="K150" s="8">
        <v>0.83</v>
      </c>
      <c r="L150" s="8">
        <v>0.63</v>
      </c>
      <c r="M150" s="8">
        <v>69.7</v>
      </c>
      <c r="N150" s="8">
        <v>-7.0000000000000007E-2</v>
      </c>
      <c r="O150" s="8">
        <v>66.8</v>
      </c>
      <c r="P150" s="8">
        <v>0.69</v>
      </c>
      <c r="Q150" s="8">
        <v>0.69</v>
      </c>
      <c r="R150" s="8">
        <v>69.900000000000006</v>
      </c>
      <c r="S150" s="8">
        <v>1.02</v>
      </c>
      <c r="T150" s="8">
        <v>66.3</v>
      </c>
      <c r="U150" s="8">
        <v>0.66</v>
      </c>
      <c r="V150" s="8">
        <v>15</v>
      </c>
      <c r="W150" s="8">
        <v>0</v>
      </c>
      <c r="X150" s="8" t="s">
        <v>91</v>
      </c>
      <c r="Y150" s="8">
        <v>1</v>
      </c>
      <c r="Z150" s="8">
        <v>0.93</v>
      </c>
      <c r="AA150" s="8">
        <v>6</v>
      </c>
      <c r="AB150" s="8">
        <v>0.98</v>
      </c>
      <c r="AC150" s="8">
        <v>9.9616858237547887E-2</v>
      </c>
      <c r="AD150" s="8">
        <v>0.46360153256704978</v>
      </c>
      <c r="AE150" s="8">
        <v>0.18007662835249039</v>
      </c>
      <c r="AF150" s="8">
        <v>4.2145593869731802E-2</v>
      </c>
      <c r="AG150" s="8">
        <v>9</v>
      </c>
      <c r="AH150" s="8">
        <v>6</v>
      </c>
      <c r="AI150" s="8">
        <v>1</v>
      </c>
      <c r="AJ150" s="8">
        <v>0</v>
      </c>
      <c r="AK150" s="8">
        <v>0</v>
      </c>
      <c r="AL150" s="8">
        <v>2</v>
      </c>
      <c r="AM150" s="8">
        <v>7.6628352490421452E-3</v>
      </c>
      <c r="AN150" s="8">
        <v>0.96</v>
      </c>
      <c r="AO150" s="8">
        <v>0</v>
      </c>
      <c r="AP150" s="8" t="s">
        <v>91</v>
      </c>
      <c r="AQ150" s="8">
        <v>89.8</v>
      </c>
      <c r="AR150" s="9">
        <v>0.73099999999999998</v>
      </c>
      <c r="AS150" s="9">
        <v>0.111</v>
      </c>
      <c r="AT150" s="9">
        <v>0.311</v>
      </c>
      <c r="AU150" s="8">
        <v>97</v>
      </c>
      <c r="AV150" s="9">
        <v>0.153</v>
      </c>
      <c r="AW150" s="8">
        <v>0.43733333333333341</v>
      </c>
      <c r="AX150" s="8">
        <v>45.333333333333343</v>
      </c>
      <c r="AY150" s="8">
        <v>0.12</v>
      </c>
      <c r="AZ150" s="9">
        <v>0.2</v>
      </c>
      <c r="BA150" s="8">
        <v>0.1</v>
      </c>
      <c r="BB150" s="8">
        <v>2.2599999999999998</v>
      </c>
      <c r="BC150" s="8">
        <v>54</v>
      </c>
      <c r="BD150" s="8">
        <v>40</v>
      </c>
      <c r="BE150" s="8">
        <v>32</v>
      </c>
      <c r="BF150" s="8">
        <v>48</v>
      </c>
      <c r="BG150" s="8">
        <v>39</v>
      </c>
      <c r="BH150" s="8">
        <v>95</v>
      </c>
      <c r="BI150" s="8">
        <v>60</v>
      </c>
      <c r="BJ150" s="9">
        <v>0.26700000000000002</v>
      </c>
      <c r="BK150" s="8">
        <v>1.0765625000000001</v>
      </c>
      <c r="BL150" s="8">
        <v>0.13</v>
      </c>
      <c r="BM150" s="8">
        <v>0.09</v>
      </c>
      <c r="BN150" s="8">
        <v>0.1</v>
      </c>
      <c r="BO150" s="9">
        <v>0.17199999999999999</v>
      </c>
      <c r="BP150" s="8">
        <v>1.9</v>
      </c>
      <c r="BQ150" s="9">
        <v>0.5</v>
      </c>
      <c r="BR150" s="8">
        <v>76</v>
      </c>
      <c r="BS150" s="8">
        <v>0.42</v>
      </c>
      <c r="BT150" s="9">
        <v>0.60599999999999998</v>
      </c>
      <c r="BU150" s="9">
        <v>0.33300000000000002</v>
      </c>
      <c r="BV150" s="8">
        <v>0.38</v>
      </c>
      <c r="BW150" s="8">
        <v>0.81</v>
      </c>
      <c r="BX150" s="8">
        <v>2.81</v>
      </c>
      <c r="BY150" s="9">
        <v>0.17799999999999999</v>
      </c>
    </row>
    <row r="151" spans="2:77" ht="19.899999999999999" customHeight="1" x14ac:dyDescent="0.3">
      <c r="B151" s="8" t="s">
        <v>176</v>
      </c>
      <c r="C151" s="8">
        <v>11</v>
      </c>
      <c r="D151" s="8">
        <v>0.99</v>
      </c>
      <c r="E151" s="8">
        <v>261</v>
      </c>
      <c r="F151" s="8">
        <v>1.07</v>
      </c>
      <c r="G151" s="8">
        <v>0.9</v>
      </c>
      <c r="H151" s="9">
        <v>0.157</v>
      </c>
      <c r="I151" s="9">
        <v>0.51200000000000001</v>
      </c>
      <c r="J151" s="8">
        <v>0.94</v>
      </c>
      <c r="K151" s="8">
        <v>0.97</v>
      </c>
      <c r="L151" s="8">
        <v>0.66</v>
      </c>
      <c r="M151" s="8">
        <v>76.2</v>
      </c>
      <c r="N151" s="8">
        <v>-0.77</v>
      </c>
      <c r="O151" s="8">
        <v>66.599999999999994</v>
      </c>
      <c r="P151" s="8">
        <v>0.61</v>
      </c>
      <c r="Q151" s="8">
        <v>0.68</v>
      </c>
      <c r="R151" s="8">
        <v>72.8</v>
      </c>
      <c r="S151" s="8">
        <v>1.02</v>
      </c>
      <c r="T151" s="8">
        <v>68.5</v>
      </c>
      <c r="U151" s="8">
        <v>0.65</v>
      </c>
      <c r="V151" s="8">
        <v>-13</v>
      </c>
      <c r="W151" s="8">
        <v>0</v>
      </c>
      <c r="X151" s="8" t="s">
        <v>91</v>
      </c>
      <c r="Y151" s="8">
        <v>1</v>
      </c>
      <c r="Z151" s="8">
        <v>1.05</v>
      </c>
      <c r="AA151" s="8">
        <v>6</v>
      </c>
      <c r="AB151" s="8">
        <v>1.07</v>
      </c>
      <c r="AC151" s="8">
        <v>8.0459770114942528E-2</v>
      </c>
      <c r="AD151" s="8">
        <v>0.43678160919540232</v>
      </c>
      <c r="AE151" s="8">
        <v>0.13409961685823751</v>
      </c>
      <c r="AF151" s="8">
        <v>3.4482758620689648E-2</v>
      </c>
      <c r="AG151" s="8">
        <v>9</v>
      </c>
      <c r="AH151" s="8">
        <v>6</v>
      </c>
      <c r="AI151" s="8">
        <v>5</v>
      </c>
      <c r="AJ151" s="8">
        <v>0</v>
      </c>
      <c r="AK151" s="8">
        <v>0</v>
      </c>
      <c r="AL151" s="8">
        <v>4</v>
      </c>
      <c r="AM151" s="8">
        <v>3.0651340996168581E-2</v>
      </c>
      <c r="AN151" s="8">
        <v>0.84</v>
      </c>
      <c r="AO151" s="8">
        <v>0</v>
      </c>
      <c r="AP151" s="8" t="s">
        <v>91</v>
      </c>
      <c r="AQ151" s="8">
        <v>78.7</v>
      </c>
      <c r="AR151" s="9">
        <v>0.81</v>
      </c>
      <c r="AS151" s="9">
        <v>9.6000000000000002E-2</v>
      </c>
      <c r="AT151" s="9">
        <v>0.32100000000000001</v>
      </c>
      <c r="AU151" s="8">
        <v>109</v>
      </c>
      <c r="AV151" s="9">
        <v>5.3999999999999999E-2</v>
      </c>
      <c r="AW151" s="8">
        <v>0.39377777777777778</v>
      </c>
      <c r="AX151" s="8">
        <v>55.306666666666651</v>
      </c>
      <c r="AY151" s="8">
        <v>0.16</v>
      </c>
      <c r="AZ151" s="9">
        <v>0.26700000000000002</v>
      </c>
      <c r="BA151" s="8">
        <v>0.05</v>
      </c>
      <c r="BB151" s="8">
        <v>2.98</v>
      </c>
      <c r="BC151" s="8">
        <v>23</v>
      </c>
      <c r="BD151" s="8">
        <v>76</v>
      </c>
      <c r="BE151" s="8">
        <v>79</v>
      </c>
      <c r="BF151" s="8">
        <v>32</v>
      </c>
      <c r="BG151" s="8">
        <v>65</v>
      </c>
      <c r="BH151" s="8">
        <v>2</v>
      </c>
      <c r="BI151" s="8">
        <v>34</v>
      </c>
      <c r="BJ151" s="9">
        <v>0.52200000000000002</v>
      </c>
      <c r="BK151" s="8">
        <v>1.034875</v>
      </c>
      <c r="BL151" s="8">
        <v>0.18</v>
      </c>
      <c r="BM151" s="8">
        <v>0.11</v>
      </c>
      <c r="BN151" s="8">
        <v>0.09</v>
      </c>
      <c r="BO151" s="9">
        <v>0.28000000000000003</v>
      </c>
      <c r="BP151" s="8">
        <v>2.4900000000000002</v>
      </c>
      <c r="BQ151" s="9">
        <v>0.66700000000000004</v>
      </c>
      <c r="BR151" s="8">
        <v>73</v>
      </c>
      <c r="BS151" s="8">
        <v>0.02</v>
      </c>
      <c r="BT151" s="9">
        <v>3.1E-2</v>
      </c>
      <c r="BU151" s="9">
        <v>8.0000000000000002E-3</v>
      </c>
      <c r="BV151" s="8">
        <v>1.1499999999999999</v>
      </c>
      <c r="BW151" s="8">
        <v>0.41</v>
      </c>
      <c r="BX151" s="8">
        <v>2.5499999999999998</v>
      </c>
      <c r="BY151" s="9">
        <v>0.25800000000000001</v>
      </c>
    </row>
    <row r="152" spans="2:77" ht="19.899999999999999" customHeight="1" x14ac:dyDescent="0.3">
      <c r="B152" s="8" t="s">
        <v>177</v>
      </c>
      <c r="C152" s="8">
        <v>15</v>
      </c>
      <c r="D152" s="8">
        <v>0.99</v>
      </c>
      <c r="E152" s="8">
        <v>345</v>
      </c>
      <c r="F152" s="8">
        <v>0.92</v>
      </c>
      <c r="G152" s="8">
        <v>1.05</v>
      </c>
      <c r="H152" s="9">
        <v>0.191</v>
      </c>
      <c r="I152" s="9">
        <v>0.621</v>
      </c>
      <c r="J152" s="8">
        <v>1.1399999999999999</v>
      </c>
      <c r="K152" s="8">
        <v>0.79</v>
      </c>
      <c r="L152" s="8">
        <v>0.56000000000000005</v>
      </c>
      <c r="M152" s="8">
        <v>72.5</v>
      </c>
      <c r="N152" s="8">
        <v>0.17</v>
      </c>
      <c r="O152" s="8">
        <v>67.8</v>
      </c>
      <c r="P152" s="8">
        <v>0.63</v>
      </c>
      <c r="Q152" s="8">
        <v>0.61</v>
      </c>
      <c r="R152" s="8">
        <v>67.099999999999994</v>
      </c>
      <c r="S152" s="8">
        <v>0.97</v>
      </c>
      <c r="T152" s="8">
        <v>65.099999999999994</v>
      </c>
      <c r="U152" s="8">
        <v>0.57999999999999996</v>
      </c>
      <c r="V152" s="8">
        <v>25</v>
      </c>
      <c r="W152" s="8">
        <v>0</v>
      </c>
      <c r="X152" s="8" t="s">
        <v>91</v>
      </c>
      <c r="Y152" s="8">
        <v>0</v>
      </c>
      <c r="Z152" s="8" t="s">
        <v>91</v>
      </c>
      <c r="AA152" s="8">
        <v>6</v>
      </c>
      <c r="AB152" s="8">
        <v>0.99</v>
      </c>
      <c r="AC152" s="8">
        <v>0.1188405797101449</v>
      </c>
      <c r="AD152" s="8">
        <v>0.44057971014492753</v>
      </c>
      <c r="AE152" s="8">
        <v>0.1391304347826087</v>
      </c>
      <c r="AF152" s="8">
        <v>3.4782608695652167E-2</v>
      </c>
      <c r="AG152" s="8">
        <v>10</v>
      </c>
      <c r="AH152" s="8">
        <v>7</v>
      </c>
      <c r="AI152" s="8">
        <v>3</v>
      </c>
      <c r="AJ152" s="8">
        <v>2</v>
      </c>
      <c r="AK152" s="8">
        <v>2</v>
      </c>
      <c r="AL152" s="8">
        <v>5</v>
      </c>
      <c r="AM152" s="8">
        <v>4.0579710144927533E-2</v>
      </c>
      <c r="AN152" s="8">
        <v>0.81</v>
      </c>
      <c r="AO152" s="8">
        <v>0</v>
      </c>
      <c r="AP152" s="8" t="s">
        <v>91</v>
      </c>
      <c r="AQ152" s="8">
        <v>85</v>
      </c>
      <c r="AR152" s="9">
        <v>0.65900000000000003</v>
      </c>
      <c r="AS152" s="9">
        <v>0.20699999999999999</v>
      </c>
      <c r="AT152" s="9">
        <v>0.17499999999999999</v>
      </c>
      <c r="AU152" s="8">
        <v>108</v>
      </c>
      <c r="AV152" s="9">
        <v>0.18</v>
      </c>
      <c r="AW152" s="8">
        <v>0.42920731707317072</v>
      </c>
      <c r="AX152" s="8">
        <v>48.81707317073171</v>
      </c>
      <c r="AY152" s="8">
        <v>0.1</v>
      </c>
      <c r="AZ152" s="9">
        <v>0.14599999999999999</v>
      </c>
      <c r="BA152" s="8">
        <v>0.06</v>
      </c>
      <c r="BB152" s="8">
        <v>2.98</v>
      </c>
      <c r="BC152" s="8">
        <v>29</v>
      </c>
      <c r="BD152" s="8">
        <v>8</v>
      </c>
      <c r="BE152" s="8">
        <v>11</v>
      </c>
      <c r="BF152" s="8">
        <v>64</v>
      </c>
      <c r="BG152" s="8">
        <v>92</v>
      </c>
      <c r="BH152" s="8">
        <v>95</v>
      </c>
      <c r="BI152" s="8">
        <v>61</v>
      </c>
      <c r="BJ152" s="9">
        <v>0.23499999999999999</v>
      </c>
      <c r="BK152" s="8">
        <v>1.1922222222222221</v>
      </c>
      <c r="BL152" s="8">
        <v>0.08</v>
      </c>
      <c r="BM152" s="8">
        <v>0.08</v>
      </c>
      <c r="BN152" s="8">
        <v>0.08</v>
      </c>
      <c r="BO152" s="9">
        <v>0.23499999999999999</v>
      </c>
      <c r="BP152" s="8">
        <v>1.66</v>
      </c>
      <c r="BQ152" s="9">
        <v>0.33300000000000002</v>
      </c>
      <c r="BR152" s="8">
        <v>86</v>
      </c>
      <c r="BS152" s="8">
        <v>0.41</v>
      </c>
      <c r="BT152" s="9">
        <v>0.65900000000000003</v>
      </c>
      <c r="BU152" s="9">
        <v>0.4</v>
      </c>
      <c r="BV152" s="8">
        <v>0.28999999999999998</v>
      </c>
      <c r="BW152" s="8">
        <v>0.79</v>
      </c>
      <c r="BX152" s="8">
        <v>2.72</v>
      </c>
      <c r="BY152" s="9">
        <v>0.157</v>
      </c>
    </row>
    <row r="153" spans="2:77" ht="19.899999999999999" customHeight="1" x14ac:dyDescent="0.3">
      <c r="B153" s="8" t="s">
        <v>178</v>
      </c>
      <c r="C153" s="8">
        <v>7</v>
      </c>
      <c r="D153" s="8">
        <v>0.98</v>
      </c>
      <c r="E153" s="8">
        <v>173</v>
      </c>
      <c r="F153" s="8">
        <v>1</v>
      </c>
      <c r="G153" s="8">
        <v>0.96</v>
      </c>
      <c r="H153" s="9">
        <v>0.191</v>
      </c>
      <c r="I153" s="9">
        <v>0.54500000000000004</v>
      </c>
      <c r="J153" s="8">
        <v>1.04</v>
      </c>
      <c r="K153" s="8">
        <v>0.88</v>
      </c>
      <c r="L153" s="8">
        <v>0.72</v>
      </c>
      <c r="M153" s="8">
        <v>71.099999999999994</v>
      </c>
      <c r="N153" s="8">
        <v>0.04</v>
      </c>
      <c r="O153" s="8">
        <v>70.2</v>
      </c>
      <c r="P153" s="8">
        <v>0.63</v>
      </c>
      <c r="Q153" s="8">
        <v>0.73</v>
      </c>
      <c r="R153" s="8">
        <v>70</v>
      </c>
      <c r="S153" s="8">
        <v>0.85</v>
      </c>
      <c r="T153" s="8">
        <v>69.3</v>
      </c>
      <c r="U153" s="8">
        <v>0.64</v>
      </c>
      <c r="V153" s="8">
        <v>-15</v>
      </c>
      <c r="W153" s="8">
        <v>0</v>
      </c>
      <c r="X153" s="8" t="s">
        <v>91</v>
      </c>
      <c r="Y153" s="8">
        <v>0</v>
      </c>
      <c r="Z153" s="8" t="s">
        <v>91</v>
      </c>
      <c r="AA153" s="8">
        <v>0</v>
      </c>
      <c r="AB153" s="8" t="s">
        <v>91</v>
      </c>
      <c r="AC153" s="8">
        <v>0.10404624277456651</v>
      </c>
      <c r="AD153" s="8">
        <v>0.45664739884393057</v>
      </c>
      <c r="AE153" s="8">
        <v>0.1445086705202312</v>
      </c>
      <c r="AF153" s="8">
        <v>2.8901734104046239E-2</v>
      </c>
      <c r="AG153" s="8">
        <v>4</v>
      </c>
      <c r="AH153" s="8">
        <v>3</v>
      </c>
      <c r="AI153" s="8">
        <v>3</v>
      </c>
      <c r="AJ153" s="8">
        <v>1</v>
      </c>
      <c r="AK153" s="8">
        <v>1</v>
      </c>
      <c r="AL153" s="8">
        <v>1</v>
      </c>
      <c r="AM153" s="8">
        <v>5.7803468208092483E-3</v>
      </c>
      <c r="AN153" s="8">
        <v>0.85</v>
      </c>
      <c r="AO153" s="8">
        <v>0</v>
      </c>
      <c r="AP153" s="8" t="s">
        <v>91</v>
      </c>
      <c r="AQ153" s="8">
        <v>93.5</v>
      </c>
      <c r="AR153" s="9">
        <v>0.66700000000000004</v>
      </c>
      <c r="AS153" s="9">
        <v>4.4999999999999998E-2</v>
      </c>
      <c r="AT153" s="9">
        <v>0.312</v>
      </c>
      <c r="AU153" s="8">
        <v>111</v>
      </c>
      <c r="AV153" s="9">
        <v>9.1999999999999998E-2</v>
      </c>
      <c r="AW153" s="8">
        <v>0.41761363636363641</v>
      </c>
      <c r="AX153" s="8">
        <v>47.694318181818183</v>
      </c>
      <c r="AY153" s="8">
        <v>0.16</v>
      </c>
      <c r="AZ153" s="9">
        <v>0.23400000000000001</v>
      </c>
      <c r="BA153" s="8">
        <v>0.02</v>
      </c>
      <c r="BB153" s="8">
        <v>4.0199999999999996</v>
      </c>
      <c r="BC153" s="8">
        <v>35</v>
      </c>
      <c r="BD153" s="8">
        <v>78</v>
      </c>
      <c r="BE153" s="8">
        <v>69</v>
      </c>
      <c r="BF153" s="8">
        <v>52</v>
      </c>
      <c r="BG153" s="8">
        <v>26</v>
      </c>
      <c r="BH153" s="8">
        <v>0</v>
      </c>
      <c r="BI153" s="8">
        <v>40</v>
      </c>
      <c r="BJ153" s="9">
        <v>0.57799999999999996</v>
      </c>
      <c r="BK153" s="8">
        <v>0.88038461538461543</v>
      </c>
      <c r="BL153" s="8">
        <v>0.17</v>
      </c>
      <c r="BM153" s="8">
        <v>0.1</v>
      </c>
      <c r="BN153" s="8">
        <v>0.12</v>
      </c>
      <c r="BO153" s="9">
        <v>0.17299999999999999</v>
      </c>
      <c r="BP153" s="8">
        <v>2.58</v>
      </c>
      <c r="BQ153" s="9">
        <v>0.33300000000000002</v>
      </c>
      <c r="BR153" s="8">
        <v>69</v>
      </c>
      <c r="BS153" s="8">
        <v>0.01</v>
      </c>
      <c r="BT153" s="9">
        <v>8.9999999999999993E-3</v>
      </c>
      <c r="BU153" s="9">
        <v>6.0000000000000001E-3</v>
      </c>
      <c r="BV153" s="8">
        <v>0</v>
      </c>
      <c r="BW153" s="8">
        <v>0.52</v>
      </c>
      <c r="BX153" s="8">
        <v>2.0699999999999998</v>
      </c>
      <c r="BY153" s="9">
        <v>0.248</v>
      </c>
    </row>
    <row r="154" spans="2:77" ht="19.899999999999999" customHeight="1" x14ac:dyDescent="0.3">
      <c r="B154" s="8" t="s">
        <v>179</v>
      </c>
      <c r="C154" s="8">
        <v>5</v>
      </c>
      <c r="D154" s="8">
        <v>0.97</v>
      </c>
      <c r="E154" s="8">
        <v>107</v>
      </c>
      <c r="F154" s="8">
        <v>0.82</v>
      </c>
      <c r="G154" s="8">
        <v>1.1599999999999999</v>
      </c>
      <c r="H154" s="9">
        <v>0.26200000000000001</v>
      </c>
      <c r="I154" s="9">
        <v>0.39300000000000002</v>
      </c>
      <c r="J154" s="8">
        <v>0.92</v>
      </c>
      <c r="K154" s="8">
        <v>1.64</v>
      </c>
      <c r="L154" s="8">
        <v>0.66</v>
      </c>
      <c r="M154" s="8">
        <v>72</v>
      </c>
      <c r="N154" s="8">
        <v>-0.5</v>
      </c>
      <c r="O154" s="8">
        <v>72.400000000000006</v>
      </c>
      <c r="P154" s="8">
        <v>0.6</v>
      </c>
      <c r="Q154" s="8">
        <v>0.68</v>
      </c>
      <c r="R154" s="8">
        <v>67.400000000000006</v>
      </c>
      <c r="S154" s="8">
        <v>0.94</v>
      </c>
      <c r="T154" s="8">
        <v>70.599999999999994</v>
      </c>
      <c r="U154" s="8">
        <v>0.6</v>
      </c>
      <c r="V154" s="8">
        <v>-7</v>
      </c>
      <c r="W154" s="8">
        <v>0</v>
      </c>
      <c r="X154" s="8" t="s">
        <v>91</v>
      </c>
      <c r="Y154" s="8">
        <v>0</v>
      </c>
      <c r="Z154" s="8" t="s">
        <v>91</v>
      </c>
      <c r="AA154" s="8">
        <v>0</v>
      </c>
      <c r="AB154" s="8" t="s">
        <v>91</v>
      </c>
      <c r="AC154" s="8">
        <v>0.10280373831775701</v>
      </c>
      <c r="AD154" s="8">
        <v>0.42056074766355139</v>
      </c>
      <c r="AE154" s="8">
        <v>0.13084112149532709</v>
      </c>
      <c r="AF154" s="8">
        <v>3.7383177570093462E-2</v>
      </c>
      <c r="AG154" s="8">
        <v>4</v>
      </c>
      <c r="AH154" s="8">
        <v>2</v>
      </c>
      <c r="AI154" s="8">
        <v>2</v>
      </c>
      <c r="AJ154" s="8">
        <v>0</v>
      </c>
      <c r="AK154" s="8">
        <v>0</v>
      </c>
      <c r="AL154" s="8">
        <v>0</v>
      </c>
      <c r="AM154" s="8">
        <v>0</v>
      </c>
      <c r="AN154" s="8">
        <v>0.96</v>
      </c>
      <c r="AO154" s="8">
        <v>0</v>
      </c>
      <c r="AP154" s="8" t="s">
        <v>91</v>
      </c>
      <c r="AQ154" s="8">
        <v>100.2</v>
      </c>
      <c r="AR154" s="9">
        <v>0.45500000000000002</v>
      </c>
      <c r="AS154" s="9">
        <v>8.5000000000000006E-2</v>
      </c>
      <c r="AT154" s="9">
        <v>0.17199999999999999</v>
      </c>
      <c r="AU154" s="8">
        <v>121</v>
      </c>
      <c r="AV154" s="9">
        <v>0.112</v>
      </c>
      <c r="AW154" s="8">
        <v>0.30372881355932208</v>
      </c>
      <c r="AX154" s="8">
        <v>49.783050847457623</v>
      </c>
      <c r="AY154" s="8">
        <v>0.09</v>
      </c>
      <c r="AZ154" s="9">
        <v>0.21099999999999999</v>
      </c>
      <c r="BA154" s="8">
        <v>0.01</v>
      </c>
      <c r="BB154" s="8">
        <v>3.64</v>
      </c>
      <c r="BC154" s="8">
        <v>29</v>
      </c>
      <c r="BD154" s="8">
        <v>45</v>
      </c>
      <c r="BE154" s="8">
        <v>8</v>
      </c>
      <c r="BF154" s="8">
        <v>54</v>
      </c>
      <c r="BG154" s="8">
        <v>16</v>
      </c>
      <c r="BH154" s="8">
        <v>4</v>
      </c>
      <c r="BI154" s="8">
        <v>22</v>
      </c>
      <c r="BJ154" s="9">
        <v>0.53100000000000003</v>
      </c>
      <c r="BK154" s="8">
        <v>1.1599999999999999</v>
      </c>
      <c r="BL154" s="8">
        <v>0.14000000000000001</v>
      </c>
      <c r="BM154" s="8">
        <v>7.0000000000000007E-2</v>
      </c>
      <c r="BN154" s="8">
        <v>7.0000000000000007E-2</v>
      </c>
      <c r="BO154" s="9">
        <v>0.23400000000000001</v>
      </c>
      <c r="BP154" s="8">
        <v>2.76</v>
      </c>
      <c r="BQ154" s="8" t="s">
        <v>91</v>
      </c>
      <c r="BR154" s="8">
        <v>69</v>
      </c>
      <c r="BS154" s="8">
        <v>0.02</v>
      </c>
      <c r="BT154" s="9">
        <v>3.1E-2</v>
      </c>
      <c r="BU154" s="9">
        <v>8.9999999999999993E-3</v>
      </c>
      <c r="BV154" s="8">
        <v>0.93</v>
      </c>
      <c r="BW154" s="8">
        <v>0.24</v>
      </c>
      <c r="BX154" s="8">
        <v>2.39</v>
      </c>
      <c r="BY154" s="9">
        <v>0.156</v>
      </c>
    </row>
    <row r="155" spans="2:77" ht="19.899999999999999" customHeight="1" x14ac:dyDescent="0.3">
      <c r="B155" s="8" t="s">
        <v>180</v>
      </c>
      <c r="C155" s="8">
        <v>10</v>
      </c>
      <c r="D155" s="8">
        <v>0.97</v>
      </c>
      <c r="E155" s="8">
        <v>254</v>
      </c>
      <c r="F155" s="8">
        <v>1.04</v>
      </c>
      <c r="G155" s="8">
        <v>0.9</v>
      </c>
      <c r="H155" s="9">
        <v>0.17699999999999999</v>
      </c>
      <c r="I155" s="9">
        <v>0.48899999999999999</v>
      </c>
      <c r="J155" s="8">
        <v>0.95</v>
      </c>
      <c r="K155" s="8">
        <v>0.73</v>
      </c>
      <c r="L155" s="8">
        <v>0.65</v>
      </c>
      <c r="M155" s="8">
        <v>70.099999999999994</v>
      </c>
      <c r="N155" s="8">
        <v>0.64</v>
      </c>
      <c r="O155" s="8">
        <v>63.3</v>
      </c>
      <c r="P155" s="8">
        <v>0.62</v>
      </c>
      <c r="Q155" s="8">
        <v>0.69</v>
      </c>
      <c r="R155" s="8">
        <v>70.5</v>
      </c>
      <c r="S155" s="8">
        <v>1</v>
      </c>
      <c r="T155" s="8">
        <v>63</v>
      </c>
      <c r="U155" s="8">
        <v>0.6</v>
      </c>
      <c r="V155" s="8">
        <v>-6</v>
      </c>
      <c r="W155" s="8">
        <v>0</v>
      </c>
      <c r="X155" s="8" t="s">
        <v>91</v>
      </c>
      <c r="Y155" s="8">
        <v>1</v>
      </c>
      <c r="Z155" s="8">
        <v>1.44</v>
      </c>
      <c r="AA155" s="8">
        <v>1</v>
      </c>
      <c r="AB155" s="8">
        <v>1.44</v>
      </c>
      <c r="AC155" s="8">
        <v>8.6614173228346455E-2</v>
      </c>
      <c r="AD155" s="8">
        <v>0.43307086614173229</v>
      </c>
      <c r="AE155" s="8">
        <v>0.14960629921259841</v>
      </c>
      <c r="AF155" s="8">
        <v>3.1496062992125977E-2</v>
      </c>
      <c r="AG155" s="8">
        <v>5</v>
      </c>
      <c r="AH155" s="8">
        <v>5</v>
      </c>
      <c r="AI155" s="8">
        <v>3</v>
      </c>
      <c r="AJ155" s="8">
        <v>2</v>
      </c>
      <c r="AK155" s="8">
        <v>1</v>
      </c>
      <c r="AL155" s="8">
        <v>4</v>
      </c>
      <c r="AM155" s="8">
        <v>3.1496062992125977E-2</v>
      </c>
      <c r="AN155" s="8">
        <v>0.87</v>
      </c>
      <c r="AO155" s="8">
        <v>0</v>
      </c>
      <c r="AP155" s="8" t="s">
        <v>91</v>
      </c>
      <c r="AQ155" s="8">
        <v>94.5</v>
      </c>
      <c r="AR155" s="9">
        <v>0.77300000000000002</v>
      </c>
      <c r="AS155" s="9">
        <v>0.104</v>
      </c>
      <c r="AT155" s="9">
        <v>0.28499999999999998</v>
      </c>
      <c r="AU155" s="8">
        <v>102</v>
      </c>
      <c r="AV155" s="9">
        <v>0.122</v>
      </c>
      <c r="AW155" s="8">
        <v>0.4</v>
      </c>
      <c r="AX155" s="8">
        <v>35.359701492537297</v>
      </c>
      <c r="AY155" s="8">
        <v>0.08</v>
      </c>
      <c r="AZ155" s="9">
        <v>0.16500000000000001</v>
      </c>
      <c r="BA155" s="8">
        <v>0.12</v>
      </c>
      <c r="BB155" s="8">
        <v>4.26</v>
      </c>
      <c r="BC155" s="8">
        <v>28</v>
      </c>
      <c r="BD155" s="8">
        <v>15</v>
      </c>
      <c r="BE155" s="8">
        <v>10</v>
      </c>
      <c r="BF155" s="8">
        <v>37</v>
      </c>
      <c r="BG155" s="8">
        <v>76</v>
      </c>
      <c r="BH155" s="8">
        <v>90</v>
      </c>
      <c r="BI155" s="8">
        <v>76</v>
      </c>
      <c r="BJ155" s="9">
        <v>0.29699999999999999</v>
      </c>
      <c r="BK155" s="8">
        <v>1.164571428571429</v>
      </c>
      <c r="BL155" s="8">
        <v>0.11</v>
      </c>
      <c r="BM155" s="8">
        <v>7.0000000000000007E-2</v>
      </c>
      <c r="BN155" s="8">
        <v>0.08</v>
      </c>
      <c r="BO155" s="9">
        <v>0.22</v>
      </c>
      <c r="BP155" s="8">
        <v>1.85</v>
      </c>
      <c r="BQ155" s="9">
        <v>0.66700000000000004</v>
      </c>
      <c r="BR155" s="8">
        <v>73</v>
      </c>
      <c r="BS155" s="8">
        <v>0.26</v>
      </c>
      <c r="BT155" s="9">
        <v>0.42399999999999999</v>
      </c>
      <c r="BU155" s="9">
        <v>0.31900000000000001</v>
      </c>
      <c r="BV155" s="8">
        <v>1.97</v>
      </c>
      <c r="BW155" s="8">
        <v>0.91</v>
      </c>
      <c r="BX155" s="8">
        <v>2.58</v>
      </c>
      <c r="BY155" s="9">
        <v>0.127</v>
      </c>
    </row>
    <row r="156" spans="2:77" ht="19.899999999999999" customHeight="1" x14ac:dyDescent="0.3">
      <c r="B156" s="8" t="s">
        <v>181</v>
      </c>
      <c r="C156" s="8">
        <v>5</v>
      </c>
      <c r="D156" s="8">
        <v>0.96</v>
      </c>
      <c r="E156" s="8">
        <v>102</v>
      </c>
      <c r="F156" s="8">
        <v>0.97</v>
      </c>
      <c r="G156" s="8">
        <v>0.94</v>
      </c>
      <c r="H156" s="9">
        <v>0.17599999999999999</v>
      </c>
      <c r="I156" s="9">
        <v>0.5</v>
      </c>
      <c r="J156" s="8">
        <v>0.96</v>
      </c>
      <c r="K156" s="8">
        <v>0.45</v>
      </c>
      <c r="L156" s="8">
        <v>0.74</v>
      </c>
      <c r="M156" s="8">
        <v>67.599999999999994</v>
      </c>
      <c r="N156" s="8">
        <v>-0.27</v>
      </c>
      <c r="O156" s="8">
        <v>71.7</v>
      </c>
      <c r="P156" s="8">
        <v>0.62</v>
      </c>
      <c r="Q156" s="8">
        <v>0.77</v>
      </c>
      <c r="R156" s="8">
        <v>65.3</v>
      </c>
      <c r="S156" s="8">
        <v>0.89</v>
      </c>
      <c r="T156" s="8">
        <v>74</v>
      </c>
      <c r="U156" s="8">
        <v>0.67</v>
      </c>
      <c r="V156" s="8">
        <v>-12</v>
      </c>
      <c r="W156" s="8">
        <v>0</v>
      </c>
      <c r="X156" s="8" t="s">
        <v>91</v>
      </c>
      <c r="Y156" s="8">
        <v>1</v>
      </c>
      <c r="Z156" s="8">
        <v>0.8</v>
      </c>
      <c r="AA156" s="8">
        <v>1</v>
      </c>
      <c r="AB156" s="8">
        <v>0.8</v>
      </c>
      <c r="AC156" s="8">
        <v>8.8235294117647065E-2</v>
      </c>
      <c r="AD156" s="8">
        <v>0.49019607843137247</v>
      </c>
      <c r="AE156" s="8">
        <v>0.10784313725490199</v>
      </c>
      <c r="AF156" s="8">
        <v>1.9607843137254902E-2</v>
      </c>
      <c r="AG156" s="8">
        <v>2</v>
      </c>
      <c r="AH156" s="8">
        <v>2</v>
      </c>
      <c r="AI156" s="8">
        <v>1</v>
      </c>
      <c r="AJ156" s="8">
        <v>1</v>
      </c>
      <c r="AK156" s="8">
        <v>0</v>
      </c>
      <c r="AL156" s="8">
        <v>0</v>
      </c>
      <c r="AM156" s="8">
        <v>0</v>
      </c>
      <c r="AN156" s="8">
        <v>1</v>
      </c>
      <c r="AO156" s="8">
        <v>0</v>
      </c>
      <c r="AP156" s="8" t="s">
        <v>91</v>
      </c>
      <c r="AQ156" s="8">
        <v>110.9</v>
      </c>
      <c r="AR156" s="9">
        <v>0.33300000000000002</v>
      </c>
      <c r="AS156" s="9">
        <v>7.5999999999999998E-2</v>
      </c>
      <c r="AT156" s="9">
        <v>0.27</v>
      </c>
      <c r="AU156" s="8">
        <v>116</v>
      </c>
      <c r="AV156" s="9">
        <v>0.127</v>
      </c>
      <c r="AW156" s="8">
        <v>0.40909090909090912</v>
      </c>
      <c r="AX156" s="8">
        <v>50.318181818181827</v>
      </c>
      <c r="AY156" s="8">
        <v>0.11</v>
      </c>
      <c r="AZ156" s="9">
        <v>0.17299999999999999</v>
      </c>
      <c r="BA156" s="8">
        <v>0</v>
      </c>
      <c r="BB156" s="8">
        <v>5.85</v>
      </c>
      <c r="BC156" s="8">
        <v>25</v>
      </c>
      <c r="BD156" s="8">
        <v>48</v>
      </c>
      <c r="BE156" s="8">
        <v>31</v>
      </c>
      <c r="BF156" s="8">
        <v>31</v>
      </c>
      <c r="BG156" s="8">
        <v>17</v>
      </c>
      <c r="BH156" s="8">
        <v>0</v>
      </c>
      <c r="BI156" s="8">
        <v>61</v>
      </c>
      <c r="BJ156" s="9">
        <v>0.61899999999999999</v>
      </c>
      <c r="BK156" s="8">
        <v>1.4</v>
      </c>
      <c r="BL156" s="8">
        <v>0.13</v>
      </c>
      <c r="BM156" s="8">
        <v>0.11</v>
      </c>
      <c r="BN156" s="8">
        <v>0.14000000000000001</v>
      </c>
      <c r="BO156" s="9">
        <v>0.14699999999999999</v>
      </c>
      <c r="BP156" s="8">
        <v>2.63</v>
      </c>
      <c r="BQ156" s="9">
        <v>0</v>
      </c>
      <c r="BR156" s="8">
        <v>65</v>
      </c>
      <c r="BS156" s="8">
        <v>0</v>
      </c>
      <c r="BT156" s="9">
        <v>0</v>
      </c>
      <c r="BU156" s="8" t="s">
        <v>91</v>
      </c>
      <c r="BV156" s="8">
        <v>0</v>
      </c>
      <c r="BW156" s="8">
        <v>0.63</v>
      </c>
      <c r="BX156" s="8">
        <v>1.67</v>
      </c>
      <c r="BY156" s="9">
        <v>0.17499999999999999</v>
      </c>
    </row>
    <row r="157" spans="2:77" ht="19.899999999999999" customHeight="1" x14ac:dyDescent="0.3">
      <c r="B157" s="8" t="s">
        <v>182</v>
      </c>
      <c r="C157" s="8">
        <v>8</v>
      </c>
      <c r="D157" s="8">
        <v>0.94</v>
      </c>
      <c r="E157" s="8">
        <v>174</v>
      </c>
      <c r="F157" s="8">
        <v>1.1499999999999999</v>
      </c>
      <c r="G157" s="8">
        <v>0.77</v>
      </c>
      <c r="H157" s="9">
        <v>0.17799999999999999</v>
      </c>
      <c r="I157" s="9">
        <v>0.38700000000000001</v>
      </c>
      <c r="J157" s="8">
        <v>0.83</v>
      </c>
      <c r="K157" s="8">
        <v>1.1499999999999999</v>
      </c>
      <c r="L157" s="8">
        <v>0.68</v>
      </c>
      <c r="M157" s="8">
        <v>73</v>
      </c>
      <c r="N157" s="8">
        <v>-0.31</v>
      </c>
      <c r="O157" s="8">
        <v>63.6</v>
      </c>
      <c r="P157" s="8">
        <v>0.52</v>
      </c>
      <c r="Q157" s="8">
        <v>0.69</v>
      </c>
      <c r="R157" s="8">
        <v>72.3</v>
      </c>
      <c r="S157" s="8">
        <v>0.86</v>
      </c>
      <c r="T157" s="8">
        <v>64.900000000000006</v>
      </c>
      <c r="U157" s="8">
        <v>0.54</v>
      </c>
      <c r="V157" s="8">
        <v>-28</v>
      </c>
      <c r="W157" s="8">
        <v>0</v>
      </c>
      <c r="X157" s="8" t="s">
        <v>91</v>
      </c>
      <c r="Y157" s="8">
        <v>0</v>
      </c>
      <c r="Z157" s="8" t="s">
        <v>91</v>
      </c>
      <c r="AA157" s="8">
        <v>3</v>
      </c>
      <c r="AB157" s="8">
        <v>1.01</v>
      </c>
      <c r="AC157" s="8">
        <v>6.8965517241379309E-2</v>
      </c>
      <c r="AD157" s="8">
        <v>0.40229885057471271</v>
      </c>
      <c r="AE157" s="8">
        <v>9.1954022988505746E-2</v>
      </c>
      <c r="AF157" s="8">
        <v>1.7241379310344831E-2</v>
      </c>
      <c r="AG157" s="8">
        <v>4</v>
      </c>
      <c r="AH157" s="8">
        <v>4</v>
      </c>
      <c r="AI157" s="8">
        <v>2</v>
      </c>
      <c r="AJ157" s="8">
        <v>2</v>
      </c>
      <c r="AK157" s="8">
        <v>0</v>
      </c>
      <c r="AL157" s="8">
        <v>3</v>
      </c>
      <c r="AM157" s="8">
        <v>3.4482758620689648E-2</v>
      </c>
      <c r="AN157" s="8">
        <v>0.69</v>
      </c>
      <c r="AO157" s="8">
        <v>0</v>
      </c>
      <c r="AP157" s="8" t="s">
        <v>91</v>
      </c>
      <c r="AQ157" s="8">
        <v>80.3</v>
      </c>
      <c r="AR157" s="9">
        <v>0.75</v>
      </c>
      <c r="AS157" s="9">
        <v>7.3999999999999996E-2</v>
      </c>
      <c r="AT157" s="9">
        <v>0.311</v>
      </c>
      <c r="AU157" s="8">
        <v>123</v>
      </c>
      <c r="AV157" s="9">
        <v>0.14399999999999999</v>
      </c>
      <c r="AW157" s="8">
        <v>0.37021276595744679</v>
      </c>
      <c r="AX157" s="8">
        <v>49.387234042553189</v>
      </c>
      <c r="AY157" s="8">
        <v>0.13</v>
      </c>
      <c r="AZ157" s="9">
        <v>0.254</v>
      </c>
      <c r="BA157" s="8">
        <v>0.08</v>
      </c>
      <c r="BB157" s="8">
        <v>9.99</v>
      </c>
      <c r="BC157" s="8">
        <v>5</v>
      </c>
      <c r="BD157" s="8">
        <v>95</v>
      </c>
      <c r="BE157" s="8">
        <v>53</v>
      </c>
      <c r="BF157" s="8">
        <v>22</v>
      </c>
      <c r="BG157" s="8">
        <v>81</v>
      </c>
      <c r="BH157" s="8">
        <v>0</v>
      </c>
      <c r="BI157" s="8">
        <v>86</v>
      </c>
      <c r="BJ157" s="9">
        <v>0.47799999999999998</v>
      </c>
      <c r="BK157" s="8">
        <v>1.0667692307692309</v>
      </c>
      <c r="BL157" s="8">
        <v>0.17</v>
      </c>
      <c r="BM157" s="8">
        <v>0.08</v>
      </c>
      <c r="BN157" s="8">
        <v>0.14000000000000001</v>
      </c>
      <c r="BO157" s="9">
        <v>0.26400000000000001</v>
      </c>
      <c r="BP157" s="8">
        <v>2.71</v>
      </c>
      <c r="BQ157" s="9">
        <v>1</v>
      </c>
      <c r="BR157" s="8">
        <v>66</v>
      </c>
      <c r="BS157" s="8">
        <v>0</v>
      </c>
      <c r="BT157" s="9">
        <v>0</v>
      </c>
      <c r="BU157" s="8" t="s">
        <v>91</v>
      </c>
      <c r="BV157" s="8">
        <v>0.56999999999999995</v>
      </c>
      <c r="BW157" s="8">
        <v>0.67</v>
      </c>
      <c r="BX157" s="8">
        <v>2.52</v>
      </c>
      <c r="BY157" s="9">
        <v>0.25600000000000001</v>
      </c>
    </row>
    <row r="158" spans="2:77" ht="19.899999999999999" customHeight="1" x14ac:dyDescent="0.3">
      <c r="B158" s="8" t="s">
        <v>183</v>
      </c>
      <c r="C158" s="8">
        <v>8</v>
      </c>
      <c r="D158" s="8">
        <v>0.94</v>
      </c>
      <c r="E158" s="8">
        <v>174</v>
      </c>
      <c r="F158" s="8">
        <v>1.05</v>
      </c>
      <c r="G158" s="8">
        <v>0.85</v>
      </c>
      <c r="H158" s="9">
        <v>0.247</v>
      </c>
      <c r="I158" s="9">
        <v>0.55800000000000005</v>
      </c>
      <c r="J158" s="8">
        <v>1.17</v>
      </c>
      <c r="K158" s="8">
        <v>1.1100000000000001</v>
      </c>
      <c r="L158" s="8">
        <v>0.71</v>
      </c>
      <c r="M158" s="8">
        <v>70.099999999999994</v>
      </c>
      <c r="N158" s="8">
        <v>-2.35</v>
      </c>
      <c r="O158" s="8">
        <v>68.8</v>
      </c>
      <c r="P158" s="8">
        <v>0.64</v>
      </c>
      <c r="Q158" s="8">
        <v>0.72</v>
      </c>
      <c r="R158" s="8">
        <v>68.900000000000006</v>
      </c>
      <c r="S158" s="8">
        <v>1.02</v>
      </c>
      <c r="T158" s="8">
        <v>70.099999999999994</v>
      </c>
      <c r="U158" s="8">
        <v>0.66</v>
      </c>
      <c r="V158" s="8">
        <v>-12</v>
      </c>
      <c r="W158" s="8">
        <v>0</v>
      </c>
      <c r="X158" s="8" t="s">
        <v>91</v>
      </c>
      <c r="Y158" s="8">
        <v>0</v>
      </c>
      <c r="Z158" s="8" t="s">
        <v>91</v>
      </c>
      <c r="AA158" s="8">
        <v>3</v>
      </c>
      <c r="AB158" s="8">
        <v>1.05</v>
      </c>
      <c r="AC158" s="8">
        <v>0.13793103448275859</v>
      </c>
      <c r="AD158" s="8">
        <v>0.44827586206896552</v>
      </c>
      <c r="AE158" s="8">
        <v>0.14367816091954019</v>
      </c>
      <c r="AF158" s="8">
        <v>4.5977011494252873E-2</v>
      </c>
      <c r="AG158" s="8">
        <v>6</v>
      </c>
      <c r="AH158" s="8">
        <v>4</v>
      </c>
      <c r="AI158" s="8">
        <v>1</v>
      </c>
      <c r="AJ158" s="8">
        <v>1</v>
      </c>
      <c r="AK158" s="8">
        <v>0</v>
      </c>
      <c r="AL158" s="8">
        <v>0</v>
      </c>
      <c r="AM158" s="8">
        <v>0</v>
      </c>
      <c r="AN158" s="8">
        <v>0.92</v>
      </c>
      <c r="AO158" s="8">
        <v>0</v>
      </c>
      <c r="AP158" s="8" t="s">
        <v>91</v>
      </c>
      <c r="AQ158" s="8">
        <v>89.4</v>
      </c>
      <c r="AR158" s="9">
        <v>0.625</v>
      </c>
      <c r="AS158" s="9">
        <v>6.4000000000000001E-2</v>
      </c>
      <c r="AT158" s="9">
        <v>0.312</v>
      </c>
      <c r="AU158" s="8">
        <v>107</v>
      </c>
      <c r="AV158" s="9">
        <v>5.1999999999999998E-2</v>
      </c>
      <c r="AW158" s="8">
        <v>0.40851063829787232</v>
      </c>
      <c r="AX158" s="8">
        <v>51.268085106382969</v>
      </c>
      <c r="AY158" s="8">
        <v>0.14000000000000001</v>
      </c>
      <c r="AZ158" s="9">
        <v>0.185</v>
      </c>
      <c r="BA158" s="8">
        <v>0</v>
      </c>
      <c r="BB158" s="8">
        <v>1.74</v>
      </c>
      <c r="BC158" s="8">
        <v>35</v>
      </c>
      <c r="BD158" s="8">
        <v>32</v>
      </c>
      <c r="BE158" s="8">
        <v>73</v>
      </c>
      <c r="BF158" s="8">
        <v>81</v>
      </c>
      <c r="BG158" s="8">
        <v>5</v>
      </c>
      <c r="BH158" s="8">
        <v>0</v>
      </c>
      <c r="BI158" s="8">
        <v>7</v>
      </c>
      <c r="BJ158" s="9">
        <v>0.52700000000000002</v>
      </c>
      <c r="BK158" s="8">
        <v>1.106307692307692</v>
      </c>
      <c r="BL158" s="8">
        <v>0.13</v>
      </c>
      <c r="BM158" s="8">
        <v>0.14000000000000001</v>
      </c>
      <c r="BN158" s="8">
        <v>0.06</v>
      </c>
      <c r="BO158" s="9">
        <v>0.20100000000000001</v>
      </c>
      <c r="BP158" s="8">
        <v>2.44</v>
      </c>
      <c r="BQ158" s="9">
        <v>0</v>
      </c>
      <c r="BR158" s="8">
        <v>62</v>
      </c>
      <c r="BS158" s="8">
        <v>0</v>
      </c>
      <c r="BT158" s="9">
        <v>0</v>
      </c>
      <c r="BU158" s="8" t="s">
        <v>91</v>
      </c>
      <c r="BV158" s="8">
        <v>0</v>
      </c>
      <c r="BW158" s="8">
        <v>0.31</v>
      </c>
      <c r="BX158" s="8">
        <v>1.29</v>
      </c>
      <c r="BY158" s="9">
        <v>0.223</v>
      </c>
    </row>
    <row r="159" spans="2:77" ht="19.899999999999999" customHeight="1" x14ac:dyDescent="0.3">
      <c r="B159" s="8" t="s">
        <v>134</v>
      </c>
      <c r="C159" s="8">
        <v>16</v>
      </c>
      <c r="D159" s="8">
        <v>0.93</v>
      </c>
      <c r="E159" s="8">
        <v>366</v>
      </c>
      <c r="F159" s="8">
        <v>1.04</v>
      </c>
      <c r="G159" s="8">
        <v>0.83</v>
      </c>
      <c r="H159" s="9">
        <v>0.186</v>
      </c>
      <c r="I159" s="9">
        <v>0.33800000000000002</v>
      </c>
      <c r="J159" s="8">
        <v>0.78</v>
      </c>
      <c r="K159" s="8">
        <v>1.1200000000000001</v>
      </c>
      <c r="L159" s="8">
        <v>0.63</v>
      </c>
      <c r="M159" s="8">
        <v>72.400000000000006</v>
      </c>
      <c r="N159" s="8">
        <v>-0.98</v>
      </c>
      <c r="O159" s="8">
        <v>65.900000000000006</v>
      </c>
      <c r="P159" s="8">
        <v>0.56999999999999995</v>
      </c>
      <c r="Q159" s="8">
        <v>0.64</v>
      </c>
      <c r="R159" s="8">
        <v>70.900000000000006</v>
      </c>
      <c r="S159" s="8">
        <v>0.88</v>
      </c>
      <c r="T159" s="8">
        <v>64.900000000000006</v>
      </c>
      <c r="U159" s="8">
        <v>0.56000000000000005</v>
      </c>
      <c r="V159" s="8">
        <v>-19</v>
      </c>
      <c r="W159" s="8">
        <v>0</v>
      </c>
      <c r="X159" s="8" t="s">
        <v>91</v>
      </c>
      <c r="Y159" s="8">
        <v>0</v>
      </c>
      <c r="Z159" s="8" t="s">
        <v>91</v>
      </c>
      <c r="AA159" s="8">
        <v>3</v>
      </c>
      <c r="AB159" s="8">
        <v>0.96</v>
      </c>
      <c r="AC159" s="8">
        <v>6.2841530054644809E-2</v>
      </c>
      <c r="AD159" s="8">
        <v>0.41530054644808739</v>
      </c>
      <c r="AE159" s="8">
        <v>0.1229508196721311</v>
      </c>
      <c r="AF159" s="8">
        <v>3.0054644808743172E-2</v>
      </c>
      <c r="AG159" s="8">
        <v>11</v>
      </c>
      <c r="AH159" s="8">
        <v>4</v>
      </c>
      <c r="AI159" s="8">
        <v>3</v>
      </c>
      <c r="AJ159" s="8">
        <v>3</v>
      </c>
      <c r="AK159" s="8">
        <v>1</v>
      </c>
      <c r="AL159" s="8">
        <v>4</v>
      </c>
      <c r="AM159" s="8">
        <v>1.092896174863388E-2</v>
      </c>
      <c r="AN159" s="8">
        <v>0.76</v>
      </c>
      <c r="AO159" s="8">
        <v>0</v>
      </c>
      <c r="AP159" s="8" t="s">
        <v>91</v>
      </c>
      <c r="AQ159" s="8">
        <v>82.7</v>
      </c>
      <c r="AR159" s="9">
        <v>0.65200000000000002</v>
      </c>
      <c r="AS159" s="9">
        <v>7.9000000000000001E-2</v>
      </c>
      <c r="AT159" s="9">
        <v>0.252</v>
      </c>
      <c r="AU159" s="8">
        <v>115</v>
      </c>
      <c r="AV159" s="9">
        <v>0.109</v>
      </c>
      <c r="AW159" s="8">
        <v>0.34690909090909089</v>
      </c>
      <c r="AX159" s="8">
        <v>45.434545454545457</v>
      </c>
      <c r="AY159" s="8">
        <v>0.12</v>
      </c>
      <c r="AZ159" s="9">
        <v>0.24</v>
      </c>
      <c r="BA159" s="8">
        <v>7.0000000000000007E-2</v>
      </c>
      <c r="BB159" s="8">
        <v>4.4400000000000004</v>
      </c>
      <c r="BC159" s="8">
        <v>15</v>
      </c>
      <c r="BD159" s="8">
        <v>73</v>
      </c>
      <c r="BE159" s="8">
        <v>30</v>
      </c>
      <c r="BF159" s="8">
        <v>17</v>
      </c>
      <c r="BG159" s="8">
        <v>37</v>
      </c>
      <c r="BH159" s="8">
        <v>0</v>
      </c>
      <c r="BI159" s="8">
        <v>70</v>
      </c>
      <c r="BJ159" s="9">
        <v>0.58099999999999996</v>
      </c>
      <c r="BK159" s="8">
        <v>0.96198312236286909</v>
      </c>
      <c r="BL159" s="8">
        <v>0.15</v>
      </c>
      <c r="BM159" s="8">
        <v>7.0000000000000007E-2</v>
      </c>
      <c r="BN159" s="8">
        <v>0.11</v>
      </c>
      <c r="BO159" s="9">
        <v>0.24</v>
      </c>
      <c r="BP159" s="8">
        <v>2.57</v>
      </c>
      <c r="BQ159" s="9">
        <v>0.8</v>
      </c>
      <c r="BR159" s="8">
        <v>73</v>
      </c>
      <c r="BS159" s="8">
        <v>0</v>
      </c>
      <c r="BT159" s="9">
        <v>0</v>
      </c>
      <c r="BU159" s="8" t="s">
        <v>91</v>
      </c>
      <c r="BV159" s="8">
        <v>1.64</v>
      </c>
      <c r="BW159" s="8">
        <v>0.64</v>
      </c>
      <c r="BX159" s="8">
        <v>2.72</v>
      </c>
      <c r="BY159" s="9">
        <v>0.21</v>
      </c>
    </row>
    <row r="160" spans="2:77" ht="19.899999999999999" customHeight="1" x14ac:dyDescent="0.3">
      <c r="B160" s="8" t="s">
        <v>184</v>
      </c>
      <c r="C160" s="8">
        <v>8</v>
      </c>
      <c r="D160" s="8">
        <v>0.93</v>
      </c>
      <c r="E160" s="8">
        <v>179</v>
      </c>
      <c r="F160" s="8">
        <v>0.89</v>
      </c>
      <c r="G160" s="8">
        <v>0.97</v>
      </c>
      <c r="H160" s="9">
        <v>0.16200000000000001</v>
      </c>
      <c r="I160" s="9">
        <v>0.69</v>
      </c>
      <c r="J160" s="8">
        <v>1.1399999999999999</v>
      </c>
      <c r="K160" s="8">
        <v>1.24</v>
      </c>
      <c r="L160" s="8">
        <v>0.66</v>
      </c>
      <c r="M160" s="8">
        <v>68.7</v>
      </c>
      <c r="N160" s="8">
        <v>-1.03</v>
      </c>
      <c r="O160" s="8">
        <v>65.400000000000006</v>
      </c>
      <c r="P160" s="8">
        <v>0.59</v>
      </c>
      <c r="Q160" s="8">
        <v>0.67</v>
      </c>
      <c r="R160" s="8">
        <v>65.5</v>
      </c>
      <c r="S160" s="8">
        <v>0.93</v>
      </c>
      <c r="T160" s="8">
        <v>64.7</v>
      </c>
      <c r="U160" s="8">
        <v>0.59</v>
      </c>
      <c r="V160" s="8">
        <v>-12</v>
      </c>
      <c r="W160" s="8">
        <v>0</v>
      </c>
      <c r="X160" s="8" t="s">
        <v>91</v>
      </c>
      <c r="Y160" s="8">
        <v>2</v>
      </c>
      <c r="Z160" s="8">
        <v>0.69</v>
      </c>
      <c r="AA160" s="8">
        <v>6</v>
      </c>
      <c r="AB160" s="8">
        <v>0.94</v>
      </c>
      <c r="AC160" s="8">
        <v>0.111731843575419</v>
      </c>
      <c r="AD160" s="8">
        <v>0.45810055865921789</v>
      </c>
      <c r="AE160" s="8">
        <v>7.8212290502793297E-2</v>
      </c>
      <c r="AF160" s="8">
        <v>5.027932960893855E-2</v>
      </c>
      <c r="AG160" s="8">
        <v>5</v>
      </c>
      <c r="AH160" s="8">
        <v>2</v>
      </c>
      <c r="AI160" s="8">
        <v>1</v>
      </c>
      <c r="AJ160" s="8">
        <v>1</v>
      </c>
      <c r="AK160" s="8">
        <v>1</v>
      </c>
      <c r="AL160" s="8">
        <v>0</v>
      </c>
      <c r="AM160" s="8">
        <v>0</v>
      </c>
      <c r="AN160" s="8">
        <v>0.87</v>
      </c>
      <c r="AO160" s="8">
        <v>0</v>
      </c>
      <c r="AP160" s="8" t="s">
        <v>91</v>
      </c>
      <c r="AQ160" s="8">
        <v>91.7</v>
      </c>
      <c r="AR160" s="9">
        <v>0.75</v>
      </c>
      <c r="AS160" s="9">
        <v>9.8000000000000004E-2</v>
      </c>
      <c r="AT160" s="9">
        <v>0.19800000000000001</v>
      </c>
      <c r="AU160" s="8">
        <v>111</v>
      </c>
      <c r="AV160" s="9">
        <v>7.2999999999999995E-2</v>
      </c>
      <c r="AW160" s="8">
        <v>0.32945652173913048</v>
      </c>
      <c r="AX160" s="8">
        <v>40.529347826086948</v>
      </c>
      <c r="AY160" s="8">
        <v>0.12</v>
      </c>
      <c r="AZ160" s="9">
        <v>0.21199999999999999</v>
      </c>
      <c r="BA160" s="8">
        <v>0.03</v>
      </c>
      <c r="BB160" s="8">
        <v>3.9</v>
      </c>
      <c r="BC160" s="8">
        <v>12</v>
      </c>
      <c r="BD160" s="8">
        <v>55</v>
      </c>
      <c r="BE160" s="8">
        <v>53</v>
      </c>
      <c r="BF160" s="8">
        <v>58</v>
      </c>
      <c r="BG160" s="8">
        <v>11</v>
      </c>
      <c r="BH160" s="8">
        <v>0</v>
      </c>
      <c r="BI160" s="8">
        <v>57</v>
      </c>
      <c r="BJ160" s="9">
        <v>0.65100000000000002</v>
      </c>
      <c r="BK160" s="8">
        <v>1.1744444444444451</v>
      </c>
      <c r="BL160" s="8">
        <v>0.14000000000000001</v>
      </c>
      <c r="BM160" s="8">
        <v>0.15</v>
      </c>
      <c r="BN160" s="8">
        <v>0.09</v>
      </c>
      <c r="BO160" s="9">
        <v>0.184</v>
      </c>
      <c r="BP160" s="8">
        <v>2.19</v>
      </c>
      <c r="BQ160" s="8" t="s">
        <v>91</v>
      </c>
      <c r="BR160" s="8">
        <v>75</v>
      </c>
      <c r="BS160" s="8">
        <v>0</v>
      </c>
      <c r="BT160" s="9">
        <v>0</v>
      </c>
      <c r="BU160" s="8" t="s">
        <v>91</v>
      </c>
      <c r="BV160" s="8">
        <v>1.68</v>
      </c>
      <c r="BW160" s="8">
        <v>0.61</v>
      </c>
      <c r="BX160" s="8">
        <v>2.75</v>
      </c>
      <c r="BY160" s="9">
        <v>0.20799999999999999</v>
      </c>
    </row>
    <row r="161" spans="2:77" ht="19.899999999999999" customHeight="1" x14ac:dyDescent="0.3">
      <c r="B161" s="8" t="s">
        <v>185</v>
      </c>
      <c r="C161" s="8">
        <v>8</v>
      </c>
      <c r="D161" s="8">
        <v>0.93</v>
      </c>
      <c r="E161" s="8">
        <v>174</v>
      </c>
      <c r="F161" s="8">
        <v>0.8</v>
      </c>
      <c r="G161" s="8">
        <v>1.03</v>
      </c>
      <c r="H161" s="9">
        <v>0.25900000000000001</v>
      </c>
      <c r="I161" s="9">
        <v>0.44400000000000001</v>
      </c>
      <c r="J161" s="8">
        <v>1</v>
      </c>
      <c r="K161" s="8">
        <v>1.4</v>
      </c>
      <c r="L161" s="8">
        <v>0.73</v>
      </c>
      <c r="M161" s="8">
        <v>73</v>
      </c>
      <c r="N161" s="8">
        <v>-1.91</v>
      </c>
      <c r="O161" s="8">
        <v>71</v>
      </c>
      <c r="P161" s="8">
        <v>0.62</v>
      </c>
      <c r="Q161" s="8">
        <v>0.77</v>
      </c>
      <c r="R161" s="8">
        <v>70.400000000000006</v>
      </c>
      <c r="S161" s="8">
        <v>0.88</v>
      </c>
      <c r="T161" s="8">
        <v>70.400000000000006</v>
      </c>
      <c r="U161" s="8">
        <v>0.62</v>
      </c>
      <c r="V161" s="8">
        <v>-19</v>
      </c>
      <c r="W161" s="8">
        <v>0</v>
      </c>
      <c r="X161" s="8" t="s">
        <v>91</v>
      </c>
      <c r="Y161" s="8">
        <v>0</v>
      </c>
      <c r="Z161" s="8" t="s">
        <v>91</v>
      </c>
      <c r="AA161" s="8">
        <v>3</v>
      </c>
      <c r="AB161" s="8">
        <v>1.1599999999999999</v>
      </c>
      <c r="AC161" s="8">
        <v>0.1149425287356322</v>
      </c>
      <c r="AD161" s="8">
        <v>0.43678160919540232</v>
      </c>
      <c r="AE161" s="8">
        <v>0.15517241379310351</v>
      </c>
      <c r="AF161" s="8">
        <v>2.8735632183908049E-2</v>
      </c>
      <c r="AG161" s="8">
        <v>6</v>
      </c>
      <c r="AH161" s="8">
        <v>3</v>
      </c>
      <c r="AI161" s="8">
        <v>1</v>
      </c>
      <c r="AJ161" s="8">
        <v>1</v>
      </c>
      <c r="AK161" s="8">
        <v>1</v>
      </c>
      <c r="AL161" s="8">
        <v>1</v>
      </c>
      <c r="AM161" s="8">
        <v>5.7471264367816091E-3</v>
      </c>
      <c r="AN161" s="8">
        <v>0.85</v>
      </c>
      <c r="AO161" s="8">
        <v>0</v>
      </c>
      <c r="AP161" s="8" t="s">
        <v>91</v>
      </c>
      <c r="AQ161" s="8">
        <v>88.4</v>
      </c>
      <c r="AR161" s="9">
        <v>0.55000000000000004</v>
      </c>
      <c r="AS161" s="9">
        <v>5.2999999999999999E-2</v>
      </c>
      <c r="AT161" s="9">
        <v>0.38900000000000001</v>
      </c>
      <c r="AU161" s="8">
        <v>114</v>
      </c>
      <c r="AV161" s="9">
        <v>6.3E-2</v>
      </c>
      <c r="AW161" s="8">
        <v>0.42553191489361702</v>
      </c>
      <c r="AX161" s="8">
        <v>56.191489361702118</v>
      </c>
      <c r="AY161" s="8">
        <v>0.11</v>
      </c>
      <c r="AZ161" s="9">
        <v>0.26800000000000002</v>
      </c>
      <c r="BA161" s="8">
        <v>6.0000000000000001E-3</v>
      </c>
      <c r="BB161" s="8">
        <v>6.23</v>
      </c>
      <c r="BC161" s="8">
        <v>40</v>
      </c>
      <c r="BD161" s="8">
        <v>93</v>
      </c>
      <c r="BE161" s="8">
        <v>30</v>
      </c>
      <c r="BF161" s="8">
        <v>64</v>
      </c>
      <c r="BG161" s="8">
        <v>17</v>
      </c>
      <c r="BH161" s="8">
        <v>0</v>
      </c>
      <c r="BI161" s="8">
        <v>43</v>
      </c>
      <c r="BJ161" s="9">
        <v>0.51900000000000002</v>
      </c>
      <c r="BK161" s="8">
        <v>1.252923076923077</v>
      </c>
      <c r="BL161" s="8">
        <v>0.2</v>
      </c>
      <c r="BM161" s="8">
        <v>0.08</v>
      </c>
      <c r="BN161" s="8">
        <v>0.13</v>
      </c>
      <c r="BO161" s="9">
        <v>0.23</v>
      </c>
      <c r="BP161" s="8">
        <v>2.74</v>
      </c>
      <c r="BQ161" s="9">
        <v>1</v>
      </c>
      <c r="BR161" s="8">
        <v>61</v>
      </c>
      <c r="BS161" s="8">
        <v>0.01</v>
      </c>
      <c r="BT161" s="9">
        <v>8.9999999999999993E-3</v>
      </c>
      <c r="BU161" s="9">
        <v>6.0000000000000001E-3</v>
      </c>
      <c r="BV161" s="8">
        <v>1.1499999999999999</v>
      </c>
      <c r="BW161" s="8">
        <v>0.33</v>
      </c>
      <c r="BX161" s="8">
        <v>1.6</v>
      </c>
      <c r="BY161" s="9">
        <v>0.185</v>
      </c>
    </row>
    <row r="162" spans="2:77" ht="19.899999999999999" customHeight="1" x14ac:dyDescent="0.3">
      <c r="B162" s="8" t="s">
        <v>186</v>
      </c>
      <c r="C162" s="8">
        <v>5</v>
      </c>
      <c r="D162" s="8">
        <v>0.92</v>
      </c>
      <c r="E162" s="8">
        <v>107</v>
      </c>
      <c r="F162" s="8">
        <v>0.89</v>
      </c>
      <c r="G162" s="8">
        <v>0.97</v>
      </c>
      <c r="H162" s="9">
        <v>0.14000000000000001</v>
      </c>
      <c r="I162" s="9">
        <v>0.4</v>
      </c>
      <c r="J162" s="8">
        <v>0.81</v>
      </c>
      <c r="K162" s="8">
        <v>0.57999999999999996</v>
      </c>
      <c r="L162" s="8">
        <v>0.55000000000000004</v>
      </c>
      <c r="M162" s="8">
        <v>74.8</v>
      </c>
      <c r="N162" s="8">
        <v>-1.76</v>
      </c>
      <c r="O162" s="8">
        <v>63.4</v>
      </c>
      <c r="P162" s="8">
        <v>0.66</v>
      </c>
      <c r="Q162" s="8">
        <v>0.59</v>
      </c>
      <c r="R162" s="8">
        <v>67.099999999999994</v>
      </c>
      <c r="S162" s="8">
        <v>1.1299999999999999</v>
      </c>
      <c r="T162" s="8">
        <v>62.8</v>
      </c>
      <c r="U162" s="8">
        <v>0.62</v>
      </c>
      <c r="V162" s="8">
        <v>12</v>
      </c>
      <c r="W162" s="8">
        <v>0</v>
      </c>
      <c r="X162" s="8" t="s">
        <v>91</v>
      </c>
      <c r="Y162" s="8">
        <v>0</v>
      </c>
      <c r="Z162" s="8" t="s">
        <v>91</v>
      </c>
      <c r="AA162" s="8">
        <v>0</v>
      </c>
      <c r="AB162" s="8" t="s">
        <v>91</v>
      </c>
      <c r="AC162" s="8">
        <v>5.6074766355140193E-2</v>
      </c>
      <c r="AD162" s="8">
        <v>0.42056074766355139</v>
      </c>
      <c r="AE162" s="8">
        <v>0.15887850467289719</v>
      </c>
      <c r="AF162" s="8">
        <v>5.6074766355140193E-2</v>
      </c>
      <c r="AG162" s="8">
        <v>2</v>
      </c>
      <c r="AH162" s="8">
        <v>1</v>
      </c>
      <c r="AI162" s="8">
        <v>1</v>
      </c>
      <c r="AJ162" s="8">
        <v>0</v>
      </c>
      <c r="AK162" s="8">
        <v>0</v>
      </c>
      <c r="AL162" s="8">
        <v>1</v>
      </c>
      <c r="AM162" s="8">
        <v>9.3457943925233638E-3</v>
      </c>
      <c r="AN162" s="8">
        <v>0.85</v>
      </c>
      <c r="AO162" s="8">
        <v>0</v>
      </c>
      <c r="AP162" s="8" t="s">
        <v>91</v>
      </c>
      <c r="AQ162" s="8">
        <v>72.400000000000006</v>
      </c>
      <c r="AR162" s="9">
        <v>0.5</v>
      </c>
      <c r="AS162" s="9">
        <v>0.20300000000000001</v>
      </c>
      <c r="AT162" s="9">
        <v>0.36599999999999999</v>
      </c>
      <c r="AU162" s="8">
        <v>95</v>
      </c>
      <c r="AV162" s="9">
        <v>0.16800000000000001</v>
      </c>
      <c r="AW162" s="8">
        <v>0.51186440677966105</v>
      </c>
      <c r="AX162" s="8">
        <v>56.077966101694912</v>
      </c>
      <c r="AY162" s="8">
        <v>0.17</v>
      </c>
      <c r="AZ162" s="9">
        <v>0.153</v>
      </c>
      <c r="BA162" s="8">
        <v>0.12</v>
      </c>
      <c r="BB162" s="8">
        <v>5.13</v>
      </c>
      <c r="BC162" s="8">
        <v>38</v>
      </c>
      <c r="BD162" s="8">
        <v>3</v>
      </c>
      <c r="BE162" s="8">
        <v>81</v>
      </c>
      <c r="BF162" s="8">
        <v>6</v>
      </c>
      <c r="BG162" s="8">
        <v>42</v>
      </c>
      <c r="BH162" s="8">
        <v>94</v>
      </c>
      <c r="BI162" s="8">
        <v>79</v>
      </c>
      <c r="BJ162" s="9">
        <v>0.26800000000000002</v>
      </c>
      <c r="BK162" s="8">
        <v>0.8</v>
      </c>
      <c r="BL162" s="8">
        <v>0.08</v>
      </c>
      <c r="BM162" s="8">
        <v>0.11</v>
      </c>
      <c r="BN162" s="8">
        <v>0.04</v>
      </c>
      <c r="BO162" s="9">
        <v>0.28999999999999998</v>
      </c>
      <c r="BP162" s="8">
        <v>1.69</v>
      </c>
      <c r="BQ162" s="9">
        <v>0.5</v>
      </c>
      <c r="BR162" s="8">
        <v>77</v>
      </c>
      <c r="BS162" s="8">
        <v>0.43</v>
      </c>
      <c r="BT162" s="9">
        <v>0.64800000000000002</v>
      </c>
      <c r="BU162" s="9">
        <v>0.27100000000000002</v>
      </c>
      <c r="BV162" s="8">
        <v>3.74</v>
      </c>
      <c r="BW162" s="8">
        <v>0.77</v>
      </c>
      <c r="BX162" s="8">
        <v>2.12</v>
      </c>
      <c r="BY162" s="9">
        <v>0.254</v>
      </c>
    </row>
    <row r="163" spans="2:77" ht="19.899999999999999" customHeight="1" x14ac:dyDescent="0.3">
      <c r="B163" s="8" t="s">
        <v>187</v>
      </c>
      <c r="C163" s="8">
        <v>10</v>
      </c>
      <c r="D163" s="8">
        <v>0.92</v>
      </c>
      <c r="E163" s="8">
        <v>254</v>
      </c>
      <c r="F163" s="8">
        <v>0.79</v>
      </c>
      <c r="G163" s="8">
        <v>1.07</v>
      </c>
      <c r="H163" s="9">
        <v>0.17699999999999999</v>
      </c>
      <c r="I163" s="9">
        <v>0.4</v>
      </c>
      <c r="J163" s="8">
        <v>0.84</v>
      </c>
      <c r="K163" s="8">
        <v>0.78</v>
      </c>
      <c r="L163" s="8">
        <v>0.71</v>
      </c>
      <c r="M163" s="8">
        <v>70.099999999999994</v>
      </c>
      <c r="N163" s="8">
        <v>-1.52</v>
      </c>
      <c r="O163" s="8">
        <v>69.3</v>
      </c>
      <c r="P163" s="8">
        <v>0.56999999999999995</v>
      </c>
      <c r="Q163" s="8">
        <v>0.73</v>
      </c>
      <c r="R163" s="8">
        <v>68.900000000000006</v>
      </c>
      <c r="S163" s="8">
        <v>0.94</v>
      </c>
      <c r="T163" s="8">
        <v>69.7</v>
      </c>
      <c r="U163" s="8">
        <v>0.59</v>
      </c>
      <c r="V163" s="8">
        <v>-34</v>
      </c>
      <c r="W163" s="8">
        <v>0</v>
      </c>
      <c r="X163" s="8" t="s">
        <v>91</v>
      </c>
      <c r="Y163" s="8">
        <v>1</v>
      </c>
      <c r="Z163" s="8">
        <v>0.83</v>
      </c>
      <c r="AA163" s="8">
        <v>1</v>
      </c>
      <c r="AB163" s="8">
        <v>0.83</v>
      </c>
      <c r="AC163" s="8">
        <v>7.0866141732283464E-2</v>
      </c>
      <c r="AD163" s="8">
        <v>0.40944881889763779</v>
      </c>
      <c r="AE163" s="8">
        <v>0.12598425196850391</v>
      </c>
      <c r="AF163" s="8">
        <v>3.937007874015748E-2</v>
      </c>
      <c r="AG163" s="8">
        <v>5</v>
      </c>
      <c r="AH163" s="8">
        <v>3</v>
      </c>
      <c r="AI163" s="8">
        <v>2</v>
      </c>
      <c r="AJ163" s="8">
        <v>1</v>
      </c>
      <c r="AK163" s="8">
        <v>1</v>
      </c>
      <c r="AL163" s="8">
        <v>4</v>
      </c>
      <c r="AM163" s="8">
        <v>1.968503937007874E-2</v>
      </c>
      <c r="AN163" s="8">
        <v>0.78</v>
      </c>
      <c r="AO163" s="8">
        <v>0</v>
      </c>
      <c r="AP163" s="8" t="s">
        <v>91</v>
      </c>
      <c r="AQ163" s="8">
        <v>98</v>
      </c>
      <c r="AR163" s="9">
        <v>0.77800000000000002</v>
      </c>
      <c r="AS163" s="9">
        <v>0.06</v>
      </c>
      <c r="AT163" s="9">
        <v>0.23300000000000001</v>
      </c>
      <c r="AU163" s="8">
        <v>121</v>
      </c>
      <c r="AV163" s="9">
        <v>0.122</v>
      </c>
      <c r="AW163" s="8">
        <v>0.39104477611940291</v>
      </c>
      <c r="AX163" s="8">
        <v>43.59850746268657</v>
      </c>
      <c r="AY163" s="8">
        <v>0.14000000000000001</v>
      </c>
      <c r="AZ163" s="9">
        <v>0.22800000000000001</v>
      </c>
      <c r="BA163" s="8">
        <v>0.06</v>
      </c>
      <c r="BB163" s="8">
        <v>5.28</v>
      </c>
      <c r="BC163" s="8">
        <v>20</v>
      </c>
      <c r="BD163" s="8">
        <v>87</v>
      </c>
      <c r="BE163" s="8">
        <v>54</v>
      </c>
      <c r="BF163" s="8">
        <v>24</v>
      </c>
      <c r="BG163" s="8">
        <v>54</v>
      </c>
      <c r="BH163" s="8">
        <v>1</v>
      </c>
      <c r="BI163" s="8">
        <v>79</v>
      </c>
      <c r="BJ163" s="9">
        <v>0.623</v>
      </c>
      <c r="BK163" s="8">
        <v>1.1898095238095241</v>
      </c>
      <c r="BL163" s="8">
        <v>0.16</v>
      </c>
      <c r="BM163" s="8">
        <v>0.1</v>
      </c>
      <c r="BN163" s="8">
        <v>0.15</v>
      </c>
      <c r="BO163" s="9">
        <v>0.24</v>
      </c>
      <c r="BP163" s="8">
        <v>2.66</v>
      </c>
      <c r="BQ163" s="9">
        <v>0.5</v>
      </c>
      <c r="BR163" s="8">
        <v>70</v>
      </c>
      <c r="BS163" s="8">
        <v>0.01</v>
      </c>
      <c r="BT163" s="9">
        <v>1.4E-2</v>
      </c>
      <c r="BU163" s="9">
        <v>4.0000000000000001E-3</v>
      </c>
      <c r="BV163" s="8">
        <v>0.39</v>
      </c>
      <c r="BW163" s="8">
        <v>0.8</v>
      </c>
      <c r="BX163" s="8">
        <v>2.41</v>
      </c>
      <c r="BY163" s="9">
        <v>0.24</v>
      </c>
    </row>
    <row r="164" spans="2:77" ht="19.899999999999999" customHeight="1" x14ac:dyDescent="0.3">
      <c r="B164" s="8" t="s">
        <v>188</v>
      </c>
      <c r="C164" s="8">
        <v>8</v>
      </c>
      <c r="D164" s="8">
        <v>0.91</v>
      </c>
      <c r="E164" s="8">
        <v>174</v>
      </c>
      <c r="F164" s="8">
        <v>0.71</v>
      </c>
      <c r="G164" s="8">
        <v>1.07</v>
      </c>
      <c r="H164" s="9">
        <v>0.121</v>
      </c>
      <c r="I164" s="9">
        <v>0.66700000000000004</v>
      </c>
      <c r="J164" s="8">
        <v>1</v>
      </c>
      <c r="K164" s="8">
        <v>0.67</v>
      </c>
      <c r="L164" s="8">
        <v>0.61</v>
      </c>
      <c r="M164" s="8">
        <v>71.3</v>
      </c>
      <c r="N164" s="8">
        <v>-0.97</v>
      </c>
      <c r="O164" s="8">
        <v>64.900000000000006</v>
      </c>
      <c r="P164" s="8">
        <v>0.59</v>
      </c>
      <c r="Q164" s="8">
        <v>0.68</v>
      </c>
      <c r="R164" s="8">
        <v>67.099999999999994</v>
      </c>
      <c r="S164" s="8">
        <v>0.68</v>
      </c>
      <c r="T164" s="8">
        <v>63.6</v>
      </c>
      <c r="U164" s="8">
        <v>0.56999999999999995</v>
      </c>
      <c r="V164" s="8">
        <v>-4</v>
      </c>
      <c r="W164" s="8">
        <v>0</v>
      </c>
      <c r="X164" s="8" t="s">
        <v>91</v>
      </c>
      <c r="Y164" s="8">
        <v>0</v>
      </c>
      <c r="Z164" s="8" t="s">
        <v>91</v>
      </c>
      <c r="AA164" s="8">
        <v>3</v>
      </c>
      <c r="AB164" s="8">
        <v>0.8</v>
      </c>
      <c r="AC164" s="8">
        <v>8.0459770114942528E-2</v>
      </c>
      <c r="AD164" s="8">
        <v>0.46551724137931028</v>
      </c>
      <c r="AE164" s="8">
        <v>0.10919540229885059</v>
      </c>
      <c r="AF164" s="8">
        <v>1.149425287356322E-2</v>
      </c>
      <c r="AG164" s="8">
        <v>3</v>
      </c>
      <c r="AH164" s="8">
        <v>3</v>
      </c>
      <c r="AI164" s="8">
        <v>2</v>
      </c>
      <c r="AJ164" s="8">
        <v>1</v>
      </c>
      <c r="AK164" s="8">
        <v>0</v>
      </c>
      <c r="AL164" s="8">
        <v>1</v>
      </c>
      <c r="AM164" s="8">
        <v>5.7471264367816091E-3</v>
      </c>
      <c r="AN164" s="8">
        <v>0.82</v>
      </c>
      <c r="AO164" s="8">
        <v>0</v>
      </c>
      <c r="AP164" s="8" t="s">
        <v>91</v>
      </c>
      <c r="AQ164" s="8">
        <v>87.6</v>
      </c>
      <c r="AR164" s="9">
        <v>0.71399999999999997</v>
      </c>
      <c r="AS164" s="9">
        <v>0.11700000000000001</v>
      </c>
      <c r="AT164" s="9">
        <v>0.33300000000000002</v>
      </c>
      <c r="AU164" s="8">
        <v>111</v>
      </c>
      <c r="AV164" s="9">
        <v>0.17199999999999999</v>
      </c>
      <c r="AW164" s="8">
        <v>0.38723404255319149</v>
      </c>
      <c r="AX164" s="8">
        <v>45.58085106382979</v>
      </c>
      <c r="AY164" s="8">
        <v>0.14000000000000001</v>
      </c>
      <c r="AZ164" s="9">
        <v>0.16</v>
      </c>
      <c r="BA164" s="8">
        <v>0.05</v>
      </c>
      <c r="BB164" s="8">
        <v>4.6100000000000003</v>
      </c>
      <c r="BC164" s="8">
        <v>12</v>
      </c>
      <c r="BD164" s="8">
        <v>25</v>
      </c>
      <c r="BE164" s="8">
        <v>59</v>
      </c>
      <c r="BF164" s="8">
        <v>31</v>
      </c>
      <c r="BG164" s="8">
        <v>37</v>
      </c>
      <c r="BH164" s="8">
        <v>56</v>
      </c>
      <c r="BI164" s="8">
        <v>69</v>
      </c>
      <c r="BJ164" s="9">
        <v>0.373</v>
      </c>
      <c r="BK164" s="8">
        <v>1.001538461538461</v>
      </c>
      <c r="BL164" s="8">
        <v>0.1</v>
      </c>
      <c r="BM164" s="8">
        <v>0.1</v>
      </c>
      <c r="BN164" s="8">
        <v>0.1</v>
      </c>
      <c r="BO164" s="9">
        <v>0.21299999999999999</v>
      </c>
      <c r="BP164" s="8">
        <v>2.16</v>
      </c>
      <c r="BQ164" s="9">
        <v>1</v>
      </c>
      <c r="BR164" s="8">
        <v>73</v>
      </c>
      <c r="BS164" s="8">
        <v>0.2</v>
      </c>
      <c r="BT164" s="9">
        <v>0.33300000000000002</v>
      </c>
      <c r="BU164" s="9">
        <v>0.17199999999999999</v>
      </c>
      <c r="BV164" s="8">
        <v>0.56999999999999995</v>
      </c>
      <c r="BW164" s="8">
        <v>0.73</v>
      </c>
      <c r="BX164" s="8">
        <v>2.13</v>
      </c>
      <c r="BY164" s="9">
        <v>0.23499999999999999</v>
      </c>
    </row>
    <row r="165" spans="2:77" ht="19.899999999999999" customHeight="1" x14ac:dyDescent="0.3">
      <c r="B165" s="8" t="s">
        <v>189</v>
      </c>
      <c r="C165" s="8">
        <v>5</v>
      </c>
      <c r="D165" s="8">
        <v>0.91</v>
      </c>
      <c r="E165" s="8">
        <v>116</v>
      </c>
      <c r="F165" s="8">
        <v>0.82</v>
      </c>
      <c r="G165" s="8">
        <v>1.01</v>
      </c>
      <c r="H165" s="9">
        <v>0.216</v>
      </c>
      <c r="I165" s="9">
        <v>0.52</v>
      </c>
      <c r="J165" s="8">
        <v>1.05</v>
      </c>
      <c r="K165" s="8">
        <v>1.25</v>
      </c>
      <c r="L165" s="8">
        <v>0.75</v>
      </c>
      <c r="M165" s="8">
        <v>69.8</v>
      </c>
      <c r="N165" s="8">
        <v>-2.87</v>
      </c>
      <c r="O165" s="8">
        <v>72.900000000000006</v>
      </c>
      <c r="P165" s="8">
        <v>0.61</v>
      </c>
      <c r="Q165" s="8">
        <v>0.77</v>
      </c>
      <c r="R165" s="8">
        <v>67</v>
      </c>
      <c r="S165" s="8">
        <v>1.03</v>
      </c>
      <c r="T165" s="8">
        <v>75</v>
      </c>
      <c r="U165" s="8">
        <v>0.64</v>
      </c>
      <c r="V165" s="8">
        <v>-16</v>
      </c>
      <c r="W165" s="8">
        <v>0</v>
      </c>
      <c r="X165" s="8" t="s">
        <v>91</v>
      </c>
      <c r="Y165" s="8">
        <v>0</v>
      </c>
      <c r="Z165" s="8" t="s">
        <v>91</v>
      </c>
      <c r="AA165" s="8">
        <v>4</v>
      </c>
      <c r="AB165" s="8">
        <v>0.84</v>
      </c>
      <c r="AC165" s="8">
        <v>0.1120689655172414</v>
      </c>
      <c r="AD165" s="8">
        <v>0.44827586206896552</v>
      </c>
      <c r="AE165" s="8">
        <v>0.12931034482758619</v>
      </c>
      <c r="AF165" s="8">
        <v>3.4482758620689648E-2</v>
      </c>
      <c r="AG165" s="8">
        <v>3</v>
      </c>
      <c r="AH165" s="8">
        <v>2</v>
      </c>
      <c r="AI165" s="8">
        <v>1</v>
      </c>
      <c r="AJ165" s="8">
        <v>0</v>
      </c>
      <c r="AK165" s="8">
        <v>0</v>
      </c>
      <c r="AL165" s="8">
        <v>1</v>
      </c>
      <c r="AM165" s="8">
        <v>1.7241379310344831E-2</v>
      </c>
      <c r="AN165" s="8">
        <v>0.9</v>
      </c>
      <c r="AO165" s="8">
        <v>0</v>
      </c>
      <c r="AP165" s="8" t="s">
        <v>91</v>
      </c>
      <c r="AQ165" s="8">
        <v>102.8</v>
      </c>
      <c r="AR165" s="9">
        <v>0.84599999999999997</v>
      </c>
      <c r="AS165" s="9">
        <v>4.4999999999999998E-2</v>
      </c>
      <c r="AT165" s="9">
        <v>0.29599999999999999</v>
      </c>
      <c r="AU165" s="8">
        <v>119</v>
      </c>
      <c r="AV165" s="9">
        <v>9.5000000000000001E-2</v>
      </c>
      <c r="AW165" s="8">
        <v>0.39393939393939392</v>
      </c>
      <c r="AX165" s="8">
        <v>50.248484848484871</v>
      </c>
      <c r="AY165" s="8">
        <v>0.11</v>
      </c>
      <c r="AZ165" s="9">
        <v>0.161</v>
      </c>
      <c r="BA165" s="8">
        <v>0.04</v>
      </c>
      <c r="BB165" s="8">
        <v>4.18</v>
      </c>
      <c r="BC165" s="8">
        <v>31</v>
      </c>
      <c r="BD165" s="8">
        <v>35</v>
      </c>
      <c r="BE165" s="8">
        <v>45</v>
      </c>
      <c r="BF165" s="8">
        <v>69</v>
      </c>
      <c r="BG165" s="8">
        <v>44</v>
      </c>
      <c r="BH165" s="8">
        <v>0</v>
      </c>
      <c r="BI165" s="8">
        <v>37</v>
      </c>
      <c r="BJ165" s="9">
        <v>0.62</v>
      </c>
      <c r="BK165" s="8">
        <v>0.84000000000000008</v>
      </c>
      <c r="BL165" s="8">
        <v>0.12</v>
      </c>
      <c r="BM165" s="8">
        <v>0.13</v>
      </c>
      <c r="BN165" s="8">
        <v>0.1</v>
      </c>
      <c r="BO165" s="9">
        <v>0.20699999999999999</v>
      </c>
      <c r="BP165" s="8">
        <v>2.63</v>
      </c>
      <c r="BQ165" s="9">
        <v>0</v>
      </c>
      <c r="BR165" s="8">
        <v>69</v>
      </c>
      <c r="BS165" s="8">
        <v>0</v>
      </c>
      <c r="BT165" s="9">
        <v>0</v>
      </c>
      <c r="BU165" s="8" t="s">
        <v>91</v>
      </c>
      <c r="BV165" s="8">
        <v>0</v>
      </c>
      <c r="BW165" s="8">
        <v>0.39</v>
      </c>
      <c r="BX165" s="8">
        <v>2.52</v>
      </c>
      <c r="BY165" s="9">
        <v>0.183</v>
      </c>
    </row>
    <row r="166" spans="2:77" ht="19.899999999999999" customHeight="1" x14ac:dyDescent="0.3">
      <c r="B166" s="8" t="s">
        <v>190</v>
      </c>
      <c r="C166" s="8">
        <v>15</v>
      </c>
      <c r="D166" s="8">
        <v>0.9</v>
      </c>
      <c r="E166" s="8">
        <v>345</v>
      </c>
      <c r="F166" s="8">
        <v>0.94</v>
      </c>
      <c r="G166" s="8">
        <v>0.85</v>
      </c>
      <c r="H166" s="9">
        <v>0.217</v>
      </c>
      <c r="I166" s="9">
        <v>0.41299999999999998</v>
      </c>
      <c r="J166" s="8">
        <v>0.9</v>
      </c>
      <c r="K166" s="8">
        <v>0.85</v>
      </c>
      <c r="L166" s="8">
        <v>0.67</v>
      </c>
      <c r="M166" s="8">
        <v>71.3</v>
      </c>
      <c r="N166" s="8">
        <v>-1.75</v>
      </c>
      <c r="O166" s="8">
        <v>70.3</v>
      </c>
      <c r="P166" s="8">
        <v>0.57999999999999996</v>
      </c>
      <c r="Q166" s="8">
        <v>0.68</v>
      </c>
      <c r="R166" s="8">
        <v>66.099999999999994</v>
      </c>
      <c r="S166" s="8">
        <v>0.72</v>
      </c>
      <c r="T166" s="8">
        <v>69.599999999999994</v>
      </c>
      <c r="U166" s="8">
        <v>0.56999999999999995</v>
      </c>
      <c r="V166" s="8">
        <v>-33</v>
      </c>
      <c r="W166" s="8">
        <v>0</v>
      </c>
      <c r="X166" s="8" t="s">
        <v>91</v>
      </c>
      <c r="Y166" s="8">
        <v>0</v>
      </c>
      <c r="Z166" s="8" t="s">
        <v>91</v>
      </c>
      <c r="AA166" s="8">
        <v>6</v>
      </c>
      <c r="AB166" s="8">
        <v>0.77</v>
      </c>
      <c r="AC166" s="8">
        <v>8.9855072463768115E-2</v>
      </c>
      <c r="AD166" s="8">
        <v>0.44637681159420289</v>
      </c>
      <c r="AE166" s="8">
        <v>0.11304347826086961</v>
      </c>
      <c r="AF166" s="8">
        <v>1.4492753623188409E-2</v>
      </c>
      <c r="AG166" s="8">
        <v>9</v>
      </c>
      <c r="AH166" s="8">
        <v>6</v>
      </c>
      <c r="AI166" s="8">
        <v>4</v>
      </c>
      <c r="AJ166" s="8">
        <v>3</v>
      </c>
      <c r="AK166" s="8">
        <v>3</v>
      </c>
      <c r="AL166" s="8">
        <v>4</v>
      </c>
      <c r="AM166" s="8">
        <v>1.4492753623188409E-2</v>
      </c>
      <c r="AN166" s="8">
        <v>0.82</v>
      </c>
      <c r="AO166" s="8">
        <v>0</v>
      </c>
      <c r="AP166" s="8" t="s">
        <v>91</v>
      </c>
      <c r="AQ166" s="8">
        <v>94.2</v>
      </c>
      <c r="AR166" s="9">
        <v>0.71</v>
      </c>
      <c r="AS166" s="9">
        <v>9.0999999999999998E-2</v>
      </c>
      <c r="AT166" s="9">
        <v>0.216</v>
      </c>
      <c r="AU166" s="8">
        <v>122</v>
      </c>
      <c r="AV166" s="9">
        <v>6.0999999999999999E-2</v>
      </c>
      <c r="AW166" s="8">
        <v>0.30841463414634152</v>
      </c>
      <c r="AX166" s="8">
        <v>43.922560975609748</v>
      </c>
      <c r="AY166" s="8">
        <v>0.11</v>
      </c>
      <c r="AZ166" s="9">
        <v>0.17699999999999999</v>
      </c>
      <c r="BA166" s="8">
        <v>0.03</v>
      </c>
      <c r="BB166" s="8">
        <v>5.7</v>
      </c>
      <c r="BC166" s="8">
        <v>19</v>
      </c>
      <c r="BD166" s="8">
        <v>27</v>
      </c>
      <c r="BE166" s="8">
        <v>23</v>
      </c>
      <c r="BF166" s="8">
        <v>42</v>
      </c>
      <c r="BG166" s="8">
        <v>37</v>
      </c>
      <c r="BH166" s="8">
        <v>1</v>
      </c>
      <c r="BI166" s="8">
        <v>78</v>
      </c>
      <c r="BJ166" s="9">
        <v>0.49199999999999999</v>
      </c>
      <c r="BK166" s="8">
        <v>1.1957222222222219</v>
      </c>
      <c r="BL166" s="8">
        <v>0.12</v>
      </c>
      <c r="BM166" s="8">
        <v>0.08</v>
      </c>
      <c r="BN166" s="8">
        <v>0.1</v>
      </c>
      <c r="BO166" s="9">
        <v>0.22900000000000001</v>
      </c>
      <c r="BP166" s="8">
        <v>2.86</v>
      </c>
      <c r="BQ166" s="9">
        <v>0.75</v>
      </c>
      <c r="BR166" s="8">
        <v>78</v>
      </c>
      <c r="BS166" s="8">
        <v>0.01</v>
      </c>
      <c r="BT166" s="9">
        <v>1.4999999999999999E-2</v>
      </c>
      <c r="BU166" s="9">
        <v>1.7000000000000001E-2</v>
      </c>
      <c r="BV166" s="8">
        <v>1.74</v>
      </c>
      <c r="BW166" s="8">
        <v>0.79</v>
      </c>
      <c r="BX166" s="8">
        <v>2.11</v>
      </c>
      <c r="BY166" s="9">
        <v>0.19600000000000001</v>
      </c>
    </row>
    <row r="167" spans="2:77" ht="19.899999999999999" customHeight="1" x14ac:dyDescent="0.3">
      <c r="B167" s="8" t="s">
        <v>191</v>
      </c>
      <c r="C167" s="8">
        <v>8</v>
      </c>
      <c r="D167" s="8">
        <v>0.86</v>
      </c>
      <c r="E167" s="8">
        <v>179</v>
      </c>
      <c r="F167" s="8">
        <v>1.02</v>
      </c>
      <c r="G167" s="8">
        <v>0.72</v>
      </c>
      <c r="H167" s="9">
        <v>0.128</v>
      </c>
      <c r="I167" s="9">
        <v>0.39100000000000001</v>
      </c>
      <c r="J167" s="8">
        <v>0.79</v>
      </c>
      <c r="K167" s="8">
        <v>1.19</v>
      </c>
      <c r="L167" s="8">
        <v>0.66</v>
      </c>
      <c r="M167" s="8">
        <v>72.099999999999994</v>
      </c>
      <c r="N167" s="8">
        <v>-2.92</v>
      </c>
      <c r="O167" s="8">
        <v>61.6</v>
      </c>
      <c r="P167" s="8">
        <v>0.51</v>
      </c>
      <c r="Q167" s="8">
        <v>0.66</v>
      </c>
      <c r="R167" s="8">
        <v>70</v>
      </c>
      <c r="S167" s="8">
        <v>0.86</v>
      </c>
      <c r="T167" s="8">
        <v>64</v>
      </c>
      <c r="U167" s="8">
        <v>0.53</v>
      </c>
      <c r="V167" s="8">
        <v>-27</v>
      </c>
      <c r="W167" s="8">
        <v>0</v>
      </c>
      <c r="X167" s="8" t="s">
        <v>91</v>
      </c>
      <c r="Y167" s="8">
        <v>2</v>
      </c>
      <c r="Z167" s="8">
        <v>0.74</v>
      </c>
      <c r="AA167" s="8">
        <v>6</v>
      </c>
      <c r="AB167" s="8">
        <v>0.83</v>
      </c>
      <c r="AC167" s="8">
        <v>5.027932960893855E-2</v>
      </c>
      <c r="AD167" s="8">
        <v>0.35754189944134079</v>
      </c>
      <c r="AE167" s="8">
        <v>0.1229050279329609</v>
      </c>
      <c r="AF167" s="8">
        <v>2.23463687150838E-2</v>
      </c>
      <c r="AG167" s="8">
        <v>5</v>
      </c>
      <c r="AH167" s="8">
        <v>3</v>
      </c>
      <c r="AI167" s="8">
        <v>0</v>
      </c>
      <c r="AJ167" s="8">
        <v>0</v>
      </c>
      <c r="AK167" s="8">
        <v>0</v>
      </c>
      <c r="AL167" s="8">
        <v>1</v>
      </c>
      <c r="AM167" s="8">
        <v>5.5865921787709499E-3</v>
      </c>
      <c r="AN167" s="8">
        <v>0.68</v>
      </c>
      <c r="AO167" s="8">
        <v>0</v>
      </c>
      <c r="AP167" s="8" t="s">
        <v>91</v>
      </c>
      <c r="AQ167" s="8">
        <v>75.599999999999994</v>
      </c>
      <c r="AR167" s="9">
        <v>0.77800000000000002</v>
      </c>
      <c r="AS167" s="9">
        <v>7.5999999999999998E-2</v>
      </c>
      <c r="AT167" s="9">
        <v>0.217</v>
      </c>
      <c r="AU167" s="8">
        <v>120</v>
      </c>
      <c r="AV167" s="9">
        <v>0.11700000000000001</v>
      </c>
      <c r="AW167" s="8">
        <v>0.35695652173913039</v>
      </c>
      <c r="AX167" s="8">
        <v>48.360869565217392</v>
      </c>
      <c r="AY167" s="8">
        <v>0.11</v>
      </c>
      <c r="AZ167" s="9">
        <v>0.17599999999999999</v>
      </c>
      <c r="BA167" s="8">
        <v>0.09</v>
      </c>
      <c r="BB167" s="8">
        <v>5.48</v>
      </c>
      <c r="BC167" s="8">
        <v>8</v>
      </c>
      <c r="BD167" s="8">
        <v>16</v>
      </c>
      <c r="BE167" s="8">
        <v>31</v>
      </c>
      <c r="BF167" s="8">
        <v>11</v>
      </c>
      <c r="BG167" s="8">
        <v>31</v>
      </c>
      <c r="BH167" s="8">
        <v>1</v>
      </c>
      <c r="BI167" s="8">
        <v>82</v>
      </c>
      <c r="BJ167" s="9">
        <v>0.54300000000000004</v>
      </c>
      <c r="BK167" s="8">
        <v>1.0566666666666671</v>
      </c>
      <c r="BL167" s="8">
        <v>0.12</v>
      </c>
      <c r="BM167" s="8">
        <v>0.08</v>
      </c>
      <c r="BN167" s="8">
        <v>7.0000000000000007E-2</v>
      </c>
      <c r="BO167" s="9">
        <v>0.28499999999999998</v>
      </c>
      <c r="BP167" s="8">
        <v>2.64</v>
      </c>
      <c r="BQ167" s="9">
        <v>0.5</v>
      </c>
      <c r="BR167" s="8">
        <v>75</v>
      </c>
      <c r="BS167" s="8">
        <v>0.01</v>
      </c>
      <c r="BT167" s="9">
        <v>2.1999999999999999E-2</v>
      </c>
      <c r="BU167" s="9">
        <v>1.7000000000000001E-2</v>
      </c>
      <c r="BV167" s="8">
        <v>0.56000000000000005</v>
      </c>
      <c r="BW167" s="8">
        <v>0.76</v>
      </c>
      <c r="BX167" s="8">
        <v>2.6</v>
      </c>
      <c r="BY167" s="9">
        <v>0.217</v>
      </c>
    </row>
    <row r="168" spans="2:77" ht="19.899999999999999" customHeight="1" x14ac:dyDescent="0.3">
      <c r="B168" s="8" t="s">
        <v>192</v>
      </c>
      <c r="C168" s="8">
        <v>5</v>
      </c>
      <c r="D168" s="8">
        <v>0.85</v>
      </c>
      <c r="E168" s="8">
        <v>107</v>
      </c>
      <c r="F168" s="8">
        <v>0.79</v>
      </c>
      <c r="G168" s="8">
        <v>0.91</v>
      </c>
      <c r="H168" s="9">
        <v>0.13100000000000001</v>
      </c>
      <c r="I168" s="9">
        <v>0.5</v>
      </c>
      <c r="J168" s="8">
        <v>0.88</v>
      </c>
      <c r="K168" s="8">
        <v>0.56000000000000005</v>
      </c>
      <c r="L168" s="8">
        <v>0.61</v>
      </c>
      <c r="M168" s="8">
        <v>73.8</v>
      </c>
      <c r="N168" s="8">
        <v>-2.09</v>
      </c>
      <c r="O168" s="8">
        <v>57.5</v>
      </c>
      <c r="P168" s="8">
        <v>0.53</v>
      </c>
      <c r="Q168" s="8">
        <v>0.63</v>
      </c>
      <c r="R168" s="8">
        <v>65</v>
      </c>
      <c r="S168" s="8">
        <v>0.8</v>
      </c>
      <c r="T168" s="8">
        <v>57.7</v>
      </c>
      <c r="U168" s="8">
        <v>0.55000000000000004</v>
      </c>
      <c r="V168" s="8">
        <v>-8</v>
      </c>
      <c r="W168" s="8">
        <v>0</v>
      </c>
      <c r="X168" s="8" t="s">
        <v>91</v>
      </c>
      <c r="Y168" s="8">
        <v>0</v>
      </c>
      <c r="Z168" s="8" t="s">
        <v>91</v>
      </c>
      <c r="AA168" s="8">
        <v>0</v>
      </c>
      <c r="AB168" s="8" t="s">
        <v>91</v>
      </c>
      <c r="AC168" s="8">
        <v>6.5420560747663545E-2</v>
      </c>
      <c r="AD168" s="8">
        <v>0.41121495327102803</v>
      </c>
      <c r="AE168" s="8">
        <v>0.10280373831775701</v>
      </c>
      <c r="AF168" s="8">
        <v>1.8691588785046731E-2</v>
      </c>
      <c r="AG168" s="8">
        <v>3</v>
      </c>
      <c r="AH168" s="8">
        <v>0</v>
      </c>
      <c r="AI168" s="8">
        <v>0</v>
      </c>
      <c r="AJ168" s="8">
        <v>0</v>
      </c>
      <c r="AK168" s="8">
        <v>0</v>
      </c>
      <c r="AL168" s="8">
        <v>1</v>
      </c>
      <c r="AM168" s="8">
        <v>9.3457943925233638E-3</v>
      </c>
      <c r="AN168" s="8">
        <v>0.67</v>
      </c>
      <c r="AO168" s="8">
        <v>0</v>
      </c>
      <c r="AP168" s="8" t="s">
        <v>91</v>
      </c>
      <c r="AQ168" s="8">
        <v>66.599999999999994</v>
      </c>
      <c r="AR168" s="9">
        <v>0.42899999999999999</v>
      </c>
      <c r="AS168" s="9">
        <v>0.186</v>
      </c>
      <c r="AT168" s="9">
        <v>0.36799999999999999</v>
      </c>
      <c r="AU168" s="8">
        <v>108</v>
      </c>
      <c r="AV168" s="9">
        <v>9.2999999999999999E-2</v>
      </c>
      <c r="AW168" s="8">
        <v>0.42101694915254229</v>
      </c>
      <c r="AX168" s="8">
        <v>50.096610169491527</v>
      </c>
      <c r="AY168" s="8">
        <v>0.08</v>
      </c>
      <c r="AZ168" s="9">
        <v>0.154</v>
      </c>
      <c r="BA168" s="8">
        <v>0.02</v>
      </c>
      <c r="BB168" s="8">
        <v>1.5</v>
      </c>
      <c r="BC168" s="8">
        <v>4</v>
      </c>
      <c r="BD168" s="8">
        <v>19</v>
      </c>
      <c r="BE168" s="8">
        <v>17</v>
      </c>
      <c r="BF168" s="8">
        <v>13</v>
      </c>
      <c r="BG168" s="8">
        <v>32</v>
      </c>
      <c r="BH168" s="8">
        <v>0</v>
      </c>
      <c r="BI168" s="8">
        <v>18</v>
      </c>
      <c r="BJ168" s="9">
        <v>0.38600000000000001</v>
      </c>
      <c r="BK168" s="8">
        <v>0.99</v>
      </c>
      <c r="BL168" s="8">
        <v>0.09</v>
      </c>
      <c r="BM168" s="8">
        <v>7.0000000000000007E-2</v>
      </c>
      <c r="BN168" s="8">
        <v>0.09</v>
      </c>
      <c r="BO168" s="9">
        <v>0.27100000000000002</v>
      </c>
      <c r="BP168" s="8">
        <v>2.1800000000000002</v>
      </c>
      <c r="BQ168" s="9">
        <v>0.5</v>
      </c>
      <c r="BR168" s="8">
        <v>75</v>
      </c>
      <c r="BS168" s="8">
        <v>0</v>
      </c>
      <c r="BT168" s="9">
        <v>0</v>
      </c>
      <c r="BU168" s="8" t="s">
        <v>91</v>
      </c>
      <c r="BV168" s="8">
        <v>0.93</v>
      </c>
      <c r="BW168" s="8">
        <v>0.36</v>
      </c>
      <c r="BX168" s="8">
        <v>2.25</v>
      </c>
      <c r="BY168" s="9">
        <v>0.158</v>
      </c>
    </row>
    <row r="169" spans="2:77" ht="19.899999999999999" customHeight="1" x14ac:dyDescent="0.3">
      <c r="B169" s="8" t="s">
        <v>193</v>
      </c>
      <c r="C169" s="8">
        <v>5</v>
      </c>
      <c r="D169" s="8">
        <v>0.83</v>
      </c>
      <c r="E169" s="8">
        <v>107</v>
      </c>
      <c r="F169" s="8">
        <v>0.76</v>
      </c>
      <c r="G169" s="8">
        <v>0.91</v>
      </c>
      <c r="H169" s="9">
        <v>0.29899999999999999</v>
      </c>
      <c r="I169" s="9">
        <v>0.40600000000000003</v>
      </c>
      <c r="J169" s="8">
        <v>0.98</v>
      </c>
      <c r="K169" s="8">
        <v>0.53</v>
      </c>
      <c r="L169" s="8">
        <v>0.72</v>
      </c>
      <c r="M169" s="8">
        <v>61.7</v>
      </c>
      <c r="N169" s="8">
        <v>-2.58</v>
      </c>
      <c r="O169" s="8">
        <v>69.5</v>
      </c>
      <c r="P169" s="8">
        <v>0.57999999999999996</v>
      </c>
      <c r="Q169" s="8">
        <v>0.76</v>
      </c>
      <c r="R169" s="8">
        <v>62.6</v>
      </c>
      <c r="S169" s="8">
        <v>1.08</v>
      </c>
      <c r="T169" s="8">
        <v>68.7</v>
      </c>
      <c r="U169" s="8">
        <v>0.57999999999999996</v>
      </c>
      <c r="V169" s="8">
        <v>-15</v>
      </c>
      <c r="W169" s="8">
        <v>0</v>
      </c>
      <c r="X169" s="8" t="s">
        <v>91</v>
      </c>
      <c r="Y169" s="8">
        <v>0</v>
      </c>
      <c r="Z169" s="8" t="s">
        <v>91</v>
      </c>
      <c r="AA169" s="8">
        <v>0</v>
      </c>
      <c r="AB169" s="8" t="s">
        <v>91</v>
      </c>
      <c r="AC169" s="8">
        <v>0.1214953271028037</v>
      </c>
      <c r="AD169" s="8">
        <v>0.37383177570093462</v>
      </c>
      <c r="AE169" s="8">
        <v>0.14953271028037379</v>
      </c>
      <c r="AF169" s="8">
        <v>4.6728971962616821E-2</v>
      </c>
      <c r="AG169" s="8">
        <v>2</v>
      </c>
      <c r="AH169" s="8">
        <v>2</v>
      </c>
      <c r="AI169" s="8">
        <v>1</v>
      </c>
      <c r="AJ169" s="8">
        <v>1</v>
      </c>
      <c r="AK169" s="8">
        <v>1</v>
      </c>
      <c r="AL169" s="8">
        <v>2</v>
      </c>
      <c r="AM169" s="8">
        <v>1.8691588785046731E-2</v>
      </c>
      <c r="AN169" s="8">
        <v>0.98</v>
      </c>
      <c r="AO169" s="8">
        <v>0</v>
      </c>
      <c r="AP169" s="8" t="s">
        <v>91</v>
      </c>
      <c r="AQ169" s="8">
        <v>100</v>
      </c>
      <c r="AR169" s="9">
        <v>0.84599999999999997</v>
      </c>
      <c r="AS169" s="9">
        <v>0.10199999999999999</v>
      </c>
      <c r="AT169" s="9">
        <v>0.35499999999999998</v>
      </c>
      <c r="AU169" s="8">
        <v>120</v>
      </c>
      <c r="AV169" s="9">
        <v>6.5000000000000002E-2</v>
      </c>
      <c r="AW169" s="8">
        <v>0.2535593220338983</v>
      </c>
      <c r="AX169" s="8">
        <v>44.686440677966097</v>
      </c>
      <c r="AY169" s="8">
        <v>0.14000000000000001</v>
      </c>
      <c r="AZ169" s="9">
        <v>0.20799999999999999</v>
      </c>
      <c r="BA169" s="8">
        <v>0.06</v>
      </c>
      <c r="BB169" s="8">
        <v>8.6999999999999993</v>
      </c>
      <c r="BC169" s="8">
        <v>30</v>
      </c>
      <c r="BD169" s="8">
        <v>67</v>
      </c>
      <c r="BE169" s="8">
        <v>57</v>
      </c>
      <c r="BF169" s="8">
        <v>77</v>
      </c>
      <c r="BG169" s="8">
        <v>40</v>
      </c>
      <c r="BH169" s="8">
        <v>0</v>
      </c>
      <c r="BI169" s="8">
        <v>65</v>
      </c>
      <c r="BJ169" s="9">
        <v>0.59699999999999998</v>
      </c>
      <c r="BK169" s="8">
        <v>1.55</v>
      </c>
      <c r="BL169" s="8">
        <v>0.15</v>
      </c>
      <c r="BM169" s="8">
        <v>0.08</v>
      </c>
      <c r="BN169" s="8">
        <v>0.13</v>
      </c>
      <c r="BO169" s="9">
        <v>0.20599999999999999</v>
      </c>
      <c r="BP169" s="8">
        <v>2.85</v>
      </c>
      <c r="BQ169" s="9">
        <v>1</v>
      </c>
      <c r="BR169" s="8">
        <v>64</v>
      </c>
      <c r="BS169" s="8">
        <v>0</v>
      </c>
      <c r="BT169" s="9">
        <v>0</v>
      </c>
      <c r="BU169" s="8" t="s">
        <v>91</v>
      </c>
      <c r="BV169" s="8">
        <v>1.87</v>
      </c>
      <c r="BW169" s="8">
        <v>0.39</v>
      </c>
      <c r="BX169" s="8">
        <v>2.79</v>
      </c>
      <c r="BY169" s="9">
        <v>0.24199999999999999</v>
      </c>
    </row>
    <row r="170" spans="2:77" ht="19.899999999999999" customHeight="1" x14ac:dyDescent="0.3">
      <c r="B170" s="8" t="s">
        <v>194</v>
      </c>
      <c r="C170" s="8">
        <v>5</v>
      </c>
      <c r="D170" s="8">
        <v>0.83</v>
      </c>
      <c r="E170" s="8">
        <v>102</v>
      </c>
      <c r="F170" s="8">
        <v>0.97</v>
      </c>
      <c r="G170" s="8">
        <v>0.64</v>
      </c>
      <c r="H170" s="9">
        <v>0.186</v>
      </c>
      <c r="I170" s="9">
        <v>0.42099999999999999</v>
      </c>
      <c r="J170" s="8">
        <v>0.88</v>
      </c>
      <c r="K170" s="8">
        <v>0.57999999999999996</v>
      </c>
      <c r="L170" s="8">
        <v>0.74</v>
      </c>
      <c r="M170" s="8">
        <v>56.9</v>
      </c>
      <c r="N170" s="8">
        <v>-2.15</v>
      </c>
      <c r="O170" s="8">
        <v>61.6</v>
      </c>
      <c r="P170" s="8">
        <v>0.56000000000000005</v>
      </c>
      <c r="Q170" s="8">
        <v>0.74</v>
      </c>
      <c r="R170" s="8">
        <v>52.9</v>
      </c>
      <c r="S170" s="8">
        <v>1.21</v>
      </c>
      <c r="T170" s="8">
        <v>62.6</v>
      </c>
      <c r="U170" s="8">
        <v>0.59</v>
      </c>
      <c r="V170" s="8">
        <v>-18</v>
      </c>
      <c r="W170" s="8">
        <v>0</v>
      </c>
      <c r="X170" s="8" t="s">
        <v>91</v>
      </c>
      <c r="Y170" s="8">
        <v>1</v>
      </c>
      <c r="Z170" s="8">
        <v>1.0900000000000001</v>
      </c>
      <c r="AA170" s="8">
        <v>1</v>
      </c>
      <c r="AB170" s="8">
        <v>1.0900000000000001</v>
      </c>
      <c r="AC170" s="8">
        <v>7.8431372549019607E-2</v>
      </c>
      <c r="AD170" s="8">
        <v>0.34313725490196079</v>
      </c>
      <c r="AE170" s="8">
        <v>0.1470588235294118</v>
      </c>
      <c r="AF170" s="8">
        <v>4.9019607843137247E-2</v>
      </c>
      <c r="AG170" s="8">
        <v>2</v>
      </c>
      <c r="AH170" s="8">
        <v>2</v>
      </c>
      <c r="AI170" s="8">
        <v>1</v>
      </c>
      <c r="AJ170" s="8">
        <v>0</v>
      </c>
      <c r="AK170" s="8">
        <v>0</v>
      </c>
      <c r="AL170" s="8">
        <v>2</v>
      </c>
      <c r="AM170" s="8">
        <v>8.8235294117647065E-2</v>
      </c>
      <c r="AN170" s="8">
        <v>1.19</v>
      </c>
      <c r="AO170" s="8">
        <v>0</v>
      </c>
      <c r="AP170" s="8" t="s">
        <v>91</v>
      </c>
      <c r="AQ170" s="8">
        <v>117</v>
      </c>
      <c r="AR170" s="9">
        <v>0.625</v>
      </c>
      <c r="AS170" s="9">
        <v>9.0999999999999998E-2</v>
      </c>
      <c r="AT170" s="9">
        <v>0.21099999999999999</v>
      </c>
      <c r="AU170" s="8">
        <v>110</v>
      </c>
      <c r="AV170" s="9">
        <v>0.108</v>
      </c>
      <c r="AW170" s="8">
        <v>0.21454545454545459</v>
      </c>
      <c r="AX170" s="8">
        <v>31.381818181818179</v>
      </c>
      <c r="AY170" s="8">
        <v>0.11</v>
      </c>
      <c r="AZ170" s="9">
        <v>0.13300000000000001</v>
      </c>
      <c r="BA170" s="8">
        <v>0.03</v>
      </c>
      <c r="BB170" s="8">
        <v>1.58</v>
      </c>
      <c r="BC170" s="8">
        <v>19</v>
      </c>
      <c r="BD170" s="8">
        <v>4</v>
      </c>
      <c r="BE170" s="8">
        <v>20</v>
      </c>
      <c r="BF170" s="8">
        <v>24</v>
      </c>
      <c r="BG170" s="8">
        <v>88</v>
      </c>
      <c r="BH170" s="8">
        <v>0</v>
      </c>
      <c r="BI170" s="8">
        <v>30</v>
      </c>
      <c r="BJ170" s="9">
        <v>0.77200000000000002</v>
      </c>
      <c r="BK170" s="8">
        <v>1.26</v>
      </c>
      <c r="BL170" s="8">
        <v>0.1</v>
      </c>
      <c r="BM170" s="8">
        <v>0.08</v>
      </c>
      <c r="BN170" s="8">
        <v>7.0000000000000007E-2</v>
      </c>
      <c r="BO170" s="9">
        <v>0.19600000000000001</v>
      </c>
      <c r="BP170" s="8">
        <v>2.04</v>
      </c>
      <c r="BQ170" s="9">
        <v>1</v>
      </c>
      <c r="BR170" s="8">
        <v>65</v>
      </c>
      <c r="BS170" s="8">
        <v>0</v>
      </c>
      <c r="BT170" s="9">
        <v>0</v>
      </c>
      <c r="BU170" s="8" t="s">
        <v>91</v>
      </c>
      <c r="BV170" s="8">
        <v>0.98</v>
      </c>
      <c r="BW170" s="8">
        <v>0.51</v>
      </c>
      <c r="BX170" s="8">
        <v>1.78</v>
      </c>
      <c r="BY170" s="9">
        <v>0.193</v>
      </c>
    </row>
    <row r="171" spans="2:77" ht="19.899999999999999" customHeight="1" x14ac:dyDescent="0.3">
      <c r="B171" s="8" t="s">
        <v>195</v>
      </c>
      <c r="C171" s="8">
        <v>7</v>
      </c>
      <c r="D171" s="8">
        <v>0.82</v>
      </c>
      <c r="E171" s="8">
        <v>146</v>
      </c>
      <c r="F171" s="8">
        <v>0.94</v>
      </c>
      <c r="G171" s="8">
        <v>0.72</v>
      </c>
      <c r="H171" s="9">
        <v>0.17100000000000001</v>
      </c>
      <c r="I171" s="9">
        <v>0.36</v>
      </c>
      <c r="J171" s="8">
        <v>0.79</v>
      </c>
      <c r="K171" s="8">
        <v>0.6</v>
      </c>
      <c r="L171" s="8">
        <v>0.7</v>
      </c>
      <c r="M171" s="8">
        <v>68.5</v>
      </c>
      <c r="N171" s="8">
        <v>-2.84</v>
      </c>
      <c r="O171" s="8">
        <v>61.2</v>
      </c>
      <c r="P171" s="8">
        <v>0.51</v>
      </c>
      <c r="Q171" s="8">
        <v>0.71</v>
      </c>
      <c r="R171" s="8">
        <v>68.2</v>
      </c>
      <c r="S171" s="8">
        <v>0.78</v>
      </c>
      <c r="T171" s="8">
        <v>61.4</v>
      </c>
      <c r="U171" s="8">
        <v>0.51</v>
      </c>
      <c r="V171" s="8">
        <v>-28</v>
      </c>
      <c r="W171" s="8">
        <v>0</v>
      </c>
      <c r="X171" s="8" t="s">
        <v>91</v>
      </c>
      <c r="Y171" s="8">
        <v>0</v>
      </c>
      <c r="Z171" s="8" t="s">
        <v>91</v>
      </c>
      <c r="AA171" s="8">
        <v>2</v>
      </c>
      <c r="AB171" s="8">
        <v>0.44</v>
      </c>
      <c r="AC171" s="8">
        <v>6.1643835616438353E-2</v>
      </c>
      <c r="AD171" s="8">
        <v>0.36986301369863012</v>
      </c>
      <c r="AE171" s="8">
        <v>0.1095890410958904</v>
      </c>
      <c r="AF171" s="8">
        <v>2.7397260273972601E-2</v>
      </c>
      <c r="AG171" s="8">
        <v>4</v>
      </c>
      <c r="AH171" s="8">
        <v>3</v>
      </c>
      <c r="AI171" s="8">
        <v>1</v>
      </c>
      <c r="AJ171" s="8">
        <v>0</v>
      </c>
      <c r="AK171" s="8">
        <v>0</v>
      </c>
      <c r="AL171" s="8">
        <v>0</v>
      </c>
      <c r="AM171" s="8">
        <v>0</v>
      </c>
      <c r="AN171" s="8">
        <v>0.77</v>
      </c>
      <c r="AO171" s="8">
        <v>0</v>
      </c>
      <c r="AP171" s="8" t="s">
        <v>91</v>
      </c>
      <c r="AQ171" s="8">
        <v>84.7</v>
      </c>
      <c r="AR171" s="9">
        <v>0.88900000000000001</v>
      </c>
      <c r="AS171" s="9">
        <v>2.7E-2</v>
      </c>
      <c r="AT171" s="9">
        <v>0.32400000000000001</v>
      </c>
      <c r="AU171" s="8">
        <v>121</v>
      </c>
      <c r="AV171" s="9">
        <v>9.6000000000000002E-2</v>
      </c>
      <c r="AW171" s="8">
        <v>0.24369863013698631</v>
      </c>
      <c r="AX171" s="8">
        <v>37.700000000000003</v>
      </c>
      <c r="AY171" s="8">
        <v>0.18</v>
      </c>
      <c r="AZ171" s="9">
        <v>0.314</v>
      </c>
      <c r="BA171" s="8">
        <v>0.02</v>
      </c>
      <c r="BB171" s="8">
        <v>5.19</v>
      </c>
      <c r="BC171" s="8">
        <v>5</v>
      </c>
      <c r="BD171" s="8">
        <v>99</v>
      </c>
      <c r="BE171" s="8">
        <v>97</v>
      </c>
      <c r="BF171" s="8">
        <v>21</v>
      </c>
      <c r="BG171" s="8">
        <v>9</v>
      </c>
      <c r="BH171" s="8">
        <v>0</v>
      </c>
      <c r="BI171" s="8">
        <v>46</v>
      </c>
      <c r="BJ171" s="9">
        <v>0.51400000000000001</v>
      </c>
      <c r="BK171" s="8">
        <v>1.05752808988764</v>
      </c>
      <c r="BL171" s="8">
        <v>0.22</v>
      </c>
      <c r="BM171" s="8">
        <v>0.17</v>
      </c>
      <c r="BN171" s="8">
        <v>0.15</v>
      </c>
      <c r="BO171" s="9">
        <v>0.21199999999999999</v>
      </c>
      <c r="BP171" s="8">
        <v>2.56</v>
      </c>
      <c r="BQ171" s="8" t="s">
        <v>91</v>
      </c>
      <c r="BR171" s="8">
        <v>61</v>
      </c>
      <c r="BS171" s="8">
        <v>0.01</v>
      </c>
      <c r="BT171" s="9">
        <v>1.4E-2</v>
      </c>
      <c r="BU171" s="9">
        <v>7.0000000000000001E-3</v>
      </c>
      <c r="BV171" s="8">
        <v>0.68</v>
      </c>
      <c r="BW171" s="8">
        <v>0.42</v>
      </c>
      <c r="BX171" s="8">
        <v>2.06</v>
      </c>
      <c r="BY171" s="9">
        <v>0.35099999999999998</v>
      </c>
    </row>
    <row r="172" spans="2:77" ht="19.899999999999999" customHeight="1" x14ac:dyDescent="0.3">
      <c r="B172" s="8" t="s">
        <v>196</v>
      </c>
      <c r="C172" s="8">
        <v>10</v>
      </c>
      <c r="D172" s="8">
        <v>0.79</v>
      </c>
      <c r="E172" s="8">
        <v>254</v>
      </c>
      <c r="F172" s="8">
        <v>0.79</v>
      </c>
      <c r="G172" s="8">
        <v>0.8</v>
      </c>
      <c r="H172" s="9">
        <v>0.23200000000000001</v>
      </c>
      <c r="I172" s="9">
        <v>0.33900000000000002</v>
      </c>
      <c r="J172" s="8">
        <v>0.8</v>
      </c>
      <c r="K172" s="8">
        <v>0.47</v>
      </c>
      <c r="L172" s="8">
        <v>0.7</v>
      </c>
      <c r="M172" s="8">
        <v>64.599999999999994</v>
      </c>
      <c r="N172" s="8">
        <v>-3.09</v>
      </c>
      <c r="O172" s="8">
        <v>63.8</v>
      </c>
      <c r="P172" s="8">
        <v>0.56999999999999995</v>
      </c>
      <c r="Q172" s="8">
        <v>0.71</v>
      </c>
      <c r="R172" s="8">
        <v>60.5</v>
      </c>
      <c r="S172" s="8">
        <v>0.88</v>
      </c>
      <c r="T172" s="8">
        <v>63.5</v>
      </c>
      <c r="U172" s="8">
        <v>0.56000000000000005</v>
      </c>
      <c r="V172" s="8">
        <v>-34</v>
      </c>
      <c r="W172" s="8">
        <v>0</v>
      </c>
      <c r="X172" s="8" t="s">
        <v>91</v>
      </c>
      <c r="Y172" s="8">
        <v>1</v>
      </c>
      <c r="Z172" s="8">
        <v>0.88</v>
      </c>
      <c r="AA172" s="8">
        <v>1</v>
      </c>
      <c r="AB172" s="8">
        <v>0.88</v>
      </c>
      <c r="AC172" s="8">
        <v>7.874015748031496E-2</v>
      </c>
      <c r="AD172" s="8">
        <v>0.40157480314960631</v>
      </c>
      <c r="AE172" s="8">
        <v>0.12598425196850391</v>
      </c>
      <c r="AF172" s="8">
        <v>2.7559055118110239E-2</v>
      </c>
      <c r="AG172" s="8">
        <v>3</v>
      </c>
      <c r="AH172" s="8">
        <v>1</v>
      </c>
      <c r="AI172" s="8">
        <v>0</v>
      </c>
      <c r="AJ172" s="8">
        <v>0</v>
      </c>
      <c r="AK172" s="8">
        <v>0</v>
      </c>
      <c r="AL172" s="8">
        <v>1</v>
      </c>
      <c r="AM172" s="8">
        <v>3.937007874015748E-3</v>
      </c>
      <c r="AN172" s="8">
        <v>0.89</v>
      </c>
      <c r="AO172" s="8">
        <v>0</v>
      </c>
      <c r="AP172" s="8" t="s">
        <v>91</v>
      </c>
      <c r="AQ172" s="8">
        <v>93.9</v>
      </c>
      <c r="AR172" s="9">
        <v>0.7</v>
      </c>
      <c r="AS172" s="9">
        <v>8.2000000000000003E-2</v>
      </c>
      <c r="AT172" s="9">
        <v>0.25</v>
      </c>
      <c r="AU172" s="8">
        <v>113</v>
      </c>
      <c r="AV172" s="9">
        <v>5.5E-2</v>
      </c>
      <c r="AW172" s="8">
        <v>0.2776119402985075</v>
      </c>
      <c r="AX172" s="8">
        <v>36.844776119402979</v>
      </c>
      <c r="AY172" s="8">
        <v>0.12</v>
      </c>
      <c r="AZ172" s="9">
        <v>0.13500000000000001</v>
      </c>
      <c r="BA172" s="8">
        <v>0.04</v>
      </c>
      <c r="BB172" s="8">
        <v>6.07</v>
      </c>
      <c r="BC172" s="8">
        <v>13</v>
      </c>
      <c r="BD172" s="8">
        <v>10</v>
      </c>
      <c r="BE172" s="8">
        <v>50</v>
      </c>
      <c r="BF172" s="8">
        <v>37</v>
      </c>
      <c r="BG172" s="8">
        <v>18</v>
      </c>
      <c r="BH172" s="8">
        <v>1</v>
      </c>
      <c r="BI172" s="8">
        <v>63</v>
      </c>
      <c r="BJ172" s="9">
        <v>0.44400000000000001</v>
      </c>
      <c r="BK172" s="8">
        <v>0.82857142857142863</v>
      </c>
      <c r="BL172" s="8">
        <v>0.09</v>
      </c>
      <c r="BM172" s="8">
        <v>0.12</v>
      </c>
      <c r="BN172" s="8">
        <v>0.09</v>
      </c>
      <c r="BO172" s="9">
        <v>0.193</v>
      </c>
      <c r="BP172" s="8">
        <v>2.7</v>
      </c>
      <c r="BQ172" s="9">
        <v>1</v>
      </c>
      <c r="BR172" s="8">
        <v>66</v>
      </c>
      <c r="BS172" s="8">
        <v>0</v>
      </c>
      <c r="BT172" s="9">
        <v>7.0000000000000001E-3</v>
      </c>
      <c r="BU172" s="9">
        <v>1.6E-2</v>
      </c>
      <c r="BV172" s="8">
        <v>0.79</v>
      </c>
      <c r="BW172" s="8">
        <v>0.51</v>
      </c>
      <c r="BX172" s="8">
        <v>2.0699999999999998</v>
      </c>
      <c r="BY172" s="9">
        <v>0.215</v>
      </c>
    </row>
    <row r="173" spans="2:77" ht="19.899999999999999" customHeight="1" x14ac:dyDescent="0.3">
      <c r="B173" s="8" t="s">
        <v>197</v>
      </c>
      <c r="C173" s="8">
        <v>7</v>
      </c>
      <c r="D173" s="8">
        <v>0.79</v>
      </c>
      <c r="E173" s="8">
        <v>173</v>
      </c>
      <c r="F173" s="8">
        <v>0.91</v>
      </c>
      <c r="G173" s="8">
        <v>0.68</v>
      </c>
      <c r="H173" s="9">
        <v>0.16800000000000001</v>
      </c>
      <c r="I173" s="9">
        <v>0.34499999999999997</v>
      </c>
      <c r="J173" s="8">
        <v>0.77</v>
      </c>
      <c r="K173" s="8">
        <v>0.57999999999999996</v>
      </c>
      <c r="L173" s="8">
        <v>0.68</v>
      </c>
      <c r="M173" s="8">
        <v>67.599999999999994</v>
      </c>
      <c r="N173" s="8">
        <v>-2.52</v>
      </c>
      <c r="O173" s="8">
        <v>60.9</v>
      </c>
      <c r="P173" s="8">
        <v>0.47</v>
      </c>
      <c r="Q173" s="8">
        <v>0.68</v>
      </c>
      <c r="R173" s="8">
        <v>66.099999999999994</v>
      </c>
      <c r="S173" s="8">
        <v>0.65</v>
      </c>
      <c r="T173" s="8">
        <v>63.2</v>
      </c>
      <c r="U173" s="8">
        <v>0.49</v>
      </c>
      <c r="V173" s="8">
        <v>-37</v>
      </c>
      <c r="W173" s="8">
        <v>0</v>
      </c>
      <c r="X173" s="8" t="s">
        <v>91</v>
      </c>
      <c r="Y173" s="8">
        <v>0</v>
      </c>
      <c r="Z173" s="8" t="s">
        <v>91</v>
      </c>
      <c r="AA173" s="8">
        <v>0</v>
      </c>
      <c r="AB173" s="8" t="s">
        <v>91</v>
      </c>
      <c r="AC173" s="8">
        <v>5.7803468208092477E-2</v>
      </c>
      <c r="AD173" s="8">
        <v>0.36416184971098259</v>
      </c>
      <c r="AE173" s="8">
        <v>0.10404624277456651</v>
      </c>
      <c r="AF173" s="8">
        <v>0</v>
      </c>
      <c r="AG173" s="8">
        <v>3</v>
      </c>
      <c r="AH173" s="8">
        <v>1</v>
      </c>
      <c r="AI173" s="8">
        <v>0</v>
      </c>
      <c r="AJ173" s="8">
        <v>0</v>
      </c>
      <c r="AK173" s="8">
        <v>0</v>
      </c>
      <c r="AL173" s="8">
        <v>0</v>
      </c>
      <c r="AM173" s="8">
        <v>0</v>
      </c>
      <c r="AN173" s="8">
        <v>0.67</v>
      </c>
      <c r="AO173" s="8">
        <v>0</v>
      </c>
      <c r="AP173" s="8" t="s">
        <v>91</v>
      </c>
      <c r="AQ173" s="8">
        <v>79</v>
      </c>
      <c r="AR173" s="9">
        <v>0.8</v>
      </c>
      <c r="AS173" s="9">
        <v>4.4999999999999998E-2</v>
      </c>
      <c r="AT173" s="9">
        <v>0.222</v>
      </c>
      <c r="AU173" s="8">
        <v>130</v>
      </c>
      <c r="AV173" s="9">
        <v>9.8000000000000004E-2</v>
      </c>
      <c r="AW173" s="8">
        <v>0.27329545454545451</v>
      </c>
      <c r="AX173" s="8">
        <v>43.417045454545438</v>
      </c>
      <c r="AY173" s="8">
        <v>0.12</v>
      </c>
      <c r="AZ173" s="9">
        <v>0.17799999999999999</v>
      </c>
      <c r="BA173" s="8">
        <v>0.06</v>
      </c>
      <c r="BB173" s="8">
        <v>5.33</v>
      </c>
      <c r="BC173" s="8">
        <v>4</v>
      </c>
      <c r="BD173" s="8">
        <v>39</v>
      </c>
      <c r="BE173" s="8">
        <v>45</v>
      </c>
      <c r="BF173" s="8">
        <v>18</v>
      </c>
      <c r="BG173" s="8">
        <v>14</v>
      </c>
      <c r="BH173" s="8">
        <v>0</v>
      </c>
      <c r="BI173" s="8">
        <v>84</v>
      </c>
      <c r="BJ173" s="9">
        <v>0.45700000000000002</v>
      </c>
      <c r="BK173" s="8">
        <v>0.93333333333333335</v>
      </c>
      <c r="BL173" s="8">
        <v>0.12</v>
      </c>
      <c r="BM173" s="8">
        <v>0.09</v>
      </c>
      <c r="BN173" s="8">
        <v>0.12</v>
      </c>
      <c r="BO173" s="9">
        <v>0.24299999999999999</v>
      </c>
      <c r="BP173" s="8">
        <v>2.35</v>
      </c>
      <c r="BQ173" s="8" t="s">
        <v>91</v>
      </c>
      <c r="BR173" s="8">
        <v>70</v>
      </c>
      <c r="BS173" s="8">
        <v>0</v>
      </c>
      <c r="BT173" s="9">
        <v>0</v>
      </c>
      <c r="BU173" s="8" t="s">
        <v>91</v>
      </c>
      <c r="BV173" s="8">
        <v>1.73</v>
      </c>
      <c r="BW173" s="8">
        <v>0.84</v>
      </c>
      <c r="BX173" s="8">
        <v>2.62</v>
      </c>
      <c r="BY173" s="9">
        <v>0.25900000000000001</v>
      </c>
    </row>
    <row r="174" spans="2:77" ht="19.899999999999999" customHeight="1" x14ac:dyDescent="0.3">
      <c r="B174" s="8" t="s">
        <v>198</v>
      </c>
      <c r="C174" s="8">
        <v>4</v>
      </c>
      <c r="D174" s="8">
        <v>0.79</v>
      </c>
      <c r="E174" s="8">
        <v>70</v>
      </c>
      <c r="F174" s="8">
        <v>1.1299999999999999</v>
      </c>
      <c r="G174" s="8">
        <v>0.51</v>
      </c>
      <c r="H174" s="9">
        <v>0.214</v>
      </c>
      <c r="I174" s="9">
        <v>0.4</v>
      </c>
      <c r="J174" s="8">
        <v>0.88</v>
      </c>
      <c r="K174" s="8">
        <v>0.96</v>
      </c>
      <c r="L174" s="8">
        <v>0.81</v>
      </c>
      <c r="M174" s="8">
        <v>52.9</v>
      </c>
      <c r="N174" s="8">
        <v>-3.96</v>
      </c>
      <c r="O174" s="8">
        <v>62.7</v>
      </c>
      <c r="P174" s="8">
        <v>0.61</v>
      </c>
      <c r="Q174" s="8">
        <v>0.82</v>
      </c>
      <c r="R174" s="8">
        <v>53.2</v>
      </c>
      <c r="S174" s="8">
        <v>1.25</v>
      </c>
      <c r="T174" s="8">
        <v>63.7</v>
      </c>
      <c r="U174" s="8">
        <v>0.64</v>
      </c>
      <c r="V174" s="8">
        <v>-14</v>
      </c>
      <c r="W174" s="8">
        <v>0</v>
      </c>
      <c r="X174" s="8" t="s">
        <v>91</v>
      </c>
      <c r="Y174" s="8">
        <v>2</v>
      </c>
      <c r="Z174" s="8">
        <v>0.66</v>
      </c>
      <c r="AA174" s="8">
        <v>2</v>
      </c>
      <c r="AB174" s="8">
        <v>0.66</v>
      </c>
      <c r="AC174" s="8">
        <v>8.5714285714285715E-2</v>
      </c>
      <c r="AD174" s="8">
        <v>0.4</v>
      </c>
      <c r="AE174" s="8">
        <v>0.12857142857142859</v>
      </c>
      <c r="AF174" s="8">
        <v>5.7142857142857141E-2</v>
      </c>
      <c r="AG174" s="8">
        <v>1</v>
      </c>
      <c r="AH174" s="8">
        <v>1</v>
      </c>
      <c r="AI174" s="8">
        <v>0</v>
      </c>
      <c r="AJ174" s="8">
        <v>0</v>
      </c>
      <c r="AK174" s="8">
        <v>0</v>
      </c>
      <c r="AL174" s="8">
        <v>1</v>
      </c>
      <c r="AM174" s="8">
        <v>1.428571428571429E-2</v>
      </c>
      <c r="AN174" s="8">
        <v>1.28</v>
      </c>
      <c r="AO174" s="8">
        <v>0</v>
      </c>
      <c r="AP174" s="8" t="s">
        <v>91</v>
      </c>
      <c r="AQ174" s="8">
        <v>116.8</v>
      </c>
      <c r="AR174" s="9">
        <v>0.5</v>
      </c>
      <c r="AS174" s="9">
        <v>5.8000000000000003E-2</v>
      </c>
      <c r="AT174" s="9">
        <v>0.25600000000000001</v>
      </c>
      <c r="AU174" s="8">
        <v>102</v>
      </c>
      <c r="AV174" s="9">
        <v>5.7000000000000002E-2</v>
      </c>
      <c r="AW174" s="8">
        <v>0.38384615384615378</v>
      </c>
      <c r="AX174" s="8">
        <v>43.973076923076917</v>
      </c>
      <c r="AY174" s="8">
        <v>0.19</v>
      </c>
      <c r="AZ174" s="9">
        <v>0.105</v>
      </c>
      <c r="BA174" s="8">
        <v>0.01</v>
      </c>
      <c r="BB174" s="8">
        <v>3.24</v>
      </c>
      <c r="BC174" s="8">
        <v>18</v>
      </c>
      <c r="BD174" s="8">
        <v>13</v>
      </c>
      <c r="BE174" s="8">
        <v>87</v>
      </c>
      <c r="BF174" s="8">
        <v>34</v>
      </c>
      <c r="BG174" s="8">
        <v>32</v>
      </c>
      <c r="BH174" s="8">
        <v>0</v>
      </c>
      <c r="BI174" s="8">
        <v>20</v>
      </c>
      <c r="BJ174" s="9">
        <v>0.58099999999999996</v>
      </c>
      <c r="BK174" s="8" t="s">
        <v>91</v>
      </c>
      <c r="BL174" s="8">
        <v>0.09</v>
      </c>
      <c r="BM174" s="8">
        <v>0.13</v>
      </c>
      <c r="BN174" s="8">
        <v>0.1</v>
      </c>
      <c r="BO174" s="9">
        <v>8.5999999999999993E-2</v>
      </c>
      <c r="BP174" s="8">
        <v>2.14</v>
      </c>
      <c r="BQ174" s="9">
        <v>1</v>
      </c>
      <c r="BR174" s="8">
        <v>63</v>
      </c>
      <c r="BS174" s="8">
        <v>0</v>
      </c>
      <c r="BT174" s="9">
        <v>0</v>
      </c>
      <c r="BU174" s="8" t="s">
        <v>91</v>
      </c>
      <c r="BV174" s="8">
        <v>0</v>
      </c>
      <c r="BW174" s="8">
        <v>0.34</v>
      </c>
      <c r="BX174" s="8">
        <v>2.23</v>
      </c>
      <c r="BY174" s="9">
        <v>0.30199999999999999</v>
      </c>
    </row>
    <row r="175" spans="2:77" ht="19.899999999999999" customHeight="1" x14ac:dyDescent="0.3">
      <c r="B175" s="8" t="s">
        <v>199</v>
      </c>
      <c r="C175" s="8">
        <v>11</v>
      </c>
      <c r="D175" s="8">
        <v>0.77</v>
      </c>
      <c r="E175" s="8">
        <v>264</v>
      </c>
      <c r="F175" s="8">
        <v>0.71</v>
      </c>
      <c r="G175" s="8">
        <v>0.84</v>
      </c>
      <c r="H175" s="9">
        <v>0.19700000000000001</v>
      </c>
      <c r="I175" s="9">
        <v>0.34599999999999997</v>
      </c>
      <c r="J175" s="8">
        <v>0.79</v>
      </c>
      <c r="K175" s="8">
        <v>0.95</v>
      </c>
      <c r="L175" s="8">
        <v>0.72</v>
      </c>
      <c r="M175" s="8">
        <v>67.400000000000006</v>
      </c>
      <c r="N175" s="8">
        <v>-3.03</v>
      </c>
      <c r="O175" s="8">
        <v>56.8</v>
      </c>
      <c r="P175" s="8">
        <v>0.49</v>
      </c>
      <c r="Q175" s="8">
        <v>0.74</v>
      </c>
      <c r="R175" s="8">
        <v>67.5</v>
      </c>
      <c r="S175" s="8">
        <v>0.81</v>
      </c>
      <c r="T175" s="8">
        <v>58.6</v>
      </c>
      <c r="U175" s="8">
        <v>0.51</v>
      </c>
      <c r="V175" s="8">
        <v>-60</v>
      </c>
      <c r="W175" s="8">
        <v>0</v>
      </c>
      <c r="X175" s="8" t="s">
        <v>91</v>
      </c>
      <c r="Y175" s="8">
        <v>3</v>
      </c>
      <c r="Z175" s="8">
        <v>0.76</v>
      </c>
      <c r="AA175" s="8">
        <v>5</v>
      </c>
      <c r="AB175" s="8">
        <v>0.82</v>
      </c>
      <c r="AC175" s="8">
        <v>6.8181818181818177E-2</v>
      </c>
      <c r="AD175" s="8">
        <v>0.37121212121212122</v>
      </c>
      <c r="AE175" s="8">
        <v>9.0909090909090912E-2</v>
      </c>
      <c r="AF175" s="8">
        <v>2.6515151515151519E-2</v>
      </c>
      <c r="AG175" s="8">
        <v>4</v>
      </c>
      <c r="AH175" s="8">
        <v>3</v>
      </c>
      <c r="AI175" s="8">
        <v>2</v>
      </c>
      <c r="AJ175" s="8">
        <v>0</v>
      </c>
      <c r="AK175" s="8">
        <v>0</v>
      </c>
      <c r="AL175" s="8">
        <v>2</v>
      </c>
      <c r="AM175" s="8">
        <v>1.136363636363636E-2</v>
      </c>
      <c r="AN175" s="8">
        <v>0.6</v>
      </c>
      <c r="AO175" s="8">
        <v>0</v>
      </c>
      <c r="AP175" s="8" t="s">
        <v>91</v>
      </c>
      <c r="AQ175" s="8">
        <v>72.3</v>
      </c>
      <c r="AR175" s="9">
        <v>0.61099999999999999</v>
      </c>
      <c r="AS175" s="9">
        <v>8.1000000000000003E-2</v>
      </c>
      <c r="AT175" s="9">
        <v>0.30199999999999999</v>
      </c>
      <c r="AU175" s="8">
        <v>116</v>
      </c>
      <c r="AV175" s="9">
        <v>0.11</v>
      </c>
      <c r="AW175" s="8">
        <v>0.3822222222222223</v>
      </c>
      <c r="AX175" s="8">
        <v>41.988888888888887</v>
      </c>
      <c r="AY175" s="8">
        <v>0.13</v>
      </c>
      <c r="AZ175" s="9">
        <v>0.19</v>
      </c>
      <c r="BA175" s="8">
        <v>0.08</v>
      </c>
      <c r="BB175" s="8">
        <v>3.24</v>
      </c>
      <c r="BC175" s="8">
        <v>2</v>
      </c>
      <c r="BD175" s="8">
        <v>44</v>
      </c>
      <c r="BE175" s="8">
        <v>68</v>
      </c>
      <c r="BF175" s="8">
        <v>21</v>
      </c>
      <c r="BG175" s="8">
        <v>35</v>
      </c>
      <c r="BH175" s="8">
        <v>1</v>
      </c>
      <c r="BI175" s="8">
        <v>63</v>
      </c>
      <c r="BJ175" s="9">
        <v>0.496</v>
      </c>
      <c r="BK175" s="8">
        <v>0.85448051948051951</v>
      </c>
      <c r="BL175" s="8">
        <v>0.14000000000000001</v>
      </c>
      <c r="BM175" s="8">
        <v>0.11</v>
      </c>
      <c r="BN175" s="8">
        <v>0.11</v>
      </c>
      <c r="BO175" s="9">
        <v>0.24199999999999999</v>
      </c>
      <c r="BP175" s="8">
        <v>2.33</v>
      </c>
      <c r="BQ175" s="9">
        <v>0.5</v>
      </c>
      <c r="BR175" s="8">
        <v>66</v>
      </c>
      <c r="BS175" s="8">
        <v>0.01</v>
      </c>
      <c r="BT175" s="9">
        <v>2.3E-2</v>
      </c>
      <c r="BU175" s="9">
        <v>1.4999999999999999E-2</v>
      </c>
      <c r="BV175" s="8">
        <v>0.76</v>
      </c>
      <c r="BW175" s="8">
        <v>1.05</v>
      </c>
      <c r="BX175" s="8">
        <v>2.12</v>
      </c>
      <c r="BY175" s="9">
        <v>0.27100000000000002</v>
      </c>
    </row>
    <row r="176" spans="2:77" ht="19.899999999999999" customHeight="1" x14ac:dyDescent="0.3">
      <c r="B176" s="8" t="s">
        <v>200</v>
      </c>
      <c r="C176" s="8">
        <v>5</v>
      </c>
      <c r="D176" s="8">
        <v>0.76</v>
      </c>
      <c r="E176" s="8">
        <v>116</v>
      </c>
      <c r="F176" s="8">
        <v>0.69</v>
      </c>
      <c r="G176" s="8">
        <v>0.85</v>
      </c>
      <c r="H176" s="9">
        <v>0.19</v>
      </c>
      <c r="I176" s="9">
        <v>0.40899999999999997</v>
      </c>
      <c r="J176" s="8">
        <v>0.87</v>
      </c>
      <c r="K176" s="8">
        <v>1.1499999999999999</v>
      </c>
      <c r="L176" s="8">
        <v>0.66</v>
      </c>
      <c r="M176" s="8">
        <v>64.7</v>
      </c>
      <c r="N176" s="8">
        <v>-4.41</v>
      </c>
      <c r="O176" s="8">
        <v>59.4</v>
      </c>
      <c r="P176" s="8">
        <v>0.52</v>
      </c>
      <c r="Q176" s="8">
        <v>0.65</v>
      </c>
      <c r="R176" s="8">
        <v>61.7</v>
      </c>
      <c r="S176" s="8">
        <v>0.9</v>
      </c>
      <c r="T176" s="8">
        <v>58.4</v>
      </c>
      <c r="U176" s="8">
        <v>0.51</v>
      </c>
      <c r="V176" s="8">
        <v>-16</v>
      </c>
      <c r="W176" s="8">
        <v>0</v>
      </c>
      <c r="X176" s="8" t="s">
        <v>91</v>
      </c>
      <c r="Y176" s="8">
        <v>0</v>
      </c>
      <c r="Z176" s="8" t="s">
        <v>91</v>
      </c>
      <c r="AA176" s="8">
        <v>4</v>
      </c>
      <c r="AB176" s="8">
        <v>0.73</v>
      </c>
      <c r="AC176" s="8">
        <v>7.7586206896551727E-2</v>
      </c>
      <c r="AD176" s="8">
        <v>0.35344827586206901</v>
      </c>
      <c r="AE176" s="8">
        <v>0.12931034482758619</v>
      </c>
      <c r="AF176" s="8">
        <v>3.4482758620689648E-2</v>
      </c>
      <c r="AG176" s="8">
        <v>1</v>
      </c>
      <c r="AH176" s="8">
        <v>0</v>
      </c>
      <c r="AI176" s="8">
        <v>0</v>
      </c>
      <c r="AJ176" s="8">
        <v>0</v>
      </c>
      <c r="AK176" s="8">
        <v>0</v>
      </c>
      <c r="AL176" s="8">
        <v>1</v>
      </c>
      <c r="AM176" s="8">
        <v>8.6206896551724137E-3</v>
      </c>
      <c r="AN176" s="8">
        <v>0.86</v>
      </c>
      <c r="AO176" s="8">
        <v>0</v>
      </c>
      <c r="AP176" s="8" t="s">
        <v>91</v>
      </c>
      <c r="AQ176" s="8">
        <v>93.3</v>
      </c>
      <c r="AR176" s="9">
        <v>0.66700000000000004</v>
      </c>
      <c r="AS176" s="9">
        <v>9.0999999999999998E-2</v>
      </c>
      <c r="AT176" s="9">
        <v>0.25</v>
      </c>
      <c r="AU176" s="8">
        <v>115</v>
      </c>
      <c r="AV176" s="9">
        <v>0.121</v>
      </c>
      <c r="AW176" s="8">
        <v>0.25757575757575762</v>
      </c>
      <c r="AX176" s="8">
        <v>33.718181818181812</v>
      </c>
      <c r="AY176" s="8">
        <v>0.11</v>
      </c>
      <c r="AZ176" s="9">
        <v>0.19700000000000001</v>
      </c>
      <c r="BA176" s="8">
        <v>0.04</v>
      </c>
      <c r="BB176" s="8">
        <v>2.56</v>
      </c>
      <c r="BC176" s="8">
        <v>9</v>
      </c>
      <c r="BD176" s="8">
        <v>38</v>
      </c>
      <c r="BE176" s="8">
        <v>26</v>
      </c>
      <c r="BF176" s="8">
        <v>25</v>
      </c>
      <c r="BG176" s="8">
        <v>35</v>
      </c>
      <c r="BH176" s="8">
        <v>0</v>
      </c>
      <c r="BI176" s="8">
        <v>31</v>
      </c>
      <c r="BJ176" s="9">
        <v>0.7</v>
      </c>
      <c r="BK176" s="8">
        <v>0.68</v>
      </c>
      <c r="BL176" s="8">
        <v>0.13</v>
      </c>
      <c r="BM176" s="8">
        <v>0.03</v>
      </c>
      <c r="BN176" s="8">
        <v>0.09</v>
      </c>
      <c r="BO176" s="9">
        <v>0.216</v>
      </c>
      <c r="BP176" s="8">
        <v>2.08</v>
      </c>
      <c r="BQ176" s="9">
        <v>0.33300000000000002</v>
      </c>
      <c r="BR176" s="8">
        <v>71</v>
      </c>
      <c r="BS176" s="8">
        <v>0</v>
      </c>
      <c r="BT176" s="9">
        <v>0</v>
      </c>
      <c r="BU176" s="8" t="s">
        <v>91</v>
      </c>
      <c r="BV176" s="8">
        <v>0</v>
      </c>
      <c r="BW176" s="8">
        <v>0.49</v>
      </c>
      <c r="BX176" s="8">
        <v>1.95</v>
      </c>
      <c r="BY176" s="9">
        <v>0.217</v>
      </c>
    </row>
    <row r="177" spans="2:77" ht="19.899999999999999" customHeight="1" x14ac:dyDescent="0.3">
      <c r="B177" s="8" t="s">
        <v>201</v>
      </c>
      <c r="C177" s="8">
        <v>5</v>
      </c>
      <c r="D177" s="8">
        <v>0.76</v>
      </c>
      <c r="E177" s="8">
        <v>102</v>
      </c>
      <c r="F177" s="8">
        <v>0.73</v>
      </c>
      <c r="G177" s="8">
        <v>0.8</v>
      </c>
      <c r="H177" s="9">
        <v>0.186</v>
      </c>
      <c r="I177" s="9">
        <v>0.57899999999999996</v>
      </c>
      <c r="J177" s="8">
        <v>1.08</v>
      </c>
      <c r="K177" s="8">
        <v>1.04</v>
      </c>
      <c r="L177" s="8">
        <v>0.71</v>
      </c>
      <c r="M177" s="8">
        <v>66.7</v>
      </c>
      <c r="N177" s="8">
        <v>-2.5299999999999998</v>
      </c>
      <c r="O177" s="8">
        <v>53.2</v>
      </c>
      <c r="P177" s="8">
        <v>0.46</v>
      </c>
      <c r="Q177" s="8">
        <v>0.74</v>
      </c>
      <c r="R177" s="8">
        <v>72.2</v>
      </c>
      <c r="S177" s="8">
        <v>0.52</v>
      </c>
      <c r="T177" s="8">
        <v>54.6</v>
      </c>
      <c r="U177" s="8">
        <v>0.47</v>
      </c>
      <c r="V177" s="8">
        <v>-25</v>
      </c>
      <c r="W177" s="8">
        <v>0</v>
      </c>
      <c r="X177" s="8" t="s">
        <v>91</v>
      </c>
      <c r="Y177" s="8">
        <v>1</v>
      </c>
      <c r="Z177" s="8">
        <v>0.56000000000000005</v>
      </c>
      <c r="AA177" s="8">
        <v>1</v>
      </c>
      <c r="AB177" s="8">
        <v>0.56000000000000005</v>
      </c>
      <c r="AC177" s="8">
        <v>0.10784313725490199</v>
      </c>
      <c r="AD177" s="8">
        <v>0.37254901960784309</v>
      </c>
      <c r="AE177" s="8">
        <v>7.8431372549019607E-2</v>
      </c>
      <c r="AF177" s="8">
        <v>9.8039215686274508E-3</v>
      </c>
      <c r="AG177" s="8">
        <v>2</v>
      </c>
      <c r="AH177" s="8">
        <v>0</v>
      </c>
      <c r="AI177" s="8">
        <v>0</v>
      </c>
      <c r="AJ177" s="8">
        <v>0</v>
      </c>
      <c r="AK177" s="8">
        <v>0</v>
      </c>
      <c r="AL177" s="8">
        <v>2</v>
      </c>
      <c r="AM177" s="8">
        <v>1.9607843137254902E-2</v>
      </c>
      <c r="AN177" s="8">
        <v>0.56000000000000005</v>
      </c>
      <c r="AO177" s="8">
        <v>0</v>
      </c>
      <c r="AP177" s="8" t="s">
        <v>91</v>
      </c>
      <c r="AQ177" s="8">
        <v>61.7</v>
      </c>
      <c r="AR177" s="9">
        <v>0.45500000000000002</v>
      </c>
      <c r="AS177" s="9">
        <v>6.0999999999999999E-2</v>
      </c>
      <c r="AT177" s="9">
        <v>0.27700000000000002</v>
      </c>
      <c r="AU177" s="8">
        <v>115</v>
      </c>
      <c r="AV177" s="9">
        <v>0.16700000000000001</v>
      </c>
      <c r="AW177" s="8">
        <v>0.40666666666666662</v>
      </c>
      <c r="AX177" s="8">
        <v>48.56363636363637</v>
      </c>
      <c r="AY177" s="8">
        <v>0.09</v>
      </c>
      <c r="AZ177" s="9">
        <v>0.125</v>
      </c>
      <c r="BA177" s="8">
        <v>0.16</v>
      </c>
      <c r="BB177" s="8">
        <v>1.38</v>
      </c>
      <c r="BC177" s="8">
        <v>1</v>
      </c>
      <c r="BD177" s="8">
        <v>6</v>
      </c>
      <c r="BE177" s="8">
        <v>18</v>
      </c>
      <c r="BF177" s="8">
        <v>52</v>
      </c>
      <c r="BG177" s="8">
        <v>58</v>
      </c>
      <c r="BH177" s="8">
        <v>62</v>
      </c>
      <c r="BI177" s="8">
        <v>58</v>
      </c>
      <c r="BJ177" s="9">
        <v>0.53200000000000003</v>
      </c>
      <c r="BK177" s="8">
        <v>0.99</v>
      </c>
      <c r="BL177" s="8">
        <v>0.09</v>
      </c>
      <c r="BM177" s="8">
        <v>7.0000000000000007E-2</v>
      </c>
      <c r="BN177" s="8">
        <v>0.05</v>
      </c>
      <c r="BO177" s="9">
        <v>0.23499999999999999</v>
      </c>
      <c r="BP177" s="8">
        <v>1.45</v>
      </c>
      <c r="BQ177" s="9">
        <v>1</v>
      </c>
      <c r="BR177" s="8">
        <v>68</v>
      </c>
      <c r="BS177" s="8">
        <v>0.18</v>
      </c>
      <c r="BT177" s="9">
        <v>0.38300000000000001</v>
      </c>
      <c r="BU177" s="9">
        <v>0.17599999999999999</v>
      </c>
      <c r="BV177" s="8">
        <v>0</v>
      </c>
      <c r="BW177" s="8">
        <v>1.41</v>
      </c>
      <c r="BX177" s="8">
        <v>2.86</v>
      </c>
      <c r="BY177" s="9">
        <v>0.191</v>
      </c>
    </row>
    <row r="178" spans="2:77" ht="19.899999999999999" customHeight="1" x14ac:dyDescent="0.3">
      <c r="B178" s="8" t="s">
        <v>129</v>
      </c>
      <c r="C178" s="8">
        <v>7</v>
      </c>
      <c r="D178" s="8">
        <v>0.73</v>
      </c>
      <c r="E178" s="8">
        <v>146</v>
      </c>
      <c r="F178" s="8">
        <v>0.85</v>
      </c>
      <c r="G178" s="8">
        <v>0.64</v>
      </c>
      <c r="H178" s="9">
        <v>0.20499999999999999</v>
      </c>
      <c r="I178" s="9">
        <v>0.33300000000000002</v>
      </c>
      <c r="J178" s="8">
        <v>0.78</v>
      </c>
      <c r="K178" s="8">
        <v>0.76</v>
      </c>
      <c r="L178" s="8">
        <v>0.73</v>
      </c>
      <c r="M178" s="8">
        <v>67.099999999999994</v>
      </c>
      <c r="N178" s="8">
        <v>-4.7300000000000004</v>
      </c>
      <c r="O178" s="8">
        <v>62.6</v>
      </c>
      <c r="P178" s="8">
        <v>0.49</v>
      </c>
      <c r="Q178" s="8">
        <v>0.72</v>
      </c>
      <c r="R178" s="8">
        <v>65.3</v>
      </c>
      <c r="S178" s="8">
        <v>0.6</v>
      </c>
      <c r="T178" s="8">
        <v>63.1</v>
      </c>
      <c r="U178" s="8">
        <v>0.5</v>
      </c>
      <c r="V178" s="8">
        <v>-34</v>
      </c>
      <c r="W178" s="8">
        <v>0</v>
      </c>
      <c r="X178" s="8" t="s">
        <v>91</v>
      </c>
      <c r="Y178" s="8">
        <v>0</v>
      </c>
      <c r="Z178" s="8" t="s">
        <v>91</v>
      </c>
      <c r="AA178" s="8">
        <v>2</v>
      </c>
      <c r="AB178" s="8">
        <v>0.6</v>
      </c>
      <c r="AC178" s="8">
        <v>6.8493150684931503E-2</v>
      </c>
      <c r="AD178" s="8">
        <v>0.39726027397260272</v>
      </c>
      <c r="AE178" s="8">
        <v>8.2191780821917804E-2</v>
      </c>
      <c r="AF178" s="8">
        <v>1.3698630136986301E-2</v>
      </c>
      <c r="AG178" s="8">
        <v>3</v>
      </c>
      <c r="AH178" s="8">
        <v>1</v>
      </c>
      <c r="AI178" s="8">
        <v>0</v>
      </c>
      <c r="AJ178" s="8">
        <v>0</v>
      </c>
      <c r="AK178" s="8">
        <v>0</v>
      </c>
      <c r="AL178" s="8">
        <v>0</v>
      </c>
      <c r="AM178" s="8">
        <v>0</v>
      </c>
      <c r="AN178" s="8">
        <v>0.63</v>
      </c>
      <c r="AO178" s="8">
        <v>0</v>
      </c>
      <c r="AP178" s="8" t="s">
        <v>91</v>
      </c>
      <c r="AQ178" s="8">
        <v>72.099999999999994</v>
      </c>
      <c r="AR178" s="9">
        <v>0.4</v>
      </c>
      <c r="AS178" s="9">
        <v>4.1000000000000002E-2</v>
      </c>
      <c r="AT178" s="9">
        <v>0.375</v>
      </c>
      <c r="AU178" s="8">
        <v>127</v>
      </c>
      <c r="AV178" s="9">
        <v>8.2000000000000003E-2</v>
      </c>
      <c r="AW178" s="8">
        <v>0.35630136986301369</v>
      </c>
      <c r="AX178" s="8">
        <v>53.100000000000023</v>
      </c>
      <c r="AY178" s="8">
        <v>0.18</v>
      </c>
      <c r="AZ178" s="9">
        <v>0.23599999999999999</v>
      </c>
      <c r="BA178" s="8">
        <v>0.02</v>
      </c>
      <c r="BB178" s="8">
        <v>4.9800000000000004</v>
      </c>
      <c r="BC178" s="8">
        <v>4</v>
      </c>
      <c r="BD178" s="8">
        <v>88</v>
      </c>
      <c r="BE178" s="8">
        <v>98</v>
      </c>
      <c r="BF178" s="8">
        <v>22</v>
      </c>
      <c r="BG178" s="8">
        <v>6</v>
      </c>
      <c r="BH178" s="8">
        <v>0</v>
      </c>
      <c r="BI178" s="8">
        <v>70</v>
      </c>
      <c r="BJ178" s="9">
        <v>0.54200000000000004</v>
      </c>
      <c r="BK178" s="8">
        <v>0.86112359550561801</v>
      </c>
      <c r="BL178" s="8">
        <v>0.17</v>
      </c>
      <c r="BM178" s="8">
        <v>0.16</v>
      </c>
      <c r="BN178" s="8">
        <v>0.16</v>
      </c>
      <c r="BO178" s="9">
        <v>0.23300000000000001</v>
      </c>
      <c r="BP178" s="8">
        <v>2.61</v>
      </c>
      <c r="BQ178" s="9">
        <v>0</v>
      </c>
      <c r="BR178" s="8">
        <v>60</v>
      </c>
      <c r="BS178" s="8">
        <v>0.01</v>
      </c>
      <c r="BT178" s="9">
        <v>1.4E-2</v>
      </c>
      <c r="BU178" s="9">
        <v>7.0000000000000001E-3</v>
      </c>
      <c r="BV178" s="8">
        <v>0.68</v>
      </c>
      <c r="BW178" s="8">
        <v>0.75</v>
      </c>
      <c r="BX178" s="8">
        <v>2.4300000000000002</v>
      </c>
      <c r="BY178" s="9">
        <v>0.36099999999999999</v>
      </c>
    </row>
    <row r="179" spans="2:77" ht="19.899999999999999" customHeight="1" x14ac:dyDescent="0.3">
      <c r="B179" s="8" t="s">
        <v>202</v>
      </c>
      <c r="C179" s="8">
        <v>4</v>
      </c>
      <c r="D179" s="8">
        <v>0.7</v>
      </c>
      <c r="E179" s="8">
        <v>70</v>
      </c>
      <c r="F179" s="8">
        <v>0.55000000000000004</v>
      </c>
      <c r="G179" s="8">
        <v>0.81</v>
      </c>
      <c r="H179" s="9">
        <v>0.129</v>
      </c>
      <c r="I179" s="9">
        <v>0.55600000000000005</v>
      </c>
      <c r="J179" s="8">
        <v>0.93</v>
      </c>
      <c r="K179" s="8">
        <v>0.37</v>
      </c>
      <c r="L179" s="8">
        <v>0.86</v>
      </c>
      <c r="M179" s="8">
        <v>55.7</v>
      </c>
      <c r="N179" s="8">
        <v>-3.62</v>
      </c>
      <c r="O179" s="8">
        <v>55.2</v>
      </c>
      <c r="P179" s="8">
        <v>0.46</v>
      </c>
      <c r="Q179" s="8">
        <v>0.83</v>
      </c>
      <c r="R179" s="8">
        <v>56</v>
      </c>
      <c r="S179" s="8">
        <v>0.76</v>
      </c>
      <c r="T179" s="8">
        <v>58.3</v>
      </c>
      <c r="U179" s="8">
        <v>0.5</v>
      </c>
      <c r="V179" s="8">
        <v>-28</v>
      </c>
      <c r="W179" s="8">
        <v>0</v>
      </c>
      <c r="X179" s="8" t="s">
        <v>91</v>
      </c>
      <c r="Y179" s="8">
        <v>2</v>
      </c>
      <c r="Z179" s="8">
        <v>0.62</v>
      </c>
      <c r="AA179" s="8">
        <v>2</v>
      </c>
      <c r="AB179" s="8">
        <v>0.62</v>
      </c>
      <c r="AC179" s="8">
        <v>7.1428571428571425E-2</v>
      </c>
      <c r="AD179" s="8">
        <v>0.37142857142857139</v>
      </c>
      <c r="AE179" s="8">
        <v>7.1428571428571425E-2</v>
      </c>
      <c r="AF179" s="8">
        <v>1.428571428571429E-2</v>
      </c>
      <c r="AG179" s="8">
        <v>1</v>
      </c>
      <c r="AH179" s="8">
        <v>1</v>
      </c>
      <c r="AI179" s="8">
        <v>0</v>
      </c>
      <c r="AJ179" s="8">
        <v>0</v>
      </c>
      <c r="AK179" s="8">
        <v>0</v>
      </c>
      <c r="AL179" s="8">
        <v>2</v>
      </c>
      <c r="AM179" s="8">
        <v>2.8571428571428571E-2</v>
      </c>
      <c r="AN179" s="8">
        <v>0.78</v>
      </c>
      <c r="AO179" s="8">
        <v>0</v>
      </c>
      <c r="AP179" s="8" t="s">
        <v>91</v>
      </c>
      <c r="AQ179" s="8">
        <v>80.900000000000006</v>
      </c>
      <c r="AR179" s="9">
        <v>0.2</v>
      </c>
      <c r="AS179" s="9">
        <v>3.7999999999999999E-2</v>
      </c>
      <c r="AT179" s="9">
        <v>0.156</v>
      </c>
      <c r="AU179" s="8">
        <v>121</v>
      </c>
      <c r="AV179" s="9">
        <v>0.186</v>
      </c>
      <c r="AW179" s="8">
        <v>0.3453846153846154</v>
      </c>
      <c r="AX179" s="8">
        <v>46.303846153846159</v>
      </c>
      <c r="AY179" s="8">
        <v>0.1</v>
      </c>
      <c r="AZ179" s="9">
        <v>0.11700000000000001</v>
      </c>
      <c r="BA179" s="8">
        <v>0.01</v>
      </c>
      <c r="BB179" s="8">
        <v>2.04</v>
      </c>
      <c r="BC179" s="8">
        <v>1</v>
      </c>
      <c r="BD179" s="8">
        <v>4</v>
      </c>
      <c r="BE179" s="8">
        <v>28</v>
      </c>
      <c r="BF179" s="8">
        <v>19</v>
      </c>
      <c r="BG179" s="8">
        <v>74</v>
      </c>
      <c r="BH179" s="8">
        <v>1</v>
      </c>
      <c r="BI179" s="8">
        <v>27</v>
      </c>
      <c r="BJ179" s="9">
        <v>0.68799999999999994</v>
      </c>
      <c r="BK179" s="8" t="s">
        <v>91</v>
      </c>
      <c r="BL179" s="8">
        <v>0.1</v>
      </c>
      <c r="BM179" s="8">
        <v>0.09</v>
      </c>
      <c r="BN179" s="8">
        <v>7.0000000000000007E-2</v>
      </c>
      <c r="BO179" s="9">
        <v>0.14299999999999999</v>
      </c>
      <c r="BP179" s="8">
        <v>1.94</v>
      </c>
      <c r="BQ179" s="9">
        <v>1</v>
      </c>
      <c r="BR179" s="8">
        <v>67</v>
      </c>
      <c r="BS179" s="8">
        <v>0.01</v>
      </c>
      <c r="BT179" s="9">
        <v>3.1E-2</v>
      </c>
      <c r="BU179" s="9">
        <v>1.4E-2</v>
      </c>
      <c r="BV179" s="8">
        <v>0</v>
      </c>
      <c r="BW179" s="8">
        <v>0.49</v>
      </c>
      <c r="BX179" s="8">
        <v>2.48</v>
      </c>
      <c r="BY179" s="9">
        <v>0.219</v>
      </c>
    </row>
    <row r="180" spans="2:77" ht="19.899999999999999" customHeight="1" x14ac:dyDescent="0.3">
      <c r="B180" s="8" t="s">
        <v>203</v>
      </c>
      <c r="C180" s="8">
        <v>4</v>
      </c>
      <c r="D180" s="8">
        <v>0.64</v>
      </c>
      <c r="E180" s="8">
        <v>70</v>
      </c>
      <c r="F180" s="8">
        <v>0.54</v>
      </c>
      <c r="G180" s="8">
        <v>0.71</v>
      </c>
      <c r="H180" s="9">
        <v>0.32900000000000001</v>
      </c>
      <c r="I180" s="9">
        <v>0.435</v>
      </c>
      <c r="J180" s="8">
        <v>1.07</v>
      </c>
      <c r="K180" s="8">
        <v>0.57999999999999996</v>
      </c>
      <c r="L180" s="8">
        <v>0.84</v>
      </c>
      <c r="M180" s="8">
        <v>64.3</v>
      </c>
      <c r="N180" s="8">
        <v>-6.17</v>
      </c>
      <c r="O180" s="8">
        <v>60.2</v>
      </c>
      <c r="P180" s="8">
        <v>0.43</v>
      </c>
      <c r="Q180" s="8">
        <v>0.85</v>
      </c>
      <c r="R180" s="8">
        <v>63.7</v>
      </c>
      <c r="S180" s="8">
        <v>0.62</v>
      </c>
      <c r="T180" s="8">
        <v>63.4</v>
      </c>
      <c r="U180" s="8">
        <v>0.46</v>
      </c>
      <c r="V180" s="8">
        <v>-29</v>
      </c>
      <c r="W180" s="8">
        <v>0</v>
      </c>
      <c r="X180" s="8" t="s">
        <v>91</v>
      </c>
      <c r="Y180" s="8">
        <v>2</v>
      </c>
      <c r="Z180" s="8">
        <v>0.71</v>
      </c>
      <c r="AA180" s="8">
        <v>2</v>
      </c>
      <c r="AB180" s="8">
        <v>0.71</v>
      </c>
      <c r="AC180" s="8">
        <v>0.14285714285714279</v>
      </c>
      <c r="AD180" s="8">
        <v>0.34285714285714292</v>
      </c>
      <c r="AE180" s="8">
        <v>8.5714285714285715E-2</v>
      </c>
      <c r="AF180" s="8">
        <v>0</v>
      </c>
      <c r="AG180" s="8">
        <v>0</v>
      </c>
      <c r="AH180" s="8">
        <v>0</v>
      </c>
      <c r="AI180" s="8">
        <v>0</v>
      </c>
      <c r="AJ180" s="8">
        <v>0</v>
      </c>
      <c r="AK180" s="8">
        <v>0</v>
      </c>
      <c r="AL180" s="8">
        <v>1</v>
      </c>
      <c r="AM180" s="8">
        <v>1.428571428571429E-2</v>
      </c>
      <c r="AN180" s="8">
        <v>0.78</v>
      </c>
      <c r="AO180" s="8">
        <v>0</v>
      </c>
      <c r="AP180" s="8" t="s">
        <v>91</v>
      </c>
      <c r="AQ180" s="8">
        <v>86.6</v>
      </c>
      <c r="AR180" s="9">
        <v>0.4</v>
      </c>
      <c r="AS180" s="9">
        <v>5.8000000000000003E-2</v>
      </c>
      <c r="AT180" s="9">
        <v>0.2</v>
      </c>
      <c r="AU180" s="8">
        <v>141</v>
      </c>
      <c r="AV180" s="9">
        <v>0.129</v>
      </c>
      <c r="AW180" s="8">
        <v>0.30692307692307691</v>
      </c>
      <c r="AX180" s="8">
        <v>51.061538461538461</v>
      </c>
      <c r="AY180" s="8">
        <v>0.04</v>
      </c>
      <c r="AZ180" s="9">
        <v>0.186</v>
      </c>
      <c r="BA180" s="8">
        <v>0.01</v>
      </c>
      <c r="BB180" s="8">
        <v>3.31</v>
      </c>
      <c r="BC180" s="8">
        <v>2</v>
      </c>
      <c r="BD180" s="8">
        <v>47</v>
      </c>
      <c r="BE180" s="8">
        <v>1</v>
      </c>
      <c r="BF180" s="8">
        <v>76</v>
      </c>
      <c r="BG180" s="8">
        <v>38</v>
      </c>
      <c r="BH180" s="8">
        <v>0</v>
      </c>
      <c r="BI180" s="8">
        <v>28</v>
      </c>
      <c r="BJ180" s="9">
        <v>0.6</v>
      </c>
      <c r="BK180" s="8" t="s">
        <v>91</v>
      </c>
      <c r="BL180" s="8">
        <v>0.16</v>
      </c>
      <c r="BM180" s="8">
        <v>0.04</v>
      </c>
      <c r="BN180" s="8">
        <v>0.09</v>
      </c>
      <c r="BO180" s="9">
        <v>0.157</v>
      </c>
      <c r="BP180" s="8">
        <v>2.33</v>
      </c>
      <c r="BQ180" s="9">
        <v>0.5</v>
      </c>
      <c r="BR180" s="8">
        <v>56</v>
      </c>
      <c r="BS180" s="8">
        <v>0</v>
      </c>
      <c r="BT180" s="9">
        <v>0</v>
      </c>
      <c r="BU180" s="8" t="s">
        <v>91</v>
      </c>
      <c r="BV180" s="8">
        <v>0</v>
      </c>
      <c r="BW180" s="8">
        <v>0.46</v>
      </c>
      <c r="BX180" s="8">
        <v>2.16</v>
      </c>
      <c r="BY180" s="9">
        <v>0.1</v>
      </c>
    </row>
    <row r="181" spans="2:77" ht="19.899999999999999" customHeight="1" x14ac:dyDescent="0.3">
      <c r="B181" s="8" t="s">
        <v>204</v>
      </c>
      <c r="C181" s="8">
        <v>4</v>
      </c>
      <c r="D181" s="8">
        <v>0.63</v>
      </c>
      <c r="E181" s="8">
        <v>70</v>
      </c>
      <c r="F181" s="8">
        <v>0.65</v>
      </c>
      <c r="G181" s="8">
        <v>0.61</v>
      </c>
      <c r="H181" s="9">
        <v>0.22900000000000001</v>
      </c>
      <c r="I181" s="9">
        <v>0.125</v>
      </c>
      <c r="J181" s="8">
        <v>0.48</v>
      </c>
      <c r="K181" s="8">
        <v>0.47</v>
      </c>
      <c r="L181" s="8">
        <v>0.86</v>
      </c>
      <c r="M181" s="8">
        <v>55.7</v>
      </c>
      <c r="N181" s="8">
        <v>-4.24</v>
      </c>
      <c r="O181" s="8">
        <v>50.7</v>
      </c>
      <c r="P181" s="8">
        <v>0.47</v>
      </c>
      <c r="Q181" s="8">
        <v>0.83</v>
      </c>
      <c r="R181" s="8">
        <v>52.1</v>
      </c>
      <c r="S181" s="8">
        <v>0.72</v>
      </c>
      <c r="T181" s="8">
        <v>53.9</v>
      </c>
      <c r="U181" s="8">
        <v>0.53</v>
      </c>
      <c r="V181" s="8">
        <v>-27</v>
      </c>
      <c r="W181" s="8">
        <v>0</v>
      </c>
      <c r="X181" s="8" t="s">
        <v>91</v>
      </c>
      <c r="Y181" s="8">
        <v>2</v>
      </c>
      <c r="Z181" s="8">
        <v>0.66</v>
      </c>
      <c r="AA181" s="8">
        <v>2</v>
      </c>
      <c r="AB181" s="8">
        <v>0.66</v>
      </c>
      <c r="AC181" s="8">
        <v>2.8571428571428571E-2</v>
      </c>
      <c r="AD181" s="8">
        <v>0.37142857142857139</v>
      </c>
      <c r="AE181" s="8">
        <v>0.1</v>
      </c>
      <c r="AF181" s="8">
        <v>0</v>
      </c>
      <c r="AG181" s="8">
        <v>0</v>
      </c>
      <c r="AH181" s="8">
        <v>0</v>
      </c>
      <c r="AI181" s="8">
        <v>0</v>
      </c>
      <c r="AJ181" s="8">
        <v>0</v>
      </c>
      <c r="AK181" s="8">
        <v>0</v>
      </c>
      <c r="AL181" s="8">
        <v>1</v>
      </c>
      <c r="AM181" s="8">
        <v>1.428571428571429E-2</v>
      </c>
      <c r="AN181" s="8">
        <v>0.72</v>
      </c>
      <c r="AO181" s="8">
        <v>0</v>
      </c>
      <c r="AP181" s="8" t="s">
        <v>91</v>
      </c>
      <c r="AQ181" s="8">
        <v>70.2</v>
      </c>
      <c r="AR181" s="9">
        <v>0</v>
      </c>
      <c r="AS181" s="9">
        <v>7.6999999999999999E-2</v>
      </c>
      <c r="AT181" s="9">
        <v>0.24199999999999999</v>
      </c>
      <c r="AU181" s="8">
        <v>107</v>
      </c>
      <c r="AV181" s="9">
        <v>0.186</v>
      </c>
      <c r="AW181" s="8">
        <v>0.38538461538461538</v>
      </c>
      <c r="AX181" s="8">
        <v>43.95</v>
      </c>
      <c r="AY181" s="8">
        <v>0.06</v>
      </c>
      <c r="AZ181" s="9">
        <v>0.13300000000000001</v>
      </c>
      <c r="BA181" s="8">
        <v>0.03</v>
      </c>
      <c r="BB181" s="8">
        <v>3.47</v>
      </c>
      <c r="BC181" s="8">
        <v>1</v>
      </c>
      <c r="BD181" s="8">
        <v>12</v>
      </c>
      <c r="BE181" s="8">
        <v>3</v>
      </c>
      <c r="BF181" s="8">
        <v>23</v>
      </c>
      <c r="BG181" s="8">
        <v>43</v>
      </c>
      <c r="BH181" s="8">
        <v>0</v>
      </c>
      <c r="BI181" s="8">
        <v>52</v>
      </c>
      <c r="BJ181" s="9">
        <v>0.48499999999999999</v>
      </c>
      <c r="BK181" s="8" t="s">
        <v>91</v>
      </c>
      <c r="BL181" s="8">
        <v>0.11</v>
      </c>
      <c r="BM181" s="8">
        <v>0.03</v>
      </c>
      <c r="BN181" s="8">
        <v>0.09</v>
      </c>
      <c r="BO181" s="9">
        <v>0.129</v>
      </c>
      <c r="BP181" s="8">
        <v>1.93</v>
      </c>
      <c r="BQ181" s="9">
        <v>1</v>
      </c>
      <c r="BR181" s="8">
        <v>60</v>
      </c>
      <c r="BS181" s="8">
        <v>0</v>
      </c>
      <c r="BT181" s="9">
        <v>0</v>
      </c>
      <c r="BU181" s="8" t="s">
        <v>91</v>
      </c>
      <c r="BV181" s="8">
        <v>0</v>
      </c>
      <c r="BW181" s="8">
        <v>0.73</v>
      </c>
      <c r="BX181" s="8">
        <v>2.1</v>
      </c>
      <c r="BY181" s="9">
        <v>0.121</v>
      </c>
    </row>
    <row r="182" spans="2:77" ht="19.899999999999999" customHeight="1" x14ac:dyDescent="0.3">
      <c r="B182" s="8" t="s">
        <v>205</v>
      </c>
      <c r="C182" s="8">
        <v>5</v>
      </c>
      <c r="D182" s="8">
        <v>0.57999999999999996</v>
      </c>
      <c r="E182" s="8">
        <v>102</v>
      </c>
      <c r="F182" s="8">
        <v>0.56999999999999995</v>
      </c>
      <c r="G182" s="8">
        <v>0.57999999999999996</v>
      </c>
      <c r="H182" s="9">
        <v>0.28399999999999997</v>
      </c>
      <c r="I182" s="9">
        <v>0.41399999999999998</v>
      </c>
      <c r="J182" s="8">
        <v>0.98</v>
      </c>
      <c r="K182" s="8">
        <v>0.05</v>
      </c>
      <c r="L182" s="8">
        <v>0.75</v>
      </c>
      <c r="M182" s="8">
        <v>53.9</v>
      </c>
      <c r="N182" s="8">
        <v>-5.62</v>
      </c>
      <c r="O182" s="8">
        <v>45</v>
      </c>
      <c r="P182" s="8">
        <v>0.36</v>
      </c>
      <c r="Q182" s="8">
        <v>0.77</v>
      </c>
      <c r="R182" s="8">
        <v>57.7</v>
      </c>
      <c r="S182" s="8">
        <v>0.49</v>
      </c>
      <c r="T182" s="8">
        <v>46.7</v>
      </c>
      <c r="U182" s="8">
        <v>0.4</v>
      </c>
      <c r="V182" s="8">
        <v>-40</v>
      </c>
      <c r="W182" s="8">
        <v>0</v>
      </c>
      <c r="X182" s="8" t="s">
        <v>91</v>
      </c>
      <c r="Y182" s="8">
        <v>1</v>
      </c>
      <c r="Z182" s="8">
        <v>0.65</v>
      </c>
      <c r="AA182" s="8">
        <v>1</v>
      </c>
      <c r="AB182" s="8">
        <v>0.65</v>
      </c>
      <c r="AC182" s="8">
        <v>0.1176470588235294</v>
      </c>
      <c r="AD182" s="8">
        <v>0.3235294117647059</v>
      </c>
      <c r="AE182" s="8">
        <v>3.9215686274509803E-2</v>
      </c>
      <c r="AF182" s="8">
        <v>0</v>
      </c>
      <c r="AG182" s="8">
        <v>0</v>
      </c>
      <c r="AH182" s="8">
        <v>0</v>
      </c>
      <c r="AI182" s="8">
        <v>0</v>
      </c>
      <c r="AJ182" s="8">
        <v>0</v>
      </c>
      <c r="AK182" s="8">
        <v>0</v>
      </c>
      <c r="AL182" s="8">
        <v>0</v>
      </c>
      <c r="AM182" s="8">
        <v>0</v>
      </c>
      <c r="AN182" s="8">
        <v>0.56000000000000005</v>
      </c>
      <c r="AO182" s="8">
        <v>0</v>
      </c>
      <c r="AP182" s="8" t="s">
        <v>91</v>
      </c>
      <c r="AQ182" s="8">
        <v>70.900000000000006</v>
      </c>
      <c r="AR182" s="9">
        <v>0.33300000000000002</v>
      </c>
      <c r="AS182" s="9">
        <v>7.5999999999999998E-2</v>
      </c>
      <c r="AT182" s="9">
        <v>0.27</v>
      </c>
      <c r="AU182" s="8">
        <v>124</v>
      </c>
      <c r="AV182" s="9">
        <v>3.9E-2</v>
      </c>
      <c r="AW182" s="8">
        <v>0.25515151515151507</v>
      </c>
      <c r="AX182" s="8">
        <v>30.872727272727271</v>
      </c>
      <c r="AY182" s="8">
        <v>0.05</v>
      </c>
      <c r="AZ182" s="9">
        <v>0.182</v>
      </c>
      <c r="BA182" s="8">
        <v>7.0000000000000007E-2</v>
      </c>
      <c r="BB182" s="8">
        <v>5.29</v>
      </c>
      <c r="BC182" s="8">
        <v>0</v>
      </c>
      <c r="BD182" s="8">
        <v>34</v>
      </c>
      <c r="BE182" s="8">
        <v>13</v>
      </c>
      <c r="BF182" s="8">
        <v>66</v>
      </c>
      <c r="BG182" s="8">
        <v>6</v>
      </c>
      <c r="BH182" s="8">
        <v>0</v>
      </c>
      <c r="BI182" s="8">
        <v>73</v>
      </c>
      <c r="BJ182" s="9">
        <v>0.64900000000000002</v>
      </c>
      <c r="BK182" s="8">
        <v>0.64</v>
      </c>
      <c r="BL182" s="8">
        <v>0.14000000000000001</v>
      </c>
      <c r="BM182" s="8">
        <v>0.09</v>
      </c>
      <c r="BN182" s="8">
        <v>0.09</v>
      </c>
      <c r="BO182" s="9">
        <v>0.14699999999999999</v>
      </c>
      <c r="BP182" s="8">
        <v>1.85</v>
      </c>
      <c r="BQ182" s="8" t="s">
        <v>91</v>
      </c>
      <c r="BR182" s="8">
        <v>64</v>
      </c>
      <c r="BS182" s="8">
        <v>0</v>
      </c>
      <c r="BT182" s="9">
        <v>0</v>
      </c>
      <c r="BU182" s="8" t="s">
        <v>91</v>
      </c>
      <c r="BV182" s="8">
        <v>0</v>
      </c>
      <c r="BW182" s="8">
        <v>0.66</v>
      </c>
      <c r="BX182" s="8">
        <v>2.59</v>
      </c>
      <c r="BY182" s="9">
        <v>0.13500000000000001</v>
      </c>
    </row>
    <row r="183" spans="2:77" ht="19.899999999999999" customHeight="1" x14ac:dyDescent="0.3">
      <c r="B183" s="8"/>
      <c r="C183" s="8"/>
      <c r="D183" s="8"/>
      <c r="E183" s="8"/>
      <c r="F183" s="8"/>
      <c r="G183" s="8"/>
      <c r="H183" s="9"/>
      <c r="I183" s="9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9"/>
      <c r="AS183" s="9"/>
      <c r="AT183" s="9"/>
      <c r="AU183" s="8"/>
      <c r="AV183" s="9"/>
      <c r="AW183" s="8"/>
      <c r="AX183" s="8"/>
      <c r="AY183" s="8"/>
      <c r="AZ183" s="9"/>
      <c r="BA183" s="8"/>
      <c r="BB183" s="8"/>
      <c r="BC183" s="8"/>
      <c r="BD183" s="8"/>
      <c r="BE183" s="8"/>
      <c r="BF183" s="8"/>
      <c r="BG183" s="8"/>
      <c r="BH183" s="8"/>
      <c r="BI183" s="8"/>
      <c r="BJ183" s="9"/>
      <c r="BK183" s="8"/>
      <c r="BL183" s="8"/>
      <c r="BM183" s="8"/>
      <c r="BN183" s="8"/>
      <c r="BO183" s="9"/>
      <c r="BP183" s="8"/>
      <c r="BQ183" s="8"/>
      <c r="BR183" s="8"/>
      <c r="BS183" s="8"/>
      <c r="BT183" s="9"/>
      <c r="BU183" s="8"/>
      <c r="BV183" s="8"/>
      <c r="BW183" s="8"/>
      <c r="BX183" s="8"/>
      <c r="BY183" s="9"/>
    </row>
    <row r="184" spans="2:77" ht="19.899999999999999" customHeight="1" x14ac:dyDescent="0.3">
      <c r="B184" s="8"/>
      <c r="C184" s="8"/>
      <c r="D184" s="8"/>
      <c r="E184" s="8"/>
      <c r="F184" s="8"/>
      <c r="G184" s="8"/>
      <c r="H184" s="9"/>
      <c r="I184" s="9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9"/>
      <c r="AS184" s="9"/>
      <c r="AT184" s="9"/>
      <c r="AU184" s="8"/>
      <c r="AV184" s="9"/>
      <c r="AW184" s="8"/>
      <c r="AX184" s="8"/>
      <c r="AY184" s="8"/>
      <c r="AZ184" s="9"/>
      <c r="BA184" s="8"/>
      <c r="BB184" s="8"/>
      <c r="BC184" s="8"/>
      <c r="BD184" s="8"/>
      <c r="BE184" s="8"/>
      <c r="BF184" s="8"/>
      <c r="BG184" s="8"/>
      <c r="BH184" s="8"/>
      <c r="BI184" s="8"/>
      <c r="BJ184" s="9"/>
      <c r="BK184" s="8"/>
      <c r="BL184" s="8"/>
      <c r="BM184" s="8"/>
      <c r="BN184" s="8"/>
      <c r="BO184" s="9"/>
      <c r="BP184" s="8"/>
      <c r="BQ184" s="8"/>
      <c r="BR184" s="8"/>
      <c r="BS184" s="8"/>
      <c r="BT184" s="9"/>
      <c r="BU184" s="8"/>
      <c r="BV184" s="8"/>
      <c r="BW184" s="8"/>
      <c r="BX184" s="8"/>
      <c r="BY184" s="9"/>
    </row>
  </sheetData>
  <sortState xmlns:xlrd2="http://schemas.microsoft.com/office/spreadsheetml/2017/richdata2" ref="B5:AX38">
    <sortCondition descending="1" ref="D5:D38"/>
    <sortCondition descending="1" ref="C5:C38"/>
  </sortState>
  <mergeCells count="51">
    <mergeCell ref="AM2:AQ2"/>
    <mergeCell ref="K1:AQ1"/>
    <mergeCell ref="K2:O2"/>
    <mergeCell ref="P2:U2"/>
    <mergeCell ref="T3:U3"/>
    <mergeCell ref="AD3:AD4"/>
    <mergeCell ref="X2:AL2"/>
    <mergeCell ref="V2:W2"/>
    <mergeCell ref="AI3:AI4"/>
    <mergeCell ref="AL3:AL4"/>
    <mergeCell ref="AF3:AF4"/>
    <mergeCell ref="N3:N4"/>
    <mergeCell ref="O3:O4"/>
    <mergeCell ref="AM3:AM4"/>
    <mergeCell ref="AK3:AK4"/>
    <mergeCell ref="AJ3:AJ4"/>
    <mergeCell ref="AS3:AT3"/>
    <mergeCell ref="AP3:AP4"/>
    <mergeCell ref="AW3:AX3"/>
    <mergeCell ref="AN3:AN4"/>
    <mergeCell ref="AO3:AO4"/>
    <mergeCell ref="AU3:AV3"/>
    <mergeCell ref="AQ3:AQ4"/>
    <mergeCell ref="F3:F4"/>
    <mergeCell ref="G3:G4"/>
    <mergeCell ref="H3:H4"/>
    <mergeCell ref="AB3:AB4"/>
    <mergeCell ref="P3:Q3"/>
    <mergeCell ref="R3:S3"/>
    <mergeCell ref="X3:X4"/>
    <mergeCell ref="Z3:Z4"/>
    <mergeCell ref="AA3:AA4"/>
    <mergeCell ref="I3:I4"/>
    <mergeCell ref="V3:V4"/>
    <mergeCell ref="W3:W4"/>
    <mergeCell ref="A1:J1"/>
    <mergeCell ref="B3:B4"/>
    <mergeCell ref="C3:C4"/>
    <mergeCell ref="A3:A4"/>
    <mergeCell ref="AH3:AH4"/>
    <mergeCell ref="C2:J2"/>
    <mergeCell ref="E3:E4"/>
    <mergeCell ref="D3:D4"/>
    <mergeCell ref="J3:J4"/>
    <mergeCell ref="AC3:AC4"/>
    <mergeCell ref="AE3:AE4"/>
    <mergeCell ref="AG3:AG4"/>
    <mergeCell ref="Y3:Y4"/>
    <mergeCell ref="K3:K4"/>
    <mergeCell ref="L3:L4"/>
    <mergeCell ref="M3:M4"/>
  </mergeCells>
  <phoneticPr fontId="2" type="noConversion"/>
  <conditionalFormatting sqref="C5:C86">
    <cfRule type="colorScale" priority="3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85:C1048576 C3:C86">
    <cfRule type="colorScale" priority="3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D86">
    <cfRule type="colorScale" priority="1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E86">
    <cfRule type="colorScale" priority="3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02:E10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85:E1048576 D3:E3 D4 D5:E86">
    <cfRule type="colorScale" priority="3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:E86">
    <cfRule type="colorScale" priority="1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02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5:F1048576 F3:F86">
    <cfRule type="colorScale" priority="3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4">
    <cfRule type="colorScale" priority="3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02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5:G1048576 G3:G86">
    <cfRule type="colorScale" priority="292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0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6:H1048576 H3:H86">
    <cfRule type="colorScale" priority="2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2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86:I1048576 I3:I86">
    <cfRule type="colorScale" priority="2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86:J1048576 J1:J10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86:O1048576 J3:J4 J5:O86">
    <cfRule type="colorScale" priority="2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86:K1048576 K1:K10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86:L1048576 L2:L101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86:M1048576 M2:M101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86:N1048576 N2:N10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86:O1048576 O2:O10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5:P86">
    <cfRule type="colorScale" priority="1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86:P1048576 P3:P4">
    <cfRule type="colorScale" priority="2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5:Q8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85:Q194 Q3:Q4 Q276:Q1048576">
    <cfRule type="colorScale" priority="2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5:R86">
    <cfRule type="colorScale" priority="1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85:R1048576 R3:R4">
    <cfRule type="colorScale" priority="2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5:S86">
    <cfRule type="colorScale" priority="1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85:S1048576 S3:S4">
    <cfRule type="colorScale" priority="2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5:T86">
    <cfRule type="colorScale" priority="1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85:T1048576 T3">
    <cfRule type="colorScale" priority="6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U86">
    <cfRule type="colorScale" priority="1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W86">
    <cfRule type="colorScale" priority="1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85:W1048576">
    <cfRule type="colorScale" priority="3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5:V86">
    <cfRule type="colorScale" priority="1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02:W102">
    <cfRule type="colorScale" priority="7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5:W86">
    <cfRule type="colorScale" priority="1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5:X86">
    <cfRule type="colorScale" priority="1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02:Y102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85:Y1048576 X3:Y3 X4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5:Y86">
    <cfRule type="colorScale" priority="1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5:Z86">
    <cfRule type="colorScale" priority="1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5:AA86">
    <cfRule type="colorScale" priority="1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102:AB102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4 Z185:AB1048576">
    <cfRule type="colorScale" priority="3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5:AB86">
    <cfRule type="colorScale" priority="1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4 AC185:AC1048576">
    <cfRule type="colorScale" priority="7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:AC86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2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:AD86">
    <cfRule type="colorScale" priority="1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2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:AE4 AD185:AD1048576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:AE86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2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:AF86">
    <cfRule type="colorScale" priority="1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2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:AG4 AE185:AE1048576">
    <cfRule type="colorScale" priority="7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:AG86">
    <cfRule type="colorScale" priority="1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2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85:AG1048576 AM3:AM4">
    <cfRule type="colorScale" priority="7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:AH4 AF185:AF1048576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:AH86">
    <cfRule type="colorScale" priority="1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2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85:AH1048576 AN3:AN4">
    <cfRule type="colorScale" priority="7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02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5:AK86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85:AK1048576 AO3:AO4">
    <cfRule type="colorScale" priority="7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J10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5:AK86">
    <cfRule type="colorScale" priority="1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5:AL86">
    <cfRule type="colorScale" priority="1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02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L185:AL1048576 AP3:AP4">
    <cfRule type="colorScale" priority="2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5:AM86">
    <cfRule type="colorScale" priority="11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02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M185:AM1048576 AQ3">
    <cfRule type="colorScale" priority="3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5:AN86">
    <cfRule type="colorScale" priority="1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0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85:AN1048576">
    <cfRule type="colorScale" priority="3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5:AO86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185:AO1048576 AS3:AS4">
    <cfRule type="colorScale" priority="5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O102:AP10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P5:AP8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5:AQ86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0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5:AR49">
    <cfRule type="colorScale" priority="1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R10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5:AS51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S10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5:AT47">
    <cfRule type="colorScale" priority="1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85:AT1048576 AT44:AT61 AX4">
    <cfRule type="colorScale" priority="2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3:AU3 AP185:AS1048576 AW3 AT4:AW4 AR44:AS61">
    <cfRule type="colorScale" priority="67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5:AU51">
    <cfRule type="colorScale" priority="1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185:AU1048576 AU44:AU61">
    <cfRule type="colorScale" priority="2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5:AV50">
    <cfRule type="colorScale" priority="1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V185:AV1048576 AV44:AV61">
    <cfRule type="colorScale" priority="5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5:AW48">
    <cfRule type="colorScale" priority="1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5:AX49">
    <cfRule type="colorScale" priority="1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ignoredErrors>
    <ignoredError sqref="G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8C9B2B-E8E5-4077-B624-3C408D2004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洪彬 张</dc:creator>
  <cp:lastModifiedBy>Viston</cp:lastModifiedBy>
  <dcterms:created xsi:type="dcterms:W3CDTF">2024-06-17T05:44:15Z</dcterms:created>
  <dcterms:modified xsi:type="dcterms:W3CDTF">2026-07-12T15:41:24Z</dcterms:modified>
</cp:coreProperties>
</file>